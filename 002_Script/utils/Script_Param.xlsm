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nhi5hc\Desktop\"/>
    </mc:Choice>
  </mc:AlternateContent>
  <bookViews>
    <workbookView xWindow="-105" yWindow="-105" windowWidth="19425" windowHeight="10425" activeTab="1"/>
  </bookViews>
  <sheets>
    <sheet name="Sheet1" sheetId="1" r:id="rId1"/>
    <sheet name="Sheet2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1" i="1" l="1"/>
  <c r="H21" i="1"/>
  <c r="I20" i="1"/>
  <c r="H20" i="1"/>
  <c r="I19" i="1"/>
  <c r="H19" i="1"/>
  <c r="I18" i="1"/>
  <c r="H18" i="1"/>
  <c r="I17" i="1"/>
  <c r="H17" i="1"/>
  <c r="I16" i="1"/>
  <c r="H16" i="1"/>
  <c r="I15" i="1"/>
  <c r="H15" i="1"/>
  <c r="I14" i="1"/>
  <c r="H14" i="1"/>
  <c r="I13" i="1"/>
  <c r="H13" i="1"/>
</calcChain>
</file>

<file path=xl/sharedStrings.xml><?xml version="1.0" encoding="utf-8"?>
<sst xmlns="http://schemas.openxmlformats.org/spreadsheetml/2006/main" count="119" uniqueCount="93">
  <si>
    <t>x</t>
  </si>
  <si>
    <t>y</t>
  </si>
  <si>
    <t>y\x</t>
  </si>
  <si>
    <t>Param1D xxxxxxxxxxxxxxxx</t>
  </si>
  <si>
    <t>Param2D xxxxxxxxxxxxxxxx</t>
  </si>
  <si>
    <t>=Param2D(H13,I13,$B$7:$E$10)</t>
  </si>
  <si>
    <t>The input value x is lower than the minimum value and the input value y is lower than the minimum value for Param2D table Param2D xxxxxxxxxxxxxxxx</t>
  </si>
  <si>
    <t>=Param2D(H14,I14,$B$7:$E$10)</t>
  </si>
  <si>
    <t>The input value x is equal the minimum value and the input value y is equal the minimum value for Param2D table Param2D xxxxxxxxxxxxxxxx</t>
  </si>
  <si>
    <t>=Param2D(H15,I15,$B$7:$E$10)</t>
  </si>
  <si>
    <t>The input value x is greater than the maximum value and the input value y is lower than the minimum value for Param2D table Param2D xxxxxxxxxxxxxxxx</t>
  </si>
  <si>
    <t>=Param2D(H16,I16,$B$7:$E$10)</t>
  </si>
  <si>
    <t>The input value x is equal than the minimum value and the input value y is equal the maximum value for Param2D table Param2D xxxxxxxxxxxxxxxx</t>
  </si>
  <si>
    <t>=Param2D(H17,I17,$B$7:$E$10)</t>
  </si>
  <si>
    <t>The input value x is lower than the minimum value and the input value y is greater than the maximum value for Param2D table Param2D xxxxxxxxxxxxxxxx</t>
  </si>
  <si>
    <t>=Param2D(H18,I18,$B$7:$E$10)</t>
  </si>
  <si>
    <t>The input value x is equal the minimum value and the input value y is equal the maximum value for Param2D table Param2D xxxxxxxxxxxxxxxx</t>
  </si>
  <si>
    <t>=Param2D(H19,I19,$B$7:$E$10)</t>
  </si>
  <si>
    <t>The input value x is greater than the maximum value and the input value y is greater than the maximum value for Param2D table Param2D xxxxxxxxxxxxxxxx</t>
  </si>
  <si>
    <t>=Param2D(H20,I20,$B$7:$E$10)</t>
  </si>
  <si>
    <t>The input value x is equal the maximum value and the input value y is equal the maximum value for Param2D table Param2D xxxxxxxxxxxxxxxx</t>
  </si>
  <si>
    <t>=Param2D(H21,I21,$B$7:$E$10)</t>
  </si>
  <si>
    <t>Mid value for the input x and the input y for Param2D table Param2D xxxxxxxxxxxxxxxx</t>
  </si>
  <si>
    <t>Requirement 1</t>
  </si>
  <si>
    <t>MCDC</t>
  </si>
  <si>
    <t>INPUTS</t>
  </si>
  <si>
    <t>OUTPUTS</t>
  </si>
  <si>
    <t>OUTCOME</t>
  </si>
  <si>
    <t>TC No.</t>
  </si>
  <si>
    <t>a</t>
  </si>
  <si>
    <t>(--1--)</t>
  </si>
  <si>
    <t>(--0--)</t>
  </si>
  <si>
    <t>Requirement 2</t>
  </si>
  <si>
    <t>TC3</t>
  </si>
  <si>
    <t>TC4</t>
  </si>
  <si>
    <t>TC6</t>
  </si>
  <si>
    <t>TC5</t>
  </si>
  <si>
    <t>TC1</t>
  </si>
  <si>
    <t>TC2</t>
  </si>
  <si>
    <t>TC7</t>
  </si>
  <si>
    <t>TC8</t>
  </si>
  <si>
    <t>TC9</t>
  </si>
  <si>
    <t>TC10</t>
  </si>
  <si>
    <t>TC11</t>
  </si>
  <si>
    <t>TC12</t>
  </si>
  <si>
    <t>TC13</t>
  </si>
  <si>
    <t>TC14</t>
  </si>
  <si>
    <t>TC15</t>
  </si>
  <si>
    <t>TC16</t>
  </si>
  <si>
    <t>TC17</t>
  </si>
  <si>
    <t>TC18</t>
  </si>
  <si>
    <t>TC19</t>
  </si>
  <si>
    <t>TC20</t>
  </si>
  <si>
    <t>TC21</t>
  </si>
  <si>
    <t>TC22</t>
  </si>
  <si>
    <t>TC23</t>
  </si>
  <si>
    <t>TC24</t>
  </si>
  <si>
    <t>TC25</t>
  </si>
  <si>
    <t>TC26</t>
  </si>
  <si>
    <t>TC27</t>
  </si>
  <si>
    <t>TC28</t>
  </si>
  <si>
    <t>TC29</t>
  </si>
  <si>
    <t>TC30</t>
  </si>
  <si>
    <t>Requirement 3</t>
  </si>
  <si>
    <t>#Line 6</t>
  </si>
  <si>
    <t>Check condition _x000D_
(slRad&gt;=slRadSo)</t>
  </si>
  <si>
    <t>slRad</t>
  </si>
  <si>
    <t>&gt;=slRadSo</t>
  </si>
  <si>
    <t>&lt;slRadSo</t>
  </si>
  <si>
    <t>#Line 11</t>
  </si>
  <si>
    <t>Check MCDC for condition _x000D_
((vRadpTo&gt;P_dvRadMan)&amp;&amp;(slRad&gt;0)&amp;&amp;!AOLRad)</t>
  </si>
  <si>
    <t>a&amp;&amp;b&amp;&amp;c</t>
  </si>
  <si>
    <t>vRadpTo</t>
  </si>
  <si>
    <t>AOLRad</t>
  </si>
  <si>
    <t>(--111--)</t>
  </si>
  <si>
    <t>&gt;P_dvRadMan</t>
  </si>
  <si>
    <t>&gt;0</t>
  </si>
  <si>
    <t>(--011--)</t>
  </si>
  <si>
    <t>&lt;=P_dvRadMan</t>
  </si>
  <si>
    <t>(--101--)</t>
  </si>
  <si>
    <t>&lt;=0</t>
  </si>
  <si>
    <t>(--110--)</t>
  </si>
  <si>
    <t>#Line 18</t>
  </si>
  <si>
    <t>Check condition _x000D_
(vRadpTob&lt;=P_vRadpToBand1)</t>
  </si>
  <si>
    <t>vRadpTob</t>
  </si>
  <si>
    <t>&lt;=P_vRadpToBand1</t>
  </si>
  <si>
    <t>&gt;P_vRadpToBand1</t>
  </si>
  <si>
    <t>- True condition _x000D_(slRad&gt;=slRadSo) at #Line 6: with slRad is greater and equal slRadSo
- True condition _x000D_(vRadpTob&lt;=P_vRadpToBand1) at #Line 18: with vRadpTob is less and equal P_vRadpToBand1</t>
  </si>
  <si>
    <t>- False condition _x000D_(slRad&gt;=slRadSo) at #Line 6: with slRad is less than slRadSo
- False condition _x000D_(vRadpTob&lt;=P_vRadpToBand1) at #Line 18: with vRadpTob is greater than P_vRadpToBand1</t>
  </si>
  <si>
    <t>- True MCDC for condition _x000D_((vRadpTo&gt;P_dvRadMan)&amp;&amp;(slRad&gt;0)&amp;&amp;!AOLRad) at #Line 11: with vRadpTo is greater than P_dvRadMan, with slRad is greater than 0, with AOLRad False</t>
  </si>
  <si>
    <t>- False MCDC for condition _x000D_((vRadpTo&gt;P_dvRadMan)&amp;&amp;(slRad&gt;0)&amp;&amp;!AOLRad) at #Line 11: with vRadpTo is less and equal P_dvRadMan, with slRad is greater than 0, with AOLRad False</t>
  </si>
  <si>
    <t>- False MCDC for condition _x000D_((vRadpTo&gt;P_dvRadMan)&amp;&amp;(slRad&gt;0)&amp;&amp;!AOLRad) at #Line 11: with vRadpTo is greater than P_dvRadMan, with slRad is less and equal 0, with AOLRad False</t>
  </si>
  <si>
    <t>- False MCDC for condition _x000D_((vRadpTo&gt;P_dvRadMan)&amp;&amp;(slRad&gt;0)&amp;&amp;!AOLRad) at #Line 11: with vRadpTo is greater than P_dvRadMan, with slRad is greater than 0, with AOLRad 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</si>
</sst>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FF0000"/>
      <name val="Arial"/>
      <family val="2"/>
    </font>
    <font>
      <b/>
      <sz val="10"/>
      <name val="Arial"/>
      <family val="2"/>
    </font>
    <font>
      <sz val="12"/>
      <color theme="1"/>
      <name val="Arial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27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quotePrefix="1"/>
    <xf numFmtId="0" fontId="0" fillId="0" borderId="0" xfId="0" applyAlignment="1">
      <alignment wrapText="1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/>
    <xf numFmtId="0" fontId="4" fillId="0" borderId="0" xfId="0" applyFont="1" applyAlignment="1"/>
    <xf numFmtId="0" fontId="3" fillId="2" borderId="0" xfId="0" applyFont="1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</xdr:row>
          <xdr:rowOff>47625</xdr:rowOff>
        </xdr:from>
        <xdr:to>
          <xdr:col>10</xdr:col>
          <xdr:colOff>76200</xdr:colOff>
          <xdr:row>27</xdr:row>
          <xdr:rowOff>114300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Param1D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1228725</xdr:colOff>
          <xdr:row>25</xdr:row>
          <xdr:rowOff>47625</xdr:rowOff>
        </xdr:from>
        <xdr:to>
          <xdr:col>10</xdr:col>
          <xdr:colOff>2476500</xdr:colOff>
          <xdr:row>27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Param2D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200025</xdr:colOff>
          <xdr:row>1</xdr:row>
          <xdr:rowOff>114300</xdr:rowOff>
        </xdr:from>
        <xdr:to>
          <xdr:col>8</xdr:col>
          <xdr:colOff>219075</xdr:colOff>
          <xdr:row>4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K23"/>
  <sheetViews>
    <sheetView zoomScale="115" zoomScaleNormal="115" workbookViewId="0">
      <selection activeCell="K34" sqref="K34"/>
    </sheetView>
  </sheetViews>
  <sheetFormatPr defaultRowHeight="15" x14ac:dyDescent="0.25"/>
  <cols>
    <col min="2" max="2" width="5.28515625" customWidth="1"/>
    <col min="3" max="7" width="1.85546875" bestFit="1" customWidth="1"/>
    <col min="8" max="8" width="2.42578125" bestFit="1" customWidth="1"/>
    <col min="9" max="9" width="2.85546875" bestFit="1" customWidth="1"/>
    <col min="10" max="10" width="6.5703125" customWidth="1"/>
    <col min="11" max="11" width="133.140625" bestFit="1" customWidth="1"/>
  </cols>
  <sheetData>
    <row r="2" spans="2:11" x14ac:dyDescent="0.25">
      <c r="B2" t="s">
        <v>3</v>
      </c>
    </row>
    <row r="3" spans="2:11" x14ac:dyDescent="0.25">
      <c r="B3" t="s">
        <v>0</v>
      </c>
      <c r="C3">
        <v>1</v>
      </c>
      <c r="D3">
        <v>2</v>
      </c>
      <c r="E3">
        <v>3</v>
      </c>
      <c r="F3">
        <v>4</v>
      </c>
      <c r="G3">
        <v>5</v>
      </c>
      <c r="H3">
        <v>6</v>
      </c>
      <c r="I3">
        <v>7</v>
      </c>
      <c r="J3">
        <v>8</v>
      </c>
      <c r="K3">
        <v>9</v>
      </c>
    </row>
    <row r="4" spans="2:11" x14ac:dyDescent="0.25">
      <c r="B4" t="s">
        <v>1</v>
      </c>
      <c r="C4">
        <v>2</v>
      </c>
      <c r="D4">
        <v>3</v>
      </c>
      <c r="E4">
        <v>4</v>
      </c>
      <c r="F4">
        <v>5</v>
      </c>
      <c r="G4">
        <v>6</v>
      </c>
      <c r="H4">
        <v>7</v>
      </c>
      <c r="I4">
        <v>8</v>
      </c>
      <c r="J4">
        <v>9</v>
      </c>
      <c r="K4">
        <v>10</v>
      </c>
    </row>
    <row r="6" spans="2:11" x14ac:dyDescent="0.25">
      <c r="B6" t="s">
        <v>4</v>
      </c>
    </row>
    <row r="7" spans="2:11" x14ac:dyDescent="0.25">
      <c r="B7" t="s">
        <v>2</v>
      </c>
      <c r="C7" s="1">
        <v>0</v>
      </c>
      <c r="D7">
        <v>1</v>
      </c>
      <c r="E7">
        <v>2</v>
      </c>
    </row>
    <row r="8" spans="2:11" x14ac:dyDescent="0.25">
      <c r="B8">
        <v>0</v>
      </c>
      <c r="C8" s="1">
        <v>1</v>
      </c>
      <c r="D8">
        <v>2</v>
      </c>
      <c r="E8">
        <v>3</v>
      </c>
    </row>
    <row r="9" spans="2:11" x14ac:dyDescent="0.25">
      <c r="B9" s="1">
        <v>1</v>
      </c>
      <c r="C9" s="1">
        <v>4</v>
      </c>
      <c r="D9" s="1">
        <v>5</v>
      </c>
      <c r="E9">
        <v>6</v>
      </c>
    </row>
    <row r="10" spans="2:11" x14ac:dyDescent="0.25">
      <c r="B10" s="1">
        <v>2</v>
      </c>
      <c r="C10" s="1">
        <v>7</v>
      </c>
      <c r="D10" s="1">
        <v>8</v>
      </c>
      <c r="E10">
        <v>9</v>
      </c>
    </row>
    <row r="11" spans="2:11" x14ac:dyDescent="0.25">
      <c r="B11" s="1"/>
      <c r="C11" s="1"/>
      <c r="D11" s="1"/>
    </row>
    <row r="12" spans="2:11" x14ac:dyDescent="0.25">
      <c r="B12" s="1"/>
      <c r="C12" s="1"/>
      <c r="D12" s="1"/>
    </row>
    <row r="13" spans="2:11" x14ac:dyDescent="0.25">
      <c r="B13" s="1"/>
      <c r="C13" s="1"/>
      <c r="D13" s="1"/>
      <c r="H13">
        <f>$C$7- 1</f>
        <v>-1</v>
      </c>
      <c r="I13">
        <f>$B$10- 1</f>
        <v>1</v>
      </c>
      <c r="J13" s="1" t="s">
        <v>5</v>
      </c>
      <c r="K13" t="s">
        <v>6</v>
      </c>
    </row>
    <row r="14" spans="2:11" x14ac:dyDescent="0.25">
      <c r="C14" s="1"/>
      <c r="D14" s="1"/>
      <c r="H14">
        <f>$C$7</f>
        <v>0</v>
      </c>
      <c r="I14">
        <f>$B$10</f>
        <v>2</v>
      </c>
      <c r="J14" s="1" t="s">
        <v>7</v>
      </c>
      <c r="K14" t="s">
        <v>8</v>
      </c>
    </row>
    <row r="15" spans="2:11" x14ac:dyDescent="0.25">
      <c r="C15" s="1"/>
      <c r="D15" s="1"/>
      <c r="H15">
        <f>$E$7+ 1</f>
        <v>3</v>
      </c>
      <c r="I15">
        <f>$B$10- 1</f>
        <v>1</v>
      </c>
      <c r="J15" s="1" t="s">
        <v>9</v>
      </c>
      <c r="K15" t="s">
        <v>10</v>
      </c>
    </row>
    <row r="16" spans="2:11" x14ac:dyDescent="0.25">
      <c r="C16" s="1"/>
      <c r="D16" s="1"/>
      <c r="H16">
        <f>$C$7</f>
        <v>0</v>
      </c>
      <c r="I16">
        <f>$B$10</f>
        <v>2</v>
      </c>
      <c r="J16" s="1" t="s">
        <v>11</v>
      </c>
      <c r="K16" t="s">
        <v>12</v>
      </c>
    </row>
    <row r="17" spans="3:11" x14ac:dyDescent="0.25">
      <c r="C17" s="1"/>
      <c r="D17" s="1"/>
      <c r="H17">
        <f>$C$7- 1</f>
        <v>-1</v>
      </c>
      <c r="I17">
        <f>$B$10+ 1</f>
        <v>3</v>
      </c>
      <c r="J17" s="1" t="s">
        <v>13</v>
      </c>
      <c r="K17" t="s">
        <v>14</v>
      </c>
    </row>
    <row r="18" spans="3:11" x14ac:dyDescent="0.25">
      <c r="D18" s="1"/>
      <c r="H18">
        <f>$C$7- 1</f>
        <v>-1</v>
      </c>
      <c r="I18">
        <f>$B$10</f>
        <v>2</v>
      </c>
      <c r="J18" s="1" t="s">
        <v>15</v>
      </c>
      <c r="K18" t="s">
        <v>16</v>
      </c>
    </row>
    <row r="19" spans="3:11" x14ac:dyDescent="0.25">
      <c r="H19" s="1">
        <f>$E$7+ 1</f>
        <v>3</v>
      </c>
      <c r="I19">
        <f>$B$10+ 1</f>
        <v>3</v>
      </c>
      <c r="J19" s="1" t="s">
        <v>17</v>
      </c>
      <c r="K19" t="s">
        <v>18</v>
      </c>
    </row>
    <row r="20" spans="3:11" x14ac:dyDescent="0.25">
      <c r="H20" s="1">
        <f>$E$7</f>
        <v>2</v>
      </c>
      <c r="I20">
        <f>$B$10</f>
        <v>2</v>
      </c>
      <c r="J20" s="1" t="s">
        <v>19</v>
      </c>
      <c r="K20" t="s">
        <v>20</v>
      </c>
    </row>
    <row r="21" spans="3:11" x14ac:dyDescent="0.25">
      <c r="H21" s="1">
        <f>0.5 * ($C$7 + $E$7)</f>
        <v>1</v>
      </c>
      <c r="I21">
        <f>0.5 * ($B$10 + $B$10)</f>
        <v>2</v>
      </c>
      <c r="J21" s="1" t="s">
        <v>21</v>
      </c>
      <c r="K21" t="s">
        <v>22</v>
      </c>
    </row>
    <row r="22" spans="3:11" x14ac:dyDescent="0.25">
      <c r="H22" s="1"/>
    </row>
    <row r="23" spans="3:11" x14ac:dyDescent="0.25">
      <c r="H23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reate_param1d">
                <anchor moveWithCells="1" sizeWithCells="1">
                  <from>
                    <xdr:col>4</xdr:col>
                    <xdr:colOff>0</xdr:colOff>
                    <xdr:row>25</xdr:row>
                    <xdr:rowOff>47625</xdr:rowOff>
                  </from>
                  <to>
                    <xdr:col>10</xdr:col>
                    <xdr:colOff>76200</xdr:colOff>
                    <xdr:row>27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create_param2d">
                <anchor moveWithCells="1" sizeWithCells="1">
                  <from>
                    <xdr:col>10</xdr:col>
                    <xdr:colOff>1228725</xdr:colOff>
                    <xdr:row>25</xdr:row>
                    <xdr:rowOff>47625</xdr:rowOff>
                  </from>
                  <to>
                    <xdr:col>10</xdr:col>
                    <xdr:colOff>2476500</xdr:colOff>
                    <xdr:row>27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30"/>
  <sheetViews>
    <sheetView tabSelected="1" workbookViewId="0">
      <selection activeCell="K1" sqref="K1:L15"/>
    </sheetView>
  </sheetViews>
  <sheetFormatPr defaultRowHeight="15" x14ac:dyDescent="0.25"/>
  <cols>
    <col min="1" max="11" width="9.140625" style="2"/>
    <col min="12" max="12" width="72.42578125" style="2" customWidth="1"/>
    <col min="13" max="16384" width="9.140625" style="2"/>
  </cols>
  <sheetData>
    <row r="1" spans="1:12" x14ac:dyDescent="0.25">
      <c r="A1" s="9" t="s">
        <v>23</v>
      </c>
      <c r="B1"/>
      <c r="C1" t="s">
        <v>64</v>
      </c>
      <c r="D1"/>
      <c r="E1"/>
      <c r="F1"/>
      <c r="G1"/>
      <c r="H1"/>
      <c r="I1" s="7"/>
      <c r="J1" s="7"/>
      <c r="K1" s="7" t="s">
        <v>37</v>
      </c>
    </row>
    <row r="2" spans="1:12" ht="75" x14ac:dyDescent="0.25">
      <c r="A2"/>
      <c r="B2" s="2" t="s">
        <v>65</v>
      </c>
      <c r="C2"/>
      <c r="D2"/>
      <c r="E2"/>
      <c r="F2"/>
      <c r="G2"/>
      <c r="H2"/>
      <c r="I2" s="7"/>
      <c r="J2" s="7"/>
      <c r="K2" s="7" t="s">
        <v>38</v>
      </c>
    </row>
    <row r="3" spans="1:12" x14ac:dyDescent="0.25">
      <c r="A3"/>
      <c r="B3"/>
      <c r="C3"/>
      <c r="D3"/>
      <c r="E3"/>
      <c r="F3"/>
      <c r="G3"/>
      <c r="H3"/>
      <c r="I3" s="7"/>
      <c r="J3" s="7"/>
      <c r="K3" s="7" t="s">
        <v>33</v>
      </c>
      <c r="L3" s="7"/>
    </row>
    <row r="4" spans="1:12" ht="60" x14ac:dyDescent="0.25">
      <c r="A4"/>
      <c r="B4" s="3"/>
      <c r="C4" s="3" t="s">
        <v>24</v>
      </c>
      <c r="D4" s="3" t="s">
        <v>25</v>
      </c>
      <c r="E4" s="3" t="s">
        <v>26</v>
      </c>
      <c r="F4" s="3" t="s">
        <v>27</v>
      </c>
      <c r="G4"/>
      <c r="H4"/>
      <c r="I4" s="7"/>
      <c r="J4" s="7"/>
      <c r="K4" s="7" t="s">
        <v>34</v>
      </c>
      <c r="L4" s="2" t="s">
        <v>87</v>
      </c>
    </row>
    <row r="5" spans="1:12" ht="45" x14ac:dyDescent="0.25">
      <c r="A5"/>
      <c r="B5" s="3" t="s">
        <v>28</v>
      </c>
      <c r="C5" s="3" t="s">
        <v>29</v>
      </c>
      <c r="D5" s="3" t="s">
        <v>66</v>
      </c>
      <c r="E5" s="3"/>
      <c r="F5" s="3"/>
      <c r="G5"/>
      <c r="H5"/>
      <c r="I5" s="7"/>
      <c r="J5" s="7"/>
      <c r="K5" s="7" t="s">
        <v>36</v>
      </c>
      <c r="L5" s="2" t="s">
        <v>88</v>
      </c>
    </row>
    <row r="6" spans="1:12" x14ac:dyDescent="0.25">
      <c r="A6"/>
      <c r="B6" s="4" t="s">
        <v>34</v>
      </c>
      <c r="C6" s="5" t="s">
        <v>30</v>
      </c>
      <c r="D6" s="6" t="s">
        <v>67</v>
      </c>
      <c r="E6" s="5"/>
      <c r="F6" s="4" t="b">
        <v>1</v>
      </c>
      <c r="G6"/>
      <c r="H6"/>
      <c r="I6" s="7"/>
      <c r="J6" s="7"/>
      <c r="K6" s="7" t="s">
        <v>35</v>
      </c>
      <c r="L6" s="7" t="s">
        <v>89</v>
      </c>
    </row>
    <row r="7" spans="1:12" x14ac:dyDescent="0.25">
      <c r="A7"/>
      <c r="B7" s="4" t="s">
        <v>36</v>
      </c>
      <c r="C7" s="5" t="s">
        <v>31</v>
      </c>
      <c r="D7" s="6" t="s">
        <v>68</v>
      </c>
      <c r="E7" s="5"/>
      <c r="F7" s="4" t="b">
        <v>0</v>
      </c>
      <c r="G7"/>
      <c r="H7"/>
      <c r="I7" s="7"/>
      <c r="J7" s="7"/>
      <c r="K7" s="7" t="s">
        <v>39</v>
      </c>
      <c r="L7" s="7" t="s">
        <v>90</v>
      </c>
    </row>
    <row r="8" spans="1:12" x14ac:dyDescent="0.25">
      <c r="A8"/>
      <c r="B8"/>
      <c r="C8"/>
      <c r="D8"/>
      <c r="E8"/>
      <c r="F8"/>
      <c r="G8"/>
      <c r="H8"/>
      <c r="I8" s="7"/>
      <c r="J8" s="7"/>
      <c r="K8" s="7" t="s">
        <v>40</v>
      </c>
      <c r="L8" s="7" t="s">
        <v>91</v>
      </c>
    </row>
    <row r="9" spans="1:12" x14ac:dyDescent="0.25">
      <c r="A9"/>
      <c r="B9"/>
      <c r="C9"/>
      <c r="D9"/>
      <c r="E9"/>
      <c r="F9"/>
      <c r="G9"/>
      <c r="H9"/>
      <c r="I9" s="7"/>
      <c r="J9" s="7"/>
      <c r="K9" s="7" t="s">
        <v>41</v>
      </c>
      <c r="L9" s="7" t="s">
        <v>92</v>
      </c>
    </row>
    <row r="10" spans="1:12" x14ac:dyDescent="0.25">
      <c r="A10" s="9" t="s">
        <v>32</v>
      </c>
      <c r="B10"/>
      <c r="C10" t="s">
        <v>69</v>
      </c>
      <c r="D10"/>
      <c r="E10"/>
      <c r="F10"/>
      <c r="G10"/>
      <c r="H10"/>
      <c r="I10" s="7"/>
      <c r="J10" s="7"/>
      <c r="K10" s="7" t="s">
        <v>42</v>
      </c>
      <c r="L10" s="7"/>
    </row>
    <row r="11" spans="1:12" ht="165" x14ac:dyDescent="0.25">
      <c r="A11"/>
      <c r="B11" s="2" t="s">
        <v>70</v>
      </c>
      <c r="C11"/>
      <c r="D11"/>
      <c r="E11"/>
      <c r="F11"/>
      <c r="G11"/>
      <c r="H11"/>
      <c r="I11" s="7"/>
      <c r="J11" s="7"/>
      <c r="K11" s="7" t="s">
        <v>43</v>
      </c>
      <c r="L11" s="7"/>
    </row>
    <row r="12" spans="1:12" x14ac:dyDescent="0.25">
      <c r="A12"/>
      <c r="B12"/>
      <c r="C12"/>
      <c r="D12"/>
      <c r="E12"/>
      <c r="F12"/>
      <c r="G12"/>
      <c r="H12"/>
      <c r="I12" s="7"/>
      <c r="J12" s="7"/>
      <c r="K12" s="7" t="s">
        <v>44</v>
      </c>
      <c r="L12" s="7"/>
    </row>
    <row r="13" spans="1:12" x14ac:dyDescent="0.25">
      <c r="A13"/>
      <c r="B13" s="3"/>
      <c r="C13" s="3" t="s">
        <v>24</v>
      </c>
      <c r="D13" s="3" t="s">
        <v>25</v>
      </c>
      <c r="E13" s="3"/>
      <c r="F13" s="3"/>
      <c r="G13" s="3" t="s">
        <v>26</v>
      </c>
      <c r="H13" s="3" t="s">
        <v>27</v>
      </c>
      <c r="I13" s="7"/>
      <c r="J13" s="7"/>
      <c r="K13" s="7" t="s">
        <v>45</v>
      </c>
      <c r="L13" s="7"/>
    </row>
    <row r="14" spans="1:12" x14ac:dyDescent="0.25">
      <c r="A14"/>
      <c r="B14" s="3" t="s">
        <v>28</v>
      </c>
      <c r="C14" s="3" t="s">
        <v>71</v>
      </c>
      <c r="D14" s="3" t="s">
        <v>72</v>
      </c>
      <c r="E14" s="3" t="s">
        <v>66</v>
      </c>
      <c r="F14" s="3" t="s">
        <v>73</v>
      </c>
      <c r="G14" s="3"/>
      <c r="H14" s="3"/>
      <c r="I14" s="7"/>
      <c r="J14" s="7"/>
      <c r="K14" s="7" t="s">
        <v>46</v>
      </c>
      <c r="L14" s="7"/>
    </row>
    <row r="15" spans="1:12" x14ac:dyDescent="0.25">
      <c r="A15"/>
      <c r="B15" s="4" t="s">
        <v>35</v>
      </c>
      <c r="C15" s="5" t="s">
        <v>74</v>
      </c>
      <c r="D15" s="6" t="s">
        <v>75</v>
      </c>
      <c r="E15" s="6" t="s">
        <v>76</v>
      </c>
      <c r="F15" s="6" t="b">
        <v>0</v>
      </c>
      <c r="G15" s="5"/>
      <c r="H15" s="4" t="b">
        <v>1</v>
      </c>
      <c r="I15" s="7"/>
      <c r="J15" s="7"/>
      <c r="K15" s="7" t="s">
        <v>47</v>
      </c>
      <c r="L15" s="7"/>
    </row>
    <row r="16" spans="1:12" x14ac:dyDescent="0.25">
      <c r="A16"/>
      <c r="B16" s="4" t="s">
        <v>39</v>
      </c>
      <c r="C16" s="5" t="s">
        <v>77</v>
      </c>
      <c r="D16" s="6" t="s">
        <v>78</v>
      </c>
      <c r="E16" s="5" t="s">
        <v>76</v>
      </c>
      <c r="F16" s="5" t="b">
        <v>0</v>
      </c>
      <c r="G16" s="5"/>
      <c r="H16" s="4" t="b">
        <v>0</v>
      </c>
      <c r="I16" s="7"/>
      <c r="J16" s="7"/>
      <c r="K16" s="7" t="s">
        <v>48</v>
      </c>
      <c r="L16" s="7"/>
    </row>
    <row r="17" spans="1:12" x14ac:dyDescent="0.25">
      <c r="A17"/>
      <c r="B17" s="4" t="s">
        <v>40</v>
      </c>
      <c r="C17" s="5" t="s">
        <v>79</v>
      </c>
      <c r="D17" s="5" t="s">
        <v>75</v>
      </c>
      <c r="E17" s="6" t="s">
        <v>80</v>
      </c>
      <c r="F17" s="5" t="b">
        <v>0</v>
      </c>
      <c r="G17" s="5"/>
      <c r="H17" s="4" t="b">
        <v>0</v>
      </c>
      <c r="I17" s="7"/>
      <c r="J17" s="7"/>
      <c r="K17" s="7" t="s">
        <v>49</v>
      </c>
      <c r="L17" s="7"/>
    </row>
    <row r="18" spans="1:12" x14ac:dyDescent="0.25">
      <c r="A18"/>
      <c r="B18" s="4" t="s">
        <v>41</v>
      </c>
      <c r="C18" s="5" t="s">
        <v>81</v>
      </c>
      <c r="D18" s="5" t="s">
        <v>75</v>
      </c>
      <c r="E18" s="5" t="s">
        <v>76</v>
      </c>
      <c r="F18" s="6" t="b">
        <v>1</v>
      </c>
      <c r="G18" s="5"/>
      <c r="H18" s="4" t="b">
        <v>0</v>
      </c>
      <c r="I18" s="7"/>
      <c r="J18" s="7"/>
      <c r="K18" s="7" t="s">
        <v>50</v>
      </c>
      <c r="L18" s="7"/>
    </row>
    <row r="19" spans="1:12" x14ac:dyDescent="0.25">
      <c r="A19"/>
      <c r="B19"/>
      <c r="C19"/>
      <c r="D19"/>
      <c r="E19"/>
      <c r="F19"/>
      <c r="G19"/>
      <c r="H19"/>
      <c r="I19" s="7"/>
      <c r="J19" s="7"/>
      <c r="K19" s="7" t="s">
        <v>51</v>
      </c>
      <c r="L19" s="7"/>
    </row>
    <row r="20" spans="1:12" x14ac:dyDescent="0.25">
      <c r="A20"/>
      <c r="B20"/>
      <c r="C20"/>
      <c r="D20"/>
      <c r="E20"/>
      <c r="F20"/>
      <c r="G20"/>
      <c r="H20"/>
      <c r="I20" s="7"/>
      <c r="J20" s="7"/>
      <c r="K20" s="7" t="s">
        <v>52</v>
      </c>
      <c r="L20" s="7"/>
    </row>
    <row r="21" spans="1:12" x14ac:dyDescent="0.25">
      <c r="A21" s="9" t="s">
        <v>63</v>
      </c>
      <c r="B21"/>
      <c r="C21" t="s">
        <v>82</v>
      </c>
      <c r="D21"/>
      <c r="E21"/>
      <c r="F21"/>
      <c r="G21"/>
      <c r="H21"/>
      <c r="I21" s="7"/>
      <c r="J21" s="7"/>
      <c r="K21" s="7" t="s">
        <v>53</v>
      </c>
      <c r="L21" s="7"/>
    </row>
    <row r="22" spans="1:12" ht="105" x14ac:dyDescent="0.25">
      <c r="A22"/>
      <c r="B22" s="2" t="s">
        <v>83</v>
      </c>
      <c r="C22"/>
      <c r="D22"/>
      <c r="E22"/>
      <c r="F22"/>
      <c r="G22"/>
      <c r="H22"/>
      <c r="I22" s="7"/>
      <c r="J22" s="7"/>
      <c r="K22" s="7" t="s">
        <v>54</v>
      </c>
      <c r="L22" s="7"/>
    </row>
    <row r="23" spans="1:12" x14ac:dyDescent="0.25">
      <c r="A23"/>
      <c r="B23"/>
      <c r="C23"/>
      <c r="D23"/>
      <c r="E23"/>
      <c r="F23"/>
      <c r="G23"/>
      <c r="H23"/>
      <c r="I23" s="7"/>
      <c r="J23" s="7"/>
      <c r="K23" s="7" t="s">
        <v>55</v>
      </c>
      <c r="L23" s="7"/>
    </row>
    <row r="24" spans="1:12" x14ac:dyDescent="0.25">
      <c r="A24"/>
      <c r="B24" s="3"/>
      <c r="C24" s="3" t="s">
        <v>24</v>
      </c>
      <c r="D24" s="3" t="s">
        <v>25</v>
      </c>
      <c r="E24" s="3" t="s">
        <v>26</v>
      </c>
      <c r="F24" s="3" t="s">
        <v>27</v>
      </c>
      <c r="G24"/>
      <c r="H24"/>
      <c r="I24" s="7"/>
      <c r="J24" s="7"/>
      <c r="K24" s="7" t="s">
        <v>56</v>
      </c>
      <c r="L24" s="7"/>
    </row>
    <row r="25" spans="1:12" x14ac:dyDescent="0.25">
      <c r="A25"/>
      <c r="B25" s="3" t="s">
        <v>28</v>
      </c>
      <c r="C25" s="3" t="s">
        <v>29</v>
      </c>
      <c r="D25" s="3" t="s">
        <v>84</v>
      </c>
      <c r="E25" s="3"/>
      <c r="F25" s="3"/>
      <c r="G25"/>
      <c r="H25"/>
      <c r="I25" s="7"/>
      <c r="J25" s="7"/>
      <c r="K25" s="7" t="s">
        <v>57</v>
      </c>
      <c r="L25" s="7"/>
    </row>
    <row r="26" spans="1:12" x14ac:dyDescent="0.25">
      <c r="A26"/>
      <c r="B26" s="4" t="s">
        <v>34</v>
      </c>
      <c r="C26" s="5" t="s">
        <v>30</v>
      </c>
      <c r="D26" s="6" t="s">
        <v>85</v>
      </c>
      <c r="E26" s="5"/>
      <c r="F26" s="4" t="b">
        <v>1</v>
      </c>
      <c r="G26"/>
      <c r="H26"/>
      <c r="I26" s="7"/>
      <c r="J26" s="7"/>
      <c r="K26" s="7" t="s">
        <v>58</v>
      </c>
      <c r="L26" s="7"/>
    </row>
    <row r="27" spans="1:12" x14ac:dyDescent="0.25">
      <c r="A27"/>
      <c r="B27" s="4" t="s">
        <v>36</v>
      </c>
      <c r="C27" s="5" t="s">
        <v>31</v>
      </c>
      <c r="D27" s="6" t="s">
        <v>86</v>
      </c>
      <c r="E27" s="5"/>
      <c r="F27" s="4" t="b">
        <v>0</v>
      </c>
      <c r="G27"/>
      <c r="H27"/>
      <c r="I27" s="7"/>
      <c r="J27" s="7"/>
      <c r="K27" s="7" t="s">
        <v>59</v>
      </c>
      <c r="L27" s="7"/>
    </row>
    <row r="28" spans="1:12" ht="15.75" x14ac:dyDescent="0.25">
      <c r="A28" s="8"/>
      <c r="B28" s="8"/>
      <c r="C28" s="8"/>
      <c r="D28" s="8"/>
      <c r="E28" s="8"/>
      <c r="F28" s="8"/>
      <c r="G28" s="7"/>
      <c r="H28" s="7"/>
      <c r="I28" s="7"/>
      <c r="J28" s="7"/>
      <c r="K28" s="7" t="s">
        <v>60</v>
      </c>
      <c r="L28" s="7"/>
    </row>
    <row r="29" spans="1:12" x14ac:dyDescent="0.25">
      <c r="K29" s="2" t="s">
        <v>61</v>
      </c>
    </row>
    <row r="30" spans="1:12" x14ac:dyDescent="0.25">
      <c r="K30" s="2" t="s">
        <v>62</v>
      </c>
    </row>
  </sheetData>
  <phoneticPr fontId="1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in">
                <anchor moveWithCells="1" sizeWithCells="1">
                  <from>
                    <xdr:col>6</xdr:col>
                    <xdr:colOff>200025</xdr:colOff>
                    <xdr:row>1</xdr:row>
                    <xdr:rowOff>114300</xdr:rowOff>
                  </from>
                  <to>
                    <xdr:col>8</xdr:col>
                    <xdr:colOff>219075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Trung Hieu</dc:creator>
  <cp:lastModifiedBy>EXTERNAL Nguyen Trung Hieu (Ban Vien, RBVH/EPS45)</cp:lastModifiedBy>
  <dcterms:created xsi:type="dcterms:W3CDTF">2015-06-05T18:17:20Z</dcterms:created>
  <dcterms:modified xsi:type="dcterms:W3CDTF">2020-03-26T09:37:39Z</dcterms:modified>
</cp:coreProperties>
</file>