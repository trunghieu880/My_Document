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hi5hc\Desktop\"/>
    </mc:Choice>
  </mc:AlternateContent>
  <bookViews>
    <workbookView xWindow="-105" yWindow="-105" windowWidth="19425" windowHeight="10425"/>
  </bookViews>
  <sheets>
    <sheet name="Tool" sheetId="1" r:id="rId1"/>
    <sheet name="Sheet1" sheetId="3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8" i="1" l="1"/>
  <c r="Z26" i="1" l="1"/>
  <c r="Y26" i="1"/>
  <c r="X26" i="1"/>
  <c r="W26" i="1"/>
  <c r="V26" i="1"/>
  <c r="AG26" i="1" l="1"/>
  <c r="AF26" i="1"/>
  <c r="AE26" i="1"/>
  <c r="AD26" i="1"/>
  <c r="AC26" i="1"/>
  <c r="U26" i="1"/>
  <c r="AB26" i="1" s="1"/>
  <c r="Z25" i="1"/>
  <c r="AG25" i="1" s="1"/>
  <c r="Y25" i="1"/>
  <c r="AF25" i="1" s="1"/>
  <c r="X25" i="1"/>
  <c r="AE25" i="1" s="1"/>
  <c r="W25" i="1"/>
  <c r="AD25" i="1" s="1"/>
  <c r="V25" i="1"/>
  <c r="AC25" i="1" s="1"/>
  <c r="U25" i="1"/>
  <c r="AB25" i="1" s="1"/>
  <c r="Z24" i="1"/>
  <c r="AG24" i="1" s="1"/>
  <c r="Y24" i="1"/>
  <c r="AF24" i="1" s="1"/>
  <c r="X24" i="1"/>
  <c r="AE24" i="1" s="1"/>
  <c r="W24" i="1"/>
  <c r="AD24" i="1" s="1"/>
  <c r="V24" i="1"/>
  <c r="AC24" i="1" s="1"/>
  <c r="U24" i="1"/>
  <c r="AB24" i="1" s="1"/>
  <c r="Z23" i="1"/>
  <c r="AG23" i="1" s="1"/>
  <c r="Y23" i="1"/>
  <c r="AF23" i="1" s="1"/>
  <c r="X23" i="1"/>
  <c r="AE23" i="1" s="1"/>
  <c r="W23" i="1"/>
  <c r="AD23" i="1" s="1"/>
  <c r="V23" i="1"/>
  <c r="AC23" i="1" s="1"/>
  <c r="U23" i="1"/>
  <c r="AB23" i="1" s="1"/>
  <c r="Z22" i="1"/>
  <c r="AG22" i="1" s="1"/>
  <c r="Y22" i="1"/>
  <c r="AF22" i="1" s="1"/>
  <c r="X22" i="1"/>
  <c r="AE22" i="1" s="1"/>
  <c r="W22" i="1"/>
  <c r="AD22" i="1" s="1"/>
  <c r="V22" i="1"/>
  <c r="AC22" i="1" s="1"/>
  <c r="U22" i="1"/>
  <c r="AB22" i="1" s="1"/>
  <c r="Z21" i="1"/>
  <c r="AG21" i="1" s="1"/>
  <c r="Y21" i="1"/>
  <c r="AF21" i="1" s="1"/>
  <c r="X21" i="1"/>
  <c r="AE21" i="1" s="1"/>
  <c r="W21" i="1"/>
  <c r="AD21" i="1" s="1"/>
  <c r="V21" i="1"/>
  <c r="AC21" i="1" s="1"/>
  <c r="U21" i="1"/>
  <c r="AB21" i="1" s="1"/>
  <c r="Z20" i="1"/>
  <c r="AG20" i="1" s="1"/>
  <c r="Y20" i="1"/>
  <c r="AF20" i="1" s="1"/>
  <c r="X20" i="1"/>
  <c r="AE20" i="1" s="1"/>
  <c r="W20" i="1"/>
  <c r="AD20" i="1" s="1"/>
  <c r="V20" i="1"/>
  <c r="AC20" i="1" s="1"/>
  <c r="U20" i="1"/>
  <c r="AB20" i="1" s="1"/>
  <c r="Z19" i="1"/>
  <c r="AG19" i="1" s="1"/>
  <c r="Y19" i="1"/>
  <c r="AF19" i="1" s="1"/>
  <c r="X19" i="1"/>
  <c r="AE19" i="1" s="1"/>
  <c r="W19" i="1"/>
  <c r="AD19" i="1" s="1"/>
  <c r="V19" i="1"/>
  <c r="AC19" i="1" s="1"/>
  <c r="U19" i="1"/>
  <c r="AB19" i="1" s="1"/>
  <c r="Z18" i="1"/>
  <c r="AG18" i="1" s="1"/>
  <c r="Y18" i="1"/>
  <c r="AF18" i="1" s="1"/>
  <c r="X18" i="1"/>
  <c r="AE18" i="1" s="1"/>
  <c r="W18" i="1"/>
  <c r="AD18" i="1" s="1"/>
  <c r="V18" i="1"/>
  <c r="AC18" i="1" s="1"/>
  <c r="U18" i="1"/>
  <c r="AB18" i="1" s="1"/>
  <c r="Z17" i="1"/>
  <c r="AG17" i="1" s="1"/>
  <c r="Y17" i="1"/>
  <c r="AF17" i="1" s="1"/>
  <c r="X17" i="1"/>
  <c r="AE17" i="1" s="1"/>
  <c r="W17" i="1"/>
  <c r="AD17" i="1" s="1"/>
  <c r="V17" i="1"/>
  <c r="AC17" i="1" s="1"/>
  <c r="U17" i="1"/>
  <c r="AB17" i="1" s="1"/>
  <c r="Z16" i="1"/>
  <c r="AG16" i="1" s="1"/>
  <c r="Y16" i="1"/>
  <c r="AF16" i="1" s="1"/>
  <c r="X16" i="1"/>
  <c r="AE16" i="1" s="1"/>
  <c r="W16" i="1"/>
  <c r="AD16" i="1" s="1"/>
  <c r="V16" i="1"/>
  <c r="AC16" i="1" s="1"/>
  <c r="U16" i="1"/>
  <c r="AB16" i="1" s="1"/>
  <c r="Z15" i="1"/>
  <c r="AG15" i="1" s="1"/>
  <c r="Y15" i="1"/>
  <c r="AF15" i="1" s="1"/>
  <c r="X15" i="1"/>
  <c r="AE15" i="1" s="1"/>
  <c r="W15" i="1"/>
  <c r="AD15" i="1" s="1"/>
  <c r="V15" i="1"/>
  <c r="AC15" i="1" s="1"/>
  <c r="U15" i="1"/>
  <c r="AB15" i="1" s="1"/>
  <c r="Z14" i="1"/>
  <c r="AG14" i="1" s="1"/>
  <c r="Y14" i="1"/>
  <c r="AF14" i="1" s="1"/>
  <c r="X14" i="1"/>
  <c r="AE14" i="1" s="1"/>
  <c r="W14" i="1"/>
  <c r="AD14" i="1" s="1"/>
  <c r="V14" i="1"/>
  <c r="AC14" i="1" s="1"/>
  <c r="U14" i="1"/>
  <c r="AB14" i="1" s="1"/>
  <c r="Z13" i="1"/>
  <c r="AG13" i="1" s="1"/>
  <c r="Y13" i="1"/>
  <c r="AF13" i="1" s="1"/>
  <c r="X13" i="1"/>
  <c r="AE13" i="1" s="1"/>
  <c r="W13" i="1"/>
  <c r="AD13" i="1" s="1"/>
  <c r="V13" i="1"/>
  <c r="AC13" i="1" s="1"/>
  <c r="U13" i="1"/>
  <c r="AB13" i="1" s="1"/>
  <c r="Z12" i="1"/>
  <c r="AG12" i="1" s="1"/>
  <c r="Y12" i="1"/>
  <c r="AF12" i="1" s="1"/>
  <c r="X12" i="1"/>
  <c r="AE12" i="1" s="1"/>
  <c r="W12" i="1"/>
  <c r="AD12" i="1" s="1"/>
  <c r="V12" i="1"/>
  <c r="AC12" i="1" s="1"/>
  <c r="U12" i="1"/>
  <c r="AB12" i="1" s="1"/>
  <c r="Z11" i="1"/>
  <c r="AG11" i="1" s="1"/>
  <c r="Y11" i="1"/>
  <c r="AF11" i="1" s="1"/>
  <c r="X11" i="1"/>
  <c r="AE11" i="1" s="1"/>
  <c r="W11" i="1"/>
  <c r="AD11" i="1" s="1"/>
  <c r="V11" i="1"/>
  <c r="AC11" i="1" s="1"/>
  <c r="U11" i="1"/>
  <c r="AB11" i="1" s="1"/>
  <c r="Z10" i="1"/>
  <c r="AG10" i="1" s="1"/>
  <c r="Y10" i="1"/>
  <c r="AF10" i="1" s="1"/>
  <c r="X10" i="1"/>
  <c r="AE10" i="1" s="1"/>
  <c r="W10" i="1"/>
  <c r="AD10" i="1" s="1"/>
  <c r="V10" i="1"/>
  <c r="AC10" i="1" s="1"/>
  <c r="U10" i="1"/>
  <c r="AB10" i="1" s="1"/>
  <c r="Z9" i="1"/>
  <c r="AG9" i="1" s="1"/>
  <c r="Y9" i="1"/>
  <c r="AF9" i="1" s="1"/>
  <c r="X9" i="1"/>
  <c r="AE9" i="1" s="1"/>
  <c r="W9" i="1"/>
  <c r="AD9" i="1" s="1"/>
  <c r="V9" i="1"/>
  <c r="AC9" i="1" s="1"/>
  <c r="U9" i="1"/>
  <c r="AB9" i="1" s="1"/>
  <c r="Z8" i="1"/>
  <c r="AG8" i="1" s="1"/>
  <c r="Y8" i="1"/>
  <c r="AF8" i="1" s="1"/>
  <c r="X8" i="1"/>
  <c r="AE8" i="1" s="1"/>
  <c r="W8" i="1"/>
  <c r="AD8" i="1" s="1"/>
  <c r="V8" i="1"/>
  <c r="AC8" i="1" s="1"/>
  <c r="AB8" i="1"/>
</calcChain>
</file>

<file path=xl/sharedStrings.xml><?xml version="1.0" encoding="utf-8"?>
<sst xmlns="http://schemas.openxmlformats.org/spreadsheetml/2006/main" count="224" uniqueCount="88">
  <si>
    <t>Requirement 1</t>
  </si>
  <si>
    <t>Check condition (a)</t>
  </si>
  <si>
    <t>#Line 11</t>
  </si>
  <si>
    <t>MCDC</t>
  </si>
  <si>
    <t>INPUTS</t>
  </si>
  <si>
    <t>OUTPUTS</t>
  </si>
  <si>
    <t>OUTCOME</t>
  </si>
  <si>
    <t>TC No.</t>
  </si>
  <si>
    <t>a</t>
  </si>
  <si>
    <t>var_a</t>
  </si>
  <si>
    <t>(--1--)</t>
  </si>
  <si>
    <t>(--0--)</t>
  </si>
  <si>
    <t>Requirement 2</t>
  </si>
  <si>
    <t>#Line 19</t>
  </si>
  <si>
    <t>Check condition (a &amp;&amp; (b &gt; c))</t>
  </si>
  <si>
    <t>a&amp;&amp;b</t>
  </si>
  <si>
    <t>b</t>
  </si>
  <si>
    <t>&gt;c</t>
  </si>
  <si>
    <t>&lt;=c</t>
  </si>
  <si>
    <t>TC3</t>
  </si>
  <si>
    <t>TC4</t>
  </si>
  <si>
    <t>TC6</t>
  </si>
  <si>
    <t>TC5</t>
  </si>
  <si>
    <t>TC1</t>
  </si>
  <si>
    <t>TC2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</si>
  <si>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</si>
  <si>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</si>
  <si>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</si>
  <si>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</si>
  <si>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</si>
  <si>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</si>
  <si>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</si>
  <si>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</si>
  <si>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</si>
  <si>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</si>
  <si>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</si>
  <si>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</si>
  <si>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</si>
  <si>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</si>
  <si>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Requirement 3</t>
  </si>
  <si>
    <t>c</t>
  </si>
  <si>
    <t>&lt;1</t>
  </si>
  <si>
    <t>&gt;=1</t>
  </si>
  <si>
    <t>#Line 33</t>
  </si>
  <si>
    <t>d</t>
  </si>
  <si>
    <t>This testcase checks behavior:
- True condition (a) at #Line 11: with var_a True
- True condition (a &amp;&amp; (b &gt; c)) at #Line 33: with a True, with b is greater than c
- True condition (a &amp;&amp; (b &gt; c)) at #Line 19: with a True, with b is greater than c, with c is less than 1, with d is less than 1</t>
  </si>
  <si>
    <t>This testcase checks behavior:
- False condition (a) at #Line 11: with var_a False</t>
  </si>
  <si>
    <t>This testcase checks behavior:
- False condition (a &amp;&amp; (b &gt; c)) at #Line 33: with a False, with b is greater than c
- False condition (a &amp;&amp; (b &gt; c)) at #Line 19: with a False, with b is greater than c, with c is less than 1, with d is less than 1</t>
  </si>
  <si>
    <t>This testcase checks behavior:
- False condition (a &amp;&amp; (b &gt; c)) at #Line 33: with a True, with b is less and equal c
- False condition (a &amp;&amp; (b &gt; c)) at #Line 19: with a True, with b is less and equal c, with c is greater and equal 1, with d is greater and equal 1</t>
  </si>
  <si>
    <t>This testcase checks behavior:
- False condition (a &amp;&amp; (b &gt; c)) at #Line 19: with a True, with b is less and equal c, with c is greater and equal 1, with d is greater and equal 1</t>
  </si>
  <si>
    <t>File</t>
  </si>
  <si>
    <t>C0</t>
  </si>
  <si>
    <t>C1</t>
  </si>
  <si>
    <t>Reason For Coverage</t>
  </si>
  <si>
    <t>Reason For Fail TestCase</t>
  </si>
  <si>
    <t>NA</t>
  </si>
  <si>
    <t>Line 18: axFR += LOC_dax LOC_dax = (LOC_axIn - axFR) * P_TaxFR; can not reach out range max and out range min becaues:
+ LOC_dax = (LOC_axIn - axFR) * P_TaxFR; axFr += LOC_dax; the combination is a filter
+ Limit assignment P_TaxFR: [0; 0.1]
+ Limit assignment axFR and LOC_axln: [-30; 30]</t>
  </si>
  <si>
    <t>1. Line 19: "axOff -= DaxOff;" can not cover out of range max or out of range min because:
+ DaxOff is assigned by statement at line 18 "DaxOff = axOff*LOC_TaxOff;"
+ LOC_TaxOff is assigned by local paramater with fixed value "greater than 0 and less than 1"
2. Line 24, 25: "LOC_axFRsl = (LOC_dvRadvx_beforesupport / (vx_beforesupport + P_vxOffsetDef));" can not out of range max because:
+ LOC_dvRadvx_beforesupport = (vx_beforesupport - vRad_min)
+ P_vxOffsetDef is fixed 2; P_vxOffsetAbhT is fixed 2.5
+ (vx_beforesupport + P_vxOffsetDef) is always positive
+ Limit assignment LOC_axFRsl is [-20, 1]; LOC_axFRslAbhT is [-20, 1]
3. Line 35: axOff -= LOC_delaxOffaxFR can not cover out of range min because:
+ LOC_delaxOffaxFR is assigned by (LOC_delaxOffaxFR.max(P_delaxOffaxFRmax)).min(P_delaxOffaxFRmin)" at line 34 =&gt; Limit assignment of LOC_delaxOffaxFR is always less than "-1"
+ Limit assignment axOff is [-7; 7]
4. Line 62, 65: "LOC_tUnterbrSW += P_tUnterbrVerl" can not reach out range of maximum value because:
+ LOC_tUnterbrSW is always initialize by P_tUnterbrNormal with fixed value of noncalib imported "greater than 0 and less than 1"
+ Limit assignment: P_tUnterbrVerl is fixed of noncalib imported "greater than 0 and less than 1"</t>
  </si>
  <si>
    <t>Failed these testcases 1, 30, 31, 33, 34, 36 because vx is out range of limit assignment</t>
  </si>
  <si>
    <t>Line 27: vFzRefHilfKorr = ( vFzRefHilfEin + LOC_dvRadmin ).max(vx_BeforeStuetz): "vFzRefHilfEin + LOC_dvRadmin" can not reach out range max because:
+ Limit assignment LOC_dvRadmin by code at line 16, and line 23
+ P_dvvRadminNeg is fixed -0.078125 by noncalib imported; P_dvvRadminPos is fixed 0.0390625 by noncalib imported; P_TvRadminPos is fixed 0.0391845703125 by noncalib imported</t>
  </si>
  <si>
    <t>[Function calc]
Line 6: axTo = ax*P_dT; can not reached max/min because P_dT is non calib and fixed with value "0.02"
[Function Init]
- Line 7,17, 27, 37 in function Iint: Examplle for LOC_Number_Plaus_FA ++: can not reach max value because it is  initialized with value "0" at line 2, 3
- Line 53, 57, 64, 68, 73: vFzRef = (LOC_vRL+LOC_vRR)/LOC_Number_Plaus_RA can not cover case "LOC_Number_Plaus_RA" is assigned to value "0" because LOC_Number_Plaus_RA and LOC_Number_Plaus_FA is limitted by condition at line 45, 51, 62</t>
  </si>
  <si>
    <t>Line 34, 41: can not cover C0, C1 because if(enable_REFvy) is always fixed "True" by non-calibrate imported parameter</t>
  </si>
  <si>
    <t>+ Param1D can not cover C0, C1
+ Line 7: alMin_RA = scale_alRA*alRA_model.getAt(mueS_RA) can not reach out range max or our range min because:
- scale_alRA is non-calib with default value "1"
- Limit assignemt of alRA_model: [-1; 1]</t>
  </si>
  <si>
    <t>Testcase 4 got failed case because vyMin_RA do not have limit assignment.</t>
  </si>
  <si>
    <t>[No1] Line 33: vx += LOC_delvx; can not cover reacht out of max or out of min because:
- It is a filter and range P_TvFzRefHilf is [0;1]
- LOC_delvx =  ( vStuetz - vx ); LOC_delvx = LOC_delvx * LOC_Kovx;
- Range LOC_Kovx: [0;1]; vStuetz: [0; 100]; vx: [0; 100]
[No2] Line 48: vx +=  LOC_delvx * Fstuetz can not cover reach out of max or out of min because:
- It is a filter and range P_TvFzRefHilf is [0;1]
- LOC_delvx = (LOC_vStuetzHilf - vx); LOC_delvx = LOC_delvx * P_TvFzRefHilf; LOC_vStuetzHilf = vStuetz;
- Range Fstuetz is [0;1]; vStuetz: [0; 100]; vx: [0; 100]</t>
  </si>
  <si>
    <t>Line 11, 17 23, 29: AnzvRadMin++ is never reached max value because variable AnzvRadMin is initialized by value "0" at line 5</t>
  </si>
  <si>
    <t>Dy_BrakingInProgress</t>
  </si>
  <si>
    <t>SM_CalcaxToFR</t>
  </si>
  <si>
    <t>SM_CalcaxToOff</t>
  </si>
  <si>
    <t>SM_CalcvFzRefHilfKorr</t>
  </si>
  <si>
    <t>SM_TempIdentification</t>
  </si>
  <si>
    <t>SpecialSituationsRad</t>
  </si>
  <si>
    <t>TransVF20ms</t>
  </si>
  <si>
    <t>Trans_vGiRadst</t>
  </si>
  <si>
    <t>Trans_vRadFreiLamHA</t>
  </si>
  <si>
    <t>Trans_vRadFreiLamVA</t>
  </si>
  <si>
    <t>Trans_vRadLam</t>
  </si>
  <si>
    <t>Trans_vyMin</t>
  </si>
  <si>
    <t>vxaxToOffKorrStdBeob</t>
  </si>
  <si>
    <t>WF_CalcFRad</t>
  </si>
  <si>
    <t>WF_LiftedWheel</t>
  </si>
  <si>
    <t>WF_WheelvMinIdent</t>
  </si>
  <si>
    <t>WQ_Norm_Whl</t>
  </si>
  <si>
    <t>WQ_vRadPPPmaxmin</t>
  </si>
  <si>
    <t>WQ_WSS_Inpl</t>
  </si>
  <si>
    <t>Modify estimation effort from 1..615 hour to 4 hour. Confirm by Mr. Hoang</t>
  </si>
  <si>
    <t>Can not compile project, and missing limit assignment. Indian support to fix within 5 hour on 25th Mar, 2020</t>
  </si>
  <si>
    <t>Missing limit assignment. Bug OPL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</si>
</sst>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quotePrefix="1"/>
    <xf numFmtId="0" fontId="0" fillId="2" borderId="0" xfId="0" applyFill="1"/>
    <xf numFmtId="0" fontId="0" fillId="0" borderId="1" xfId="0" applyBorder="1"/>
    <xf numFmtId="0" fontId="2" fillId="0" borderId="1" xfId="0" applyFont="1" applyBorder="1"/>
    <xf numFmtId="0" fontId="0" fillId="3" borderId="1" xfId="0" applyFill="1" applyBorder="1"/>
    <xf numFmtId="0" fontId="1" fillId="0" borderId="1" xfId="0" applyFont="1" applyBorder="1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 applyAlignment="1"/>
    <xf numFmtId="0" fontId="0" fillId="0" borderId="1" xfId="0" applyFont="1" applyBorder="1" applyAlignment="1">
      <alignment horizontal="left" vertical="top"/>
    </xf>
    <xf numFmtId="10" fontId="0" fillId="0" borderId="1" xfId="0" applyNumberFormat="1" applyFont="1" applyBorder="1" applyAlignment="1">
      <alignment horizontal="left" vertical="top"/>
    </xf>
    <xf numFmtId="0" fontId="0" fillId="4" borderId="1" xfId="0" applyFont="1" applyFill="1" applyBorder="1" applyAlignment="1">
      <alignment horizontal="left" vertical="top"/>
    </xf>
    <xf numFmtId="0" fontId="0" fillId="5" borderId="1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1</xdr:row>
          <xdr:rowOff>28575</xdr:rowOff>
        </xdr:from>
        <xdr:to>
          <xdr:col>2</xdr:col>
          <xdr:colOff>419100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Param1D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</xdr:row>
          <xdr:rowOff>57150</xdr:rowOff>
        </xdr:from>
        <xdr:to>
          <xdr:col>5</xdr:col>
          <xdr:colOff>200025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Param2D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1</xdr:row>
          <xdr:rowOff>57150</xdr:rowOff>
        </xdr:from>
        <xdr:to>
          <xdr:col>6</xdr:col>
          <xdr:colOff>542925</xdr:colOff>
          <xdr:row>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Comment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66675</xdr:rowOff>
        </xdr:from>
        <xdr:to>
          <xdr:col>7</xdr:col>
          <xdr:colOff>552450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C0/C1/MCDC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AG27"/>
  <sheetViews>
    <sheetView tabSelected="1" zoomScale="85" zoomScaleNormal="85" workbookViewId="0">
      <selection activeCell="I20" sqref="I20"/>
    </sheetView>
  </sheetViews>
  <sheetFormatPr defaultRowHeight="15" x14ac:dyDescent="0.25"/>
  <cols>
    <col min="1" max="1" width="8.85546875" customWidth="1"/>
    <col min="2" max="2" width="23" bestFit="1" customWidth="1"/>
    <col min="3" max="5" width="8.85546875" customWidth="1"/>
    <col min="6" max="6" width="18.42578125" bestFit="1" customWidth="1"/>
    <col min="7" max="7" width="21.140625" bestFit="1" customWidth="1"/>
    <col min="8" max="12" width="8.85546875" customWidth="1"/>
    <col min="13" max="13" width="23" bestFit="1" customWidth="1"/>
  </cols>
  <sheetData>
    <row r="3" spans="2:33" x14ac:dyDescent="0.25">
      <c r="L3" s="7"/>
    </row>
    <row r="5" spans="2:33" x14ac:dyDescent="0.25">
      <c r="L5" s="7"/>
    </row>
    <row r="7" spans="2:33" x14ac:dyDescent="0.25">
      <c r="U7">
        <v>1</v>
      </c>
      <c r="V7">
        <v>2</v>
      </c>
      <c r="W7">
        <v>3</v>
      </c>
      <c r="X7">
        <v>4</v>
      </c>
      <c r="Y7">
        <v>5</v>
      </c>
      <c r="Z7">
        <v>6</v>
      </c>
    </row>
    <row r="8" spans="2:33" x14ac:dyDescent="0.25">
      <c r="B8" s="4" t="s">
        <v>50</v>
      </c>
      <c r="C8" s="4" t="s">
        <v>51</v>
      </c>
      <c r="D8" s="4" t="s">
        <v>52</v>
      </c>
      <c r="E8" s="4" t="s">
        <v>3</v>
      </c>
      <c r="F8" s="4" t="s">
        <v>53</v>
      </c>
      <c r="G8" s="4" t="s">
        <v>54</v>
      </c>
      <c r="M8" s="10" t="s">
        <v>66</v>
      </c>
      <c r="N8" s="11">
        <v>1</v>
      </c>
      <c r="O8" s="11">
        <v>1</v>
      </c>
      <c r="P8" s="11">
        <v>1</v>
      </c>
      <c r="Q8" s="10"/>
      <c r="R8" s="10"/>
      <c r="U8" t="str">
        <f>VLOOKUP(M8,$B$9:$G$27,$U$7,0)</f>
        <v>Dy_BrakingInProgress</v>
      </c>
      <c r="V8">
        <f>VLOOKUP(M8,$B$9:$G$27,$V$7,0)</f>
        <v>1</v>
      </c>
      <c r="W8">
        <f>VLOOKUP(M8,$B$9:$G$27,$W$7,0)</f>
        <v>1</v>
      </c>
      <c r="X8">
        <f>VLOOKUP(M8,$B$9:$G$27,$X$7,0)</f>
        <v>1</v>
      </c>
      <c r="Y8" t="str">
        <f>VLOOKUP(M8,$B$9:$G$27,$Y$7,0)</f>
        <v>NA</v>
      </c>
      <c r="Z8" t="str">
        <f>VLOOKUP(M8,$B$9:$G$27,$Z$7,0)</f>
        <v>NA</v>
      </c>
      <c r="AB8" t="b">
        <f>M8=U8</f>
        <v>1</v>
      </c>
      <c r="AC8" t="b">
        <f t="shared" ref="AC8:AE8" si="0">N8=V8</f>
        <v>1</v>
      </c>
      <c r="AD8" t="b">
        <f t="shared" si="0"/>
        <v>1</v>
      </c>
      <c r="AE8" t="b">
        <f t="shared" si="0"/>
        <v>1</v>
      </c>
      <c r="AF8" t="str">
        <f>IF(Y8="NA","",Y8=Q8)</f>
        <v/>
      </c>
      <c r="AG8" t="str">
        <f>IF(Z8="NA","",Z8=R8)</f>
        <v/>
      </c>
    </row>
    <row r="9" spans="2:33" x14ac:dyDescent="0.25">
      <c r="B9" s="9" t="s">
        <v>66</v>
      </c>
      <c r="C9" s="9">
        <v>1</v>
      </c>
      <c r="D9" s="9">
        <v>1</v>
      </c>
      <c r="E9" s="9">
        <v>1</v>
      </c>
      <c r="F9" s="9" t="s">
        <v>55</v>
      </c>
      <c r="G9" s="9" t="s">
        <v>55</v>
      </c>
      <c r="M9" s="10" t="s">
        <v>84</v>
      </c>
      <c r="N9" s="11">
        <v>1</v>
      </c>
      <c r="O9" s="11">
        <v>1</v>
      </c>
      <c r="P9" s="11">
        <v>1</v>
      </c>
      <c r="Q9" s="10"/>
      <c r="R9" s="10"/>
      <c r="U9" t="str">
        <f t="shared" ref="U9:U26" si="1">VLOOKUP(M9,$B$9:$G$27,$U$7,0)</f>
        <v>WQ_WSS_Inpl</v>
      </c>
      <c r="V9">
        <f t="shared" ref="V9:V25" si="2">VLOOKUP(M9,$B$9:$G$27,$V$7,0)</f>
        <v>1</v>
      </c>
      <c r="W9">
        <f t="shared" ref="W9:W25" si="3">VLOOKUP(M9,$B$9:$G$27,$W$7,0)</f>
        <v>1</v>
      </c>
      <c r="X9" t="str">
        <f t="shared" ref="X9:X25" si="4">VLOOKUP(M9,$B$9:$G$27,$X$7,0)</f>
        <v>NA</v>
      </c>
      <c r="Y9" t="str">
        <f t="shared" ref="Y9:Y25" si="5">VLOOKUP(M9,$B$9:$G$27,$Y$7,0)</f>
        <v>NA</v>
      </c>
      <c r="Z9" t="str">
        <f t="shared" ref="Z9:Z25" si="6">VLOOKUP(M9,$B$9:$G$27,$Z$7,0)</f>
        <v>NA</v>
      </c>
      <c r="AB9" t="b">
        <f t="shared" ref="AB9:AB26" si="7">M9=U9</f>
        <v>1</v>
      </c>
      <c r="AC9" t="b">
        <f t="shared" ref="AC9:AC26" si="8">N9=V9</f>
        <v>1</v>
      </c>
      <c r="AD9" t="b">
        <f t="shared" ref="AD9:AD26" si="9">O9=W9</f>
        <v>1</v>
      </c>
      <c r="AE9" t="b">
        <f t="shared" ref="AE9:AE26" si="10">P9=X9</f>
        <v>0</v>
      </c>
      <c r="AF9" t="str">
        <f t="shared" ref="AF9:AF26" si="11">IF(Y9="NA","",Y9=Q9)</f>
        <v/>
      </c>
      <c r="AG9" t="str">
        <f t="shared" ref="AG9:AG26" si="12">IF(Z9="NA","",Z9=R9)</f>
        <v/>
      </c>
    </row>
    <row r="10" spans="2:33" x14ac:dyDescent="0.25">
      <c r="B10" s="9" t="s">
        <v>67</v>
      </c>
      <c r="C10" s="9">
        <v>0.83299999999999996</v>
      </c>
      <c r="D10" s="9">
        <v>0.84599999999999997</v>
      </c>
      <c r="E10" s="9">
        <v>1</v>
      </c>
      <c r="F10" s="9" t="s">
        <v>56</v>
      </c>
      <c r="G10" s="9" t="s">
        <v>55</v>
      </c>
      <c r="M10" s="10" t="s">
        <v>83</v>
      </c>
      <c r="N10" s="11">
        <v>1</v>
      </c>
      <c r="O10" s="11">
        <v>1</v>
      </c>
      <c r="P10" s="11" t="s">
        <v>55</v>
      </c>
      <c r="Q10" s="10"/>
      <c r="R10" s="10"/>
      <c r="U10" t="str">
        <f t="shared" si="1"/>
        <v>WQ_vRadPPPmaxmin</v>
      </c>
      <c r="V10">
        <f t="shared" si="2"/>
        <v>1</v>
      </c>
      <c r="W10">
        <f t="shared" si="3"/>
        <v>1</v>
      </c>
      <c r="X10" t="str">
        <f t="shared" si="4"/>
        <v>NA</v>
      </c>
      <c r="Y10" t="str">
        <f t="shared" si="5"/>
        <v>NA</v>
      </c>
      <c r="Z10" t="str">
        <f t="shared" si="6"/>
        <v>NA</v>
      </c>
      <c r="AB10" t="b">
        <f t="shared" si="7"/>
        <v>1</v>
      </c>
      <c r="AC10" t="b">
        <f t="shared" si="8"/>
        <v>1</v>
      </c>
      <c r="AD10" t="b">
        <f t="shared" si="9"/>
        <v>1</v>
      </c>
      <c r="AE10" t="b">
        <f t="shared" si="10"/>
        <v>1</v>
      </c>
      <c r="AF10" t="str">
        <f t="shared" si="11"/>
        <v/>
      </c>
      <c r="AG10" t="str">
        <f t="shared" si="12"/>
        <v/>
      </c>
    </row>
    <row r="11" spans="2:33" x14ac:dyDescent="0.25">
      <c r="B11" s="9" t="s">
        <v>68</v>
      </c>
      <c r="C11" s="9">
        <v>0.88900000000000001</v>
      </c>
      <c r="D11" s="9">
        <v>0.90800000000000003</v>
      </c>
      <c r="E11" s="9">
        <v>1</v>
      </c>
      <c r="F11" s="9" t="s">
        <v>57</v>
      </c>
      <c r="G11" s="9" t="s">
        <v>58</v>
      </c>
      <c r="M11" s="10" t="s">
        <v>82</v>
      </c>
      <c r="N11" s="11">
        <v>1</v>
      </c>
      <c r="O11" s="11">
        <v>1</v>
      </c>
      <c r="P11" s="11" t="s">
        <v>55</v>
      </c>
      <c r="Q11" s="10"/>
      <c r="R11" s="10"/>
      <c r="U11" t="str">
        <f t="shared" si="1"/>
        <v>WQ_Norm_Whl</v>
      </c>
      <c r="V11">
        <f t="shared" si="2"/>
        <v>1</v>
      </c>
      <c r="W11">
        <f t="shared" si="3"/>
        <v>1</v>
      </c>
      <c r="X11" t="str">
        <f t="shared" si="4"/>
        <v>NA</v>
      </c>
      <c r="Y11" t="str">
        <f t="shared" si="5"/>
        <v>NA</v>
      </c>
      <c r="Z11" t="str">
        <f t="shared" si="6"/>
        <v>NA</v>
      </c>
      <c r="AB11" t="b">
        <f t="shared" si="7"/>
        <v>1</v>
      </c>
      <c r="AC11" t="b">
        <f t="shared" si="8"/>
        <v>1</v>
      </c>
      <c r="AD11" t="b">
        <f t="shared" si="9"/>
        <v>1</v>
      </c>
      <c r="AE11" t="b">
        <f t="shared" si="10"/>
        <v>1</v>
      </c>
      <c r="AF11" t="str">
        <f t="shared" si="11"/>
        <v/>
      </c>
      <c r="AG11" t="str">
        <f t="shared" si="12"/>
        <v/>
      </c>
    </row>
    <row r="12" spans="2:33" x14ac:dyDescent="0.25">
      <c r="B12" s="9" t="s">
        <v>69</v>
      </c>
      <c r="C12" s="9">
        <v>0.94399999999999995</v>
      </c>
      <c r="D12" s="9">
        <v>0.94699999999999995</v>
      </c>
      <c r="E12" s="9" t="s">
        <v>55</v>
      </c>
      <c r="F12" s="9" t="s">
        <v>59</v>
      </c>
      <c r="G12" s="9" t="s">
        <v>55</v>
      </c>
      <c r="M12" s="10" t="s">
        <v>81</v>
      </c>
      <c r="N12" s="11">
        <v>0.72899999999999998</v>
      </c>
      <c r="O12" s="11">
        <v>0.82599999999999996</v>
      </c>
      <c r="P12" s="11" t="s">
        <v>55</v>
      </c>
      <c r="Q12" s="10" t="s">
        <v>65</v>
      </c>
      <c r="R12" s="10"/>
      <c r="U12" t="str">
        <f t="shared" si="1"/>
        <v>WF_WheelvMinIdent</v>
      </c>
      <c r="V12">
        <f t="shared" si="2"/>
        <v>0.72899999999999998</v>
      </c>
      <c r="W12">
        <f t="shared" si="3"/>
        <v>0.82599999999999996</v>
      </c>
      <c r="X12" t="str">
        <f t="shared" si="4"/>
        <v>NA</v>
      </c>
      <c r="Y12" t="str">
        <f t="shared" si="5"/>
        <v>Line 11, 17 23, 29: AnzvRadMin++ is never reached max value because variable AnzvRadMin is initialized by value "0" at line 5</v>
      </c>
      <c r="Z12" t="str">
        <f t="shared" si="6"/>
        <v>NA</v>
      </c>
      <c r="AB12" t="b">
        <f t="shared" si="7"/>
        <v>1</v>
      </c>
      <c r="AC12" t="b">
        <f t="shared" si="8"/>
        <v>1</v>
      </c>
      <c r="AD12" t="b">
        <f t="shared" si="9"/>
        <v>1</v>
      </c>
      <c r="AE12" t="b">
        <f t="shared" si="10"/>
        <v>1</v>
      </c>
      <c r="AF12" t="b">
        <f t="shared" si="11"/>
        <v>1</v>
      </c>
      <c r="AG12" t="str">
        <f t="shared" si="12"/>
        <v/>
      </c>
    </row>
    <row r="13" spans="2:33" x14ac:dyDescent="0.25">
      <c r="B13" s="9" t="s">
        <v>70</v>
      </c>
      <c r="C13" s="9">
        <v>1</v>
      </c>
      <c r="D13" s="9">
        <v>1</v>
      </c>
      <c r="E13" s="9">
        <v>1</v>
      </c>
      <c r="F13" s="9" t="s">
        <v>55</v>
      </c>
      <c r="G13" s="9" t="s">
        <v>55</v>
      </c>
      <c r="M13" s="10" t="s">
        <v>80</v>
      </c>
      <c r="N13" s="11">
        <v>1</v>
      </c>
      <c r="O13" s="11">
        <v>1</v>
      </c>
      <c r="P13" s="11" t="s">
        <v>55</v>
      </c>
      <c r="Q13" s="10"/>
      <c r="R13" s="10"/>
      <c r="U13" t="str">
        <f t="shared" si="1"/>
        <v>WF_LiftedWheel</v>
      </c>
      <c r="V13">
        <f t="shared" si="2"/>
        <v>1</v>
      </c>
      <c r="W13">
        <f t="shared" si="3"/>
        <v>1</v>
      </c>
      <c r="X13" t="str">
        <f t="shared" si="4"/>
        <v>NA</v>
      </c>
      <c r="Y13" t="str">
        <f t="shared" si="5"/>
        <v>NA</v>
      </c>
      <c r="Z13" t="str">
        <f t="shared" si="6"/>
        <v>NA</v>
      </c>
      <c r="AB13" t="b">
        <f t="shared" si="7"/>
        <v>1</v>
      </c>
      <c r="AC13" t="b">
        <f t="shared" si="8"/>
        <v>1</v>
      </c>
      <c r="AD13" t="b">
        <f t="shared" si="9"/>
        <v>1</v>
      </c>
      <c r="AE13" t="b">
        <f t="shared" si="10"/>
        <v>1</v>
      </c>
      <c r="AF13" t="str">
        <f t="shared" si="11"/>
        <v/>
      </c>
      <c r="AG13" t="str">
        <f t="shared" si="12"/>
        <v/>
      </c>
    </row>
    <row r="14" spans="2:33" x14ac:dyDescent="0.25">
      <c r="B14" s="9" t="s">
        <v>71</v>
      </c>
      <c r="C14" s="9">
        <v>1</v>
      </c>
      <c r="D14" s="9">
        <v>1</v>
      </c>
      <c r="E14" s="9">
        <v>1</v>
      </c>
      <c r="F14" s="9" t="s">
        <v>55</v>
      </c>
      <c r="G14" s="9" t="s">
        <v>55</v>
      </c>
      <c r="M14" s="10" t="s">
        <v>79</v>
      </c>
      <c r="N14" s="11">
        <v>1</v>
      </c>
      <c r="O14" s="11">
        <v>1</v>
      </c>
      <c r="P14" s="11">
        <v>1</v>
      </c>
      <c r="Q14" s="10"/>
      <c r="R14" s="10"/>
      <c r="U14" t="str">
        <f t="shared" si="1"/>
        <v>WF_CalcFRad</v>
      </c>
      <c r="V14">
        <f t="shared" si="2"/>
        <v>1</v>
      </c>
      <c r="W14">
        <f t="shared" si="3"/>
        <v>1</v>
      </c>
      <c r="X14">
        <f t="shared" si="4"/>
        <v>1</v>
      </c>
      <c r="Y14" t="str">
        <f t="shared" si="5"/>
        <v>NA</v>
      </c>
      <c r="Z14" t="str">
        <f t="shared" si="6"/>
        <v>NA</v>
      </c>
      <c r="AB14" t="b">
        <f t="shared" si="7"/>
        <v>1</v>
      </c>
      <c r="AC14" t="b">
        <f t="shared" si="8"/>
        <v>1</v>
      </c>
      <c r="AD14" t="b">
        <f t="shared" si="9"/>
        <v>1</v>
      </c>
      <c r="AE14" t="b">
        <f t="shared" si="10"/>
        <v>1</v>
      </c>
      <c r="AF14" t="str">
        <f t="shared" si="11"/>
        <v/>
      </c>
      <c r="AG14" t="str">
        <f t="shared" si="12"/>
        <v/>
      </c>
    </row>
    <row r="15" spans="2:33" x14ac:dyDescent="0.25">
      <c r="B15" s="9" t="s">
        <v>72</v>
      </c>
      <c r="C15" s="9">
        <v>0.81</v>
      </c>
      <c r="D15" s="9">
        <v>0.82</v>
      </c>
      <c r="E15" s="9" t="s">
        <v>55</v>
      </c>
      <c r="F15" s="9" t="s">
        <v>60</v>
      </c>
      <c r="G15" s="9" t="s">
        <v>55</v>
      </c>
      <c r="M15" s="10" t="s">
        <v>78</v>
      </c>
      <c r="N15" s="11">
        <v>0.872</v>
      </c>
      <c r="O15" s="11">
        <v>0.88500000000000001</v>
      </c>
      <c r="P15" s="11">
        <v>1</v>
      </c>
      <c r="Q15" s="10" t="s">
        <v>64</v>
      </c>
      <c r="R15" s="10"/>
      <c r="U15" t="str">
        <f t="shared" si="1"/>
        <v>vxaxToOffKorrStdBeob</v>
      </c>
      <c r="V15">
        <f t="shared" si="2"/>
        <v>0.872</v>
      </c>
      <c r="W15">
        <f t="shared" si="3"/>
        <v>0.88500000000000001</v>
      </c>
      <c r="X15">
        <f t="shared" si="4"/>
        <v>1</v>
      </c>
      <c r="Y15" t="str">
        <f t="shared" si="5"/>
        <v>[No1] Line 33: vx += LOC_delvx; can not cover reacht out of max or out of min because:
- It is a filter and range P_TvFzRefHilf is [0;1]
- LOC_delvx =  ( vStuetz - vx ); LOC_delvx = LOC_delvx * LOC_Kovx;
- Range LOC_Kovx: [0;1]; vStuetz: [0; 100]; vx: [0; 100]
[No2] Line 48: vx +=  LOC_delvx * Fstuetz can not cover reach out of max or out of min because:
- It is a filter and range P_TvFzRefHilf is [0;1]
- LOC_delvx = (LOC_vStuetzHilf - vx); LOC_delvx = LOC_delvx * P_TvFzRefHilf; LOC_vStuetzHilf = vStuetz;
- Range Fstuetz is [0;1]; vStuetz: [0; 100]; vx: [0; 100]</v>
      </c>
      <c r="Z15" t="str">
        <f t="shared" si="6"/>
        <v>NA</v>
      </c>
      <c r="AB15" t="b">
        <f t="shared" si="7"/>
        <v>1</v>
      </c>
      <c r="AC15" t="b">
        <f t="shared" si="8"/>
        <v>1</v>
      </c>
      <c r="AD15" t="b">
        <f t="shared" si="9"/>
        <v>1</v>
      </c>
      <c r="AE15" t="b">
        <f t="shared" si="10"/>
        <v>1</v>
      </c>
      <c r="AF15" t="b">
        <f t="shared" si="11"/>
        <v>1</v>
      </c>
      <c r="AG15" t="str">
        <f t="shared" si="12"/>
        <v/>
      </c>
    </row>
    <row r="16" spans="2:33" x14ac:dyDescent="0.25">
      <c r="B16" s="9" t="s">
        <v>73</v>
      </c>
      <c r="C16" s="9">
        <v>0.95</v>
      </c>
      <c r="D16" s="9">
        <v>0.95699999999999996</v>
      </c>
      <c r="E16" s="9">
        <v>1</v>
      </c>
      <c r="F16" s="9" t="s">
        <v>61</v>
      </c>
      <c r="G16" s="9" t="s">
        <v>55</v>
      </c>
      <c r="M16" s="10" t="s">
        <v>72</v>
      </c>
      <c r="N16" s="11">
        <v>0.81</v>
      </c>
      <c r="O16" s="11">
        <v>0.82</v>
      </c>
      <c r="P16" s="11" t="s">
        <v>55</v>
      </c>
      <c r="Q16" s="10" t="s">
        <v>60</v>
      </c>
      <c r="R16" s="12" t="s">
        <v>85</v>
      </c>
      <c r="U16" t="str">
        <f t="shared" si="1"/>
        <v>TransVF20ms</v>
      </c>
      <c r="V16">
        <f t="shared" si="2"/>
        <v>0.81</v>
      </c>
      <c r="W16">
        <f t="shared" si="3"/>
        <v>0.82</v>
      </c>
      <c r="X16" t="str">
        <f t="shared" si="4"/>
        <v>NA</v>
      </c>
      <c r="Y16" t="str">
        <f t="shared" si="5"/>
        <v>[Function calc]
Line 6: axTo = ax*P_dT; can not reached max/min because P_dT is non calib and fixed with value "0.02"
[Function Init]
- Line 7,17, 27, 37 in function Iint: Examplle for LOC_Number_Plaus_FA ++: can not reach max value because it is  initialized with value "0" at line 2, 3
- Line 53, 57, 64, 68, 73: vFzRef = (LOC_vRL+LOC_vRR)/LOC_Number_Plaus_RA can not cover case "LOC_Number_Plaus_RA" is assigned to value "0" because LOC_Number_Plaus_RA and LOC_Number_Plaus_FA is limitted by condition at line 45, 51, 62</v>
      </c>
      <c r="Z16" t="str">
        <f t="shared" si="6"/>
        <v>NA</v>
      </c>
      <c r="AB16" t="b">
        <f t="shared" si="7"/>
        <v>1</v>
      </c>
      <c r="AC16" t="b">
        <f t="shared" si="8"/>
        <v>1</v>
      </c>
      <c r="AD16" t="b">
        <f t="shared" si="9"/>
        <v>1</v>
      </c>
      <c r="AE16" t="b">
        <f t="shared" si="10"/>
        <v>1</v>
      </c>
      <c r="AF16" t="b">
        <f t="shared" si="11"/>
        <v>1</v>
      </c>
      <c r="AG16" t="str">
        <f t="shared" si="12"/>
        <v/>
      </c>
    </row>
    <row r="17" spans="2:33" x14ac:dyDescent="0.25">
      <c r="B17" s="9" t="s">
        <v>74</v>
      </c>
      <c r="C17" s="9">
        <v>1</v>
      </c>
      <c r="D17" s="9">
        <v>1</v>
      </c>
      <c r="E17" s="9" t="s">
        <v>55</v>
      </c>
      <c r="F17" s="9" t="s">
        <v>55</v>
      </c>
      <c r="G17" s="9" t="s">
        <v>55</v>
      </c>
      <c r="M17" s="13" t="s">
        <v>77</v>
      </c>
      <c r="N17" s="11">
        <v>0.73299999999999998</v>
      </c>
      <c r="O17" s="11">
        <v>0.73299999999999998</v>
      </c>
      <c r="P17" s="11" t="s">
        <v>55</v>
      </c>
      <c r="Q17" s="10" t="s">
        <v>62</v>
      </c>
      <c r="R17" s="12" t="s">
        <v>86</v>
      </c>
      <c r="U17" t="str">
        <f t="shared" si="1"/>
        <v>Trans_vyMin</v>
      </c>
      <c r="V17">
        <f t="shared" si="2"/>
        <v>0.73299999999999998</v>
      </c>
      <c r="W17">
        <f t="shared" si="3"/>
        <v>0.73299999999999998</v>
      </c>
      <c r="X17" t="str">
        <f t="shared" si="4"/>
        <v>NA</v>
      </c>
      <c r="Y17" t="str">
        <f t="shared" si="5"/>
        <v>+ Param1D can not cover C0, C1
+ Line 7: alMin_RA = scale_alRA*alRA_model.getAt(mueS_RA) can not reach out range max or our range min because:
- scale_alRA is non-calib with default value "1"
- Limit assignemt of alRA_model: [-1; 1]</v>
      </c>
      <c r="Z17" t="str">
        <f t="shared" si="6"/>
        <v>Testcase 4 got failed case because vyMin_RA do not have limit assignment.</v>
      </c>
      <c r="AB17" t="b">
        <f t="shared" si="7"/>
        <v>1</v>
      </c>
      <c r="AC17" t="b">
        <f t="shared" si="8"/>
        <v>1</v>
      </c>
      <c r="AD17" t="b">
        <f t="shared" si="9"/>
        <v>1</v>
      </c>
      <c r="AE17" t="b">
        <f t="shared" si="10"/>
        <v>1</v>
      </c>
      <c r="AF17" t="b">
        <f t="shared" si="11"/>
        <v>1</v>
      </c>
      <c r="AG17" t="b">
        <f t="shared" si="12"/>
        <v>0</v>
      </c>
    </row>
    <row r="18" spans="2:33" x14ac:dyDescent="0.25">
      <c r="B18" s="9" t="s">
        <v>75</v>
      </c>
      <c r="C18" s="9">
        <v>1</v>
      </c>
      <c r="D18" s="9">
        <v>1</v>
      </c>
      <c r="E18" s="9" t="s">
        <v>55</v>
      </c>
      <c r="F18" s="9" t="s">
        <v>55</v>
      </c>
      <c r="G18" s="9" t="s">
        <v>55</v>
      </c>
      <c r="M18" s="13" t="s">
        <v>76</v>
      </c>
      <c r="N18" s="11">
        <v>1</v>
      </c>
      <c r="O18" s="11">
        <v>1</v>
      </c>
      <c r="P18" s="11" t="s">
        <v>55</v>
      </c>
      <c r="Q18" s="10"/>
      <c r="R18" s="10"/>
      <c r="U18" t="str">
        <f t="shared" si="1"/>
        <v>Trans_vRadLam</v>
      </c>
      <c r="V18">
        <f t="shared" si="2"/>
        <v>1</v>
      </c>
      <c r="W18">
        <f t="shared" si="3"/>
        <v>1</v>
      </c>
      <c r="X18" t="str">
        <f t="shared" si="4"/>
        <v>NA</v>
      </c>
      <c r="Y18" t="str">
        <f t="shared" si="5"/>
        <v>NA</v>
      </c>
      <c r="Z18" t="str">
        <f t="shared" si="6"/>
        <v>NA</v>
      </c>
      <c r="AB18" t="b">
        <f t="shared" si="7"/>
        <v>1</v>
      </c>
      <c r="AC18" t="b">
        <f t="shared" si="8"/>
        <v>1</v>
      </c>
      <c r="AD18" t="b">
        <f t="shared" si="9"/>
        <v>1</v>
      </c>
      <c r="AE18" t="b">
        <f t="shared" si="10"/>
        <v>1</v>
      </c>
      <c r="AF18" t="str">
        <f t="shared" si="11"/>
        <v/>
      </c>
      <c r="AG18" t="str">
        <f t="shared" si="12"/>
        <v/>
      </c>
    </row>
    <row r="19" spans="2:33" x14ac:dyDescent="0.25">
      <c r="B19" s="8" t="s">
        <v>76</v>
      </c>
      <c r="C19" s="8">
        <v>1</v>
      </c>
      <c r="D19" s="8">
        <v>1</v>
      </c>
      <c r="E19" s="8" t="s">
        <v>55</v>
      </c>
      <c r="F19" s="8" t="s">
        <v>55</v>
      </c>
      <c r="G19" s="8" t="s">
        <v>55</v>
      </c>
      <c r="M19" s="10" t="s">
        <v>75</v>
      </c>
      <c r="N19" s="11">
        <v>1</v>
      </c>
      <c r="O19" s="11">
        <v>1</v>
      </c>
      <c r="P19" s="11" t="s">
        <v>55</v>
      </c>
      <c r="Q19" s="10"/>
      <c r="R19" s="10"/>
      <c r="U19" t="str">
        <f t="shared" si="1"/>
        <v>Trans_vRadFreiLamVA</v>
      </c>
      <c r="V19">
        <f t="shared" si="2"/>
        <v>1</v>
      </c>
      <c r="W19">
        <f t="shared" si="3"/>
        <v>1</v>
      </c>
      <c r="X19" t="str">
        <f t="shared" si="4"/>
        <v>NA</v>
      </c>
      <c r="Y19" t="str">
        <f t="shared" si="5"/>
        <v>NA</v>
      </c>
      <c r="Z19" t="str">
        <f t="shared" si="6"/>
        <v>NA</v>
      </c>
      <c r="AB19" t="b">
        <f t="shared" si="7"/>
        <v>1</v>
      </c>
      <c r="AC19" t="b">
        <f t="shared" si="8"/>
        <v>1</v>
      </c>
      <c r="AD19" t="b">
        <f t="shared" si="9"/>
        <v>1</v>
      </c>
      <c r="AE19" t="b">
        <f t="shared" si="10"/>
        <v>1</v>
      </c>
      <c r="AF19" t="str">
        <f t="shared" si="11"/>
        <v/>
      </c>
      <c r="AG19" t="str">
        <f t="shared" si="12"/>
        <v/>
      </c>
    </row>
    <row r="20" spans="2:33" x14ac:dyDescent="0.25">
      <c r="B20" s="8" t="s">
        <v>77</v>
      </c>
      <c r="C20" s="8">
        <v>0.73299999999999998</v>
      </c>
      <c r="D20" s="8">
        <v>0.73299999999999998</v>
      </c>
      <c r="E20" s="8" t="s">
        <v>55</v>
      </c>
      <c r="F20" s="8" t="s">
        <v>62</v>
      </c>
      <c r="G20" s="8" t="s">
        <v>63</v>
      </c>
      <c r="M20" s="10" t="s">
        <v>74</v>
      </c>
      <c r="N20" s="11">
        <v>1</v>
      </c>
      <c r="O20" s="11">
        <v>1</v>
      </c>
      <c r="P20" s="11" t="s">
        <v>55</v>
      </c>
      <c r="Q20" s="10"/>
      <c r="R20" s="10"/>
      <c r="U20" t="str">
        <f t="shared" si="1"/>
        <v>Trans_vRadFreiLamHA</v>
      </c>
      <c r="V20">
        <f t="shared" si="2"/>
        <v>1</v>
      </c>
      <c r="W20">
        <f t="shared" si="3"/>
        <v>1</v>
      </c>
      <c r="X20" t="str">
        <f t="shared" si="4"/>
        <v>NA</v>
      </c>
      <c r="Y20" t="str">
        <f t="shared" si="5"/>
        <v>NA</v>
      </c>
      <c r="Z20" t="str">
        <f t="shared" si="6"/>
        <v>NA</v>
      </c>
      <c r="AB20" t="b">
        <f t="shared" si="7"/>
        <v>1</v>
      </c>
      <c r="AC20" t="b">
        <f t="shared" si="8"/>
        <v>1</v>
      </c>
      <c r="AD20" t="b">
        <f t="shared" si="9"/>
        <v>1</v>
      </c>
      <c r="AE20" t="b">
        <f t="shared" si="10"/>
        <v>1</v>
      </c>
      <c r="AF20" t="str">
        <f t="shared" si="11"/>
        <v/>
      </c>
      <c r="AG20" t="str">
        <f t="shared" si="12"/>
        <v/>
      </c>
    </row>
    <row r="21" spans="2:33" x14ac:dyDescent="0.25">
      <c r="B21" s="8" t="s">
        <v>78</v>
      </c>
      <c r="C21" s="8">
        <v>0.872</v>
      </c>
      <c r="D21" s="8">
        <v>0.88500000000000001</v>
      </c>
      <c r="E21" s="8">
        <v>1</v>
      </c>
      <c r="F21" s="8" t="s">
        <v>64</v>
      </c>
      <c r="G21" s="8" t="s">
        <v>55</v>
      </c>
      <c r="M21" s="10" t="s">
        <v>73</v>
      </c>
      <c r="N21" s="11">
        <v>0.95</v>
      </c>
      <c r="O21" s="11">
        <v>0.95699999999999996</v>
      </c>
      <c r="P21" s="11">
        <v>1</v>
      </c>
      <c r="Q21" s="10" t="s">
        <v>61</v>
      </c>
      <c r="R21" s="10"/>
      <c r="U21" t="str">
        <f t="shared" si="1"/>
        <v>Trans_vGiRadst</v>
      </c>
      <c r="V21">
        <f t="shared" si="2"/>
        <v>0.95</v>
      </c>
      <c r="W21">
        <f t="shared" si="3"/>
        <v>0.95699999999999996</v>
      </c>
      <c r="X21">
        <f t="shared" si="4"/>
        <v>1</v>
      </c>
      <c r="Y21" t="str">
        <f t="shared" si="5"/>
        <v>Line 34, 41: can not cover C0, C1 because if(enable_REFvy) is always fixed "True" by non-calibrate imported parameter</v>
      </c>
      <c r="Z21" t="str">
        <f t="shared" si="6"/>
        <v>NA</v>
      </c>
      <c r="AB21" t="b">
        <f t="shared" si="7"/>
        <v>1</v>
      </c>
      <c r="AC21" t="b">
        <f t="shared" si="8"/>
        <v>1</v>
      </c>
      <c r="AD21" t="b">
        <f t="shared" si="9"/>
        <v>1</v>
      </c>
      <c r="AE21" t="b">
        <f t="shared" si="10"/>
        <v>1</v>
      </c>
      <c r="AF21" t="b">
        <f t="shared" si="11"/>
        <v>1</v>
      </c>
      <c r="AG21" t="str">
        <f t="shared" si="12"/>
        <v/>
      </c>
    </row>
    <row r="22" spans="2:33" x14ac:dyDescent="0.25">
      <c r="B22" s="8" t="s">
        <v>79</v>
      </c>
      <c r="C22" s="8">
        <v>1</v>
      </c>
      <c r="D22" s="8">
        <v>1</v>
      </c>
      <c r="E22" s="8">
        <v>1</v>
      </c>
      <c r="F22" s="8" t="s">
        <v>55</v>
      </c>
      <c r="G22" s="8" t="s">
        <v>55</v>
      </c>
      <c r="M22" s="10" t="s">
        <v>71</v>
      </c>
      <c r="N22" s="11">
        <v>1</v>
      </c>
      <c r="O22" s="11">
        <v>1</v>
      </c>
      <c r="P22" s="11">
        <v>1</v>
      </c>
      <c r="Q22" s="10"/>
      <c r="R22" s="10"/>
      <c r="U22" t="str">
        <f t="shared" si="1"/>
        <v>SpecialSituationsRad</v>
      </c>
      <c r="V22">
        <f t="shared" si="2"/>
        <v>1</v>
      </c>
      <c r="W22">
        <f t="shared" si="3"/>
        <v>1</v>
      </c>
      <c r="X22">
        <f t="shared" si="4"/>
        <v>1</v>
      </c>
      <c r="Y22" t="str">
        <f t="shared" si="5"/>
        <v>NA</v>
      </c>
      <c r="Z22" t="str">
        <f t="shared" si="6"/>
        <v>NA</v>
      </c>
      <c r="AB22" t="b">
        <f t="shared" si="7"/>
        <v>1</v>
      </c>
      <c r="AC22" t="b">
        <f t="shared" si="8"/>
        <v>1</v>
      </c>
      <c r="AD22" t="b">
        <f t="shared" si="9"/>
        <v>1</v>
      </c>
      <c r="AE22" t="b">
        <f t="shared" si="10"/>
        <v>1</v>
      </c>
      <c r="AF22" t="str">
        <f t="shared" si="11"/>
        <v/>
      </c>
      <c r="AG22" t="str">
        <f t="shared" si="12"/>
        <v/>
      </c>
    </row>
    <row r="23" spans="2:33" x14ac:dyDescent="0.25">
      <c r="B23" s="8" t="s">
        <v>80</v>
      </c>
      <c r="C23" s="8">
        <v>1</v>
      </c>
      <c r="D23" s="8">
        <v>1</v>
      </c>
      <c r="E23" s="8" t="s">
        <v>55</v>
      </c>
      <c r="F23" s="8" t="s">
        <v>55</v>
      </c>
      <c r="G23" s="8" t="s">
        <v>55</v>
      </c>
      <c r="M23" s="10" t="s">
        <v>70</v>
      </c>
      <c r="N23" s="11">
        <v>1</v>
      </c>
      <c r="O23" s="11">
        <v>1</v>
      </c>
      <c r="P23" s="11">
        <v>1</v>
      </c>
      <c r="Q23" s="10"/>
      <c r="R23" s="10"/>
      <c r="U23" t="str">
        <f t="shared" si="1"/>
        <v>SM_TempIdentification</v>
      </c>
      <c r="V23">
        <f t="shared" si="2"/>
        <v>1</v>
      </c>
      <c r="W23">
        <f t="shared" si="3"/>
        <v>1</v>
      </c>
      <c r="X23">
        <f t="shared" si="4"/>
        <v>1</v>
      </c>
      <c r="Y23" t="str">
        <f t="shared" si="5"/>
        <v>NA</v>
      </c>
      <c r="Z23" t="str">
        <f t="shared" si="6"/>
        <v>NA</v>
      </c>
      <c r="AB23" t="b">
        <f t="shared" si="7"/>
        <v>1</v>
      </c>
      <c r="AC23" t="b">
        <f t="shared" si="8"/>
        <v>1</v>
      </c>
      <c r="AD23" t="b">
        <f t="shared" si="9"/>
        <v>1</v>
      </c>
      <c r="AE23" t="b">
        <f t="shared" si="10"/>
        <v>1</v>
      </c>
      <c r="AF23" t="str">
        <f t="shared" si="11"/>
        <v/>
      </c>
      <c r="AG23" t="str">
        <f t="shared" si="12"/>
        <v/>
      </c>
    </row>
    <row r="24" spans="2:33" x14ac:dyDescent="0.25">
      <c r="B24" s="8" t="s">
        <v>81</v>
      </c>
      <c r="C24" s="8">
        <v>0.72899999999999998</v>
      </c>
      <c r="D24" s="8">
        <v>0.82599999999999996</v>
      </c>
      <c r="E24" s="8" t="s">
        <v>55</v>
      </c>
      <c r="F24" s="8" t="s">
        <v>65</v>
      </c>
      <c r="G24" s="8" t="s">
        <v>55</v>
      </c>
      <c r="M24" s="10" t="s">
        <v>69</v>
      </c>
      <c r="N24" s="11">
        <v>0.94399999999999995</v>
      </c>
      <c r="O24" s="11">
        <v>0.94699999999999995</v>
      </c>
      <c r="P24" s="11" t="s">
        <v>55</v>
      </c>
      <c r="Q24" s="10" t="s">
        <v>59</v>
      </c>
      <c r="R24" s="10"/>
      <c r="U24" t="str">
        <f t="shared" si="1"/>
        <v>SM_CalcvFzRefHilfKorr</v>
      </c>
      <c r="V24">
        <f t="shared" si="2"/>
        <v>0.94399999999999995</v>
      </c>
      <c r="W24">
        <f t="shared" si="3"/>
        <v>0.94699999999999995</v>
      </c>
      <c r="X24" t="str">
        <f t="shared" si="4"/>
        <v>NA</v>
      </c>
      <c r="Y24" t="str">
        <f t="shared" si="5"/>
        <v>Line 27: vFzRefHilfKorr = ( vFzRefHilfEin + LOC_dvRadmin ).max(vx_BeforeStuetz): "vFzRefHilfEin + LOC_dvRadmin" can not reach out range max because:
+ Limit assignment LOC_dvRadmin by code at line 16, and line 23
+ P_dvvRadminNeg is fixed -0.078125 by noncalib imported; P_dvvRadminPos is fixed 0.0390625 by noncalib imported; P_TvRadminPos is fixed 0.0391845703125 by noncalib imported</v>
      </c>
      <c r="Z24" t="str">
        <f t="shared" si="6"/>
        <v>NA</v>
      </c>
      <c r="AB24" t="b">
        <f t="shared" si="7"/>
        <v>1</v>
      </c>
      <c r="AC24" t="b">
        <f t="shared" si="8"/>
        <v>1</v>
      </c>
      <c r="AD24" t="b">
        <f t="shared" si="9"/>
        <v>1</v>
      </c>
      <c r="AE24" t="b">
        <f t="shared" si="10"/>
        <v>1</v>
      </c>
      <c r="AF24" t="b">
        <f t="shared" si="11"/>
        <v>1</v>
      </c>
      <c r="AG24" t="str">
        <f t="shared" si="12"/>
        <v/>
      </c>
    </row>
    <row r="25" spans="2:33" x14ac:dyDescent="0.25">
      <c r="B25" s="8" t="s">
        <v>82</v>
      </c>
      <c r="C25" s="8">
        <v>1</v>
      </c>
      <c r="D25" s="8">
        <v>1</v>
      </c>
      <c r="E25" s="8" t="s">
        <v>55</v>
      </c>
      <c r="F25" s="8" t="s">
        <v>55</v>
      </c>
      <c r="G25" s="8" t="s">
        <v>55</v>
      </c>
      <c r="M25" s="13" t="s">
        <v>68</v>
      </c>
      <c r="N25" s="11">
        <v>0.88900000000000001</v>
      </c>
      <c r="O25" s="11">
        <v>0.90800000000000003</v>
      </c>
      <c r="P25" s="11">
        <v>1</v>
      </c>
      <c r="Q25" s="10" t="s">
        <v>57</v>
      </c>
      <c r="R25" s="10" t="s">
        <v>87</v>
      </c>
      <c r="U25" t="str">
        <f t="shared" si="1"/>
        <v>SM_CalcaxToOff</v>
      </c>
      <c r="V25">
        <f t="shared" si="2"/>
        <v>0.88900000000000001</v>
      </c>
      <c r="W25">
        <f t="shared" si="3"/>
        <v>0.90800000000000003</v>
      </c>
      <c r="X25">
        <f t="shared" si="4"/>
        <v>1</v>
      </c>
      <c r="Y25" t="str">
        <f t="shared" si="5"/>
        <v>1. Line 19: "axOff -= DaxOff;" can not cover out of range max or out of range min because:
+ DaxOff is assigned by statement at line 18 "DaxOff = axOff*LOC_TaxOff;"
+ LOC_TaxOff is assigned by local paramater with fixed value "greater than 0 and less than 1"
2. Line 24, 25: "LOC_axFRsl = (LOC_dvRadvx_beforesupport / (vx_beforesupport + P_vxOffsetDef));" can not out of range max because:
+ LOC_dvRadvx_beforesupport = (vx_beforesupport - vRad_min)
+ P_vxOffsetDef is fixed 2; P_vxOffsetAbhT is fixed 2.5
+ (vx_beforesupport + P_vxOffsetDef) is always positive
+ Limit assignment LOC_axFRsl is [-20, 1]; LOC_axFRslAbhT is [-20, 1]
3. Line 35: axOff -= LOC_delaxOffaxFR can not cover out of range min because:
+ LOC_delaxOffaxFR is assigned by (LOC_delaxOffaxFR.max(P_delaxOffaxFRmax)).min(P_delaxOffaxFRmin)" at line 34 =&gt; Limit assignment of LOC_delaxOffaxFR is always less than "-1"
+ Limit assignment axOff is [-7; 7]
4. Line 62, 65: "LOC_tUnterbrSW += P_tUnterbrVerl" can not reach out range of maximum value because:
+ LOC_tUnterbrSW is always initialize by P_tUnterbrNormal with fixed value of noncalib imported "greater than 0 and less than 1"
+ Limit assignment: P_tUnterbrVerl is fixed of noncalib imported "greater than 0 and less than 1"</v>
      </c>
      <c r="Z25" t="str">
        <f t="shared" si="6"/>
        <v>Failed these testcases 1, 30, 31, 33, 34, 36 because vx is out range of limit assignment</v>
      </c>
      <c r="AB25" t="b">
        <f t="shared" si="7"/>
        <v>1</v>
      </c>
      <c r="AC25" t="b">
        <f t="shared" si="8"/>
        <v>1</v>
      </c>
      <c r="AD25" t="b">
        <f t="shared" si="9"/>
        <v>1</v>
      </c>
      <c r="AE25" t="b">
        <f t="shared" si="10"/>
        <v>1</v>
      </c>
      <c r="AF25" t="b">
        <f t="shared" si="11"/>
        <v>1</v>
      </c>
      <c r="AG25" t="b">
        <f t="shared" si="12"/>
        <v>0</v>
      </c>
    </row>
    <row r="26" spans="2:33" x14ac:dyDescent="0.25">
      <c r="B26" s="8" t="s">
        <v>83</v>
      </c>
      <c r="C26" s="8">
        <v>1</v>
      </c>
      <c r="D26" s="8">
        <v>1</v>
      </c>
      <c r="E26" s="8" t="s">
        <v>55</v>
      </c>
      <c r="F26" s="8" t="s">
        <v>55</v>
      </c>
      <c r="G26" s="8" t="s">
        <v>55</v>
      </c>
      <c r="M26" s="10" t="s">
        <v>67</v>
      </c>
      <c r="N26" s="11">
        <v>0.83299999999999996</v>
      </c>
      <c r="O26" s="11">
        <v>0.84599999999999997</v>
      </c>
      <c r="P26" s="11">
        <v>1</v>
      </c>
      <c r="Q26" s="10" t="s">
        <v>56</v>
      </c>
      <c r="R26" s="10"/>
      <c r="U26" t="str">
        <f t="shared" si="1"/>
        <v>SM_CalcaxToFR</v>
      </c>
      <c r="V26">
        <f t="shared" ref="V26" si="13">VLOOKUP(M26,$B$9:$G$27,$V$7,0)</f>
        <v>0.83299999999999996</v>
      </c>
      <c r="W26">
        <f t="shared" ref="W26" si="14">VLOOKUP(M26,$B$9:$G$27,$W$7,0)</f>
        <v>0.84599999999999997</v>
      </c>
      <c r="X26">
        <f t="shared" ref="X26" si="15">VLOOKUP(M26,$B$9:$G$27,$X$7,0)</f>
        <v>1</v>
      </c>
      <c r="Y26" t="str">
        <f t="shared" ref="Y26" si="16">VLOOKUP(M26,$B$9:$G$27,$Y$7,0)</f>
        <v>Line 18: axFR += LOC_dax LOC_dax = (LOC_axIn - axFR) * P_TaxFR; can not reach out range max and out range min becaues:
+ LOC_dax = (LOC_axIn - axFR) * P_TaxFR; axFr += LOC_dax; the combination is a filter
+ Limit assignment P_TaxFR: [0; 0.1]
+ Limit assignment axFR and LOC_axln: [-30; 30]</v>
      </c>
      <c r="Z26" t="str">
        <f t="shared" ref="Z26" si="17">VLOOKUP(M26,$B$9:$G$27,$Z$7,0)</f>
        <v>NA</v>
      </c>
      <c r="AB26" t="b">
        <f t="shared" si="7"/>
        <v>1</v>
      </c>
      <c r="AC26" t="b">
        <f t="shared" si="8"/>
        <v>1</v>
      </c>
      <c r="AD26" t="b">
        <f t="shared" si="9"/>
        <v>1</v>
      </c>
      <c r="AE26" t="b">
        <f t="shared" si="10"/>
        <v>1</v>
      </c>
      <c r="AF26" t="b">
        <f t="shared" si="11"/>
        <v>1</v>
      </c>
      <c r="AG26" t="str">
        <f t="shared" si="12"/>
        <v/>
      </c>
    </row>
    <row r="27" spans="2:33" x14ac:dyDescent="0.25">
      <c r="B27" s="8" t="s">
        <v>84</v>
      </c>
      <c r="C27" s="8">
        <v>1</v>
      </c>
      <c r="D27" s="8">
        <v>1</v>
      </c>
      <c r="E27" s="8" t="s">
        <v>55</v>
      </c>
      <c r="F27" s="8" t="s">
        <v>55</v>
      </c>
      <c r="G27" s="8" t="s">
        <v>55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param1d">
                <anchor moveWithCells="1" sizeWithCells="1">
                  <from>
                    <xdr:col>0</xdr:col>
                    <xdr:colOff>352425</xdr:colOff>
                    <xdr:row>1</xdr:row>
                    <xdr:rowOff>28575</xdr:rowOff>
                  </from>
                  <to>
                    <xdr:col>2</xdr:col>
                    <xdr:colOff>419100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_param2d">
                <anchor moveWithCells="1" sizeWithCells="1">
                  <from>
                    <xdr:col>3</xdr:col>
                    <xdr:colOff>123825</xdr:colOff>
                    <xdr:row>1</xdr:row>
                    <xdr:rowOff>57150</xdr:rowOff>
                  </from>
                  <to>
                    <xdr:col>5</xdr:col>
                    <xdr:colOff>200025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_fill_comment_mcdc">
                <anchor moveWithCells="1" sizeWithCells="1">
                  <from>
                    <xdr:col>5</xdr:col>
                    <xdr:colOff>514350</xdr:colOff>
                    <xdr:row>1</xdr:row>
                    <xdr:rowOff>57150</xdr:rowOff>
                  </from>
                  <to>
                    <xdr:col>6</xdr:col>
                    <xdr:colOff>542925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_collect_summary_file">
                <anchor moveWithCells="1" sizeWithCells="1">
                  <from>
                    <xdr:col>6</xdr:col>
                    <xdr:colOff>723900</xdr:colOff>
                    <xdr:row>1</xdr:row>
                    <xdr:rowOff>66675</xdr:rowOff>
                  </from>
                  <to>
                    <xdr:col>7</xdr:col>
                    <xdr:colOff>552450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1"/>
  <sheetViews>
    <sheetView workbookViewId="0">
      <selection activeCell="C9" sqref="C9"/>
    </sheetView>
  </sheetViews>
  <sheetFormatPr defaultRowHeight="15" x14ac:dyDescent="0.25"/>
  <sheetData>
    <row r="1" spans="1:13" x14ac:dyDescent="0.25">
      <c r="A1" s="2" t="s">
        <v>0</v>
      </c>
      <c r="C1" t="s">
        <v>2</v>
      </c>
      <c r="L1" s="8" t="s">
        <v>23</v>
      </c>
      <c r="M1" s="8"/>
    </row>
    <row r="2" spans="1:13" x14ac:dyDescent="0.25">
      <c r="B2" t="s">
        <v>1</v>
      </c>
      <c r="L2" s="8" t="s">
        <v>24</v>
      </c>
      <c r="M2" s="8"/>
    </row>
    <row r="3" spans="1:13" x14ac:dyDescent="0.25">
      <c r="L3" s="8" t="s">
        <v>19</v>
      </c>
      <c r="M3" s="8" t="s">
        <v>45</v>
      </c>
    </row>
    <row r="4" spans="1:13" x14ac:dyDescent="0.25">
      <c r="B4" s="3"/>
      <c r="C4" s="4" t="s">
        <v>3</v>
      </c>
      <c r="D4" s="4" t="s">
        <v>4</v>
      </c>
      <c r="E4" s="4" t="s">
        <v>5</v>
      </c>
      <c r="F4" s="4" t="s">
        <v>6</v>
      </c>
      <c r="L4" s="8" t="s">
        <v>20</v>
      </c>
      <c r="M4" s="8" t="s">
        <v>46</v>
      </c>
    </row>
    <row r="5" spans="1:13" x14ac:dyDescent="0.25">
      <c r="B5" s="4" t="s">
        <v>7</v>
      </c>
      <c r="C5" s="4" t="s">
        <v>8</v>
      </c>
      <c r="D5" s="4" t="s">
        <v>9</v>
      </c>
      <c r="E5" s="3"/>
      <c r="F5" s="3"/>
      <c r="L5" s="8" t="s">
        <v>22</v>
      </c>
      <c r="M5" s="8" t="s">
        <v>47</v>
      </c>
    </row>
    <row r="6" spans="1:13" x14ac:dyDescent="0.25">
      <c r="B6" s="3" t="s">
        <v>19</v>
      </c>
      <c r="C6" s="3" t="s">
        <v>10</v>
      </c>
      <c r="D6" s="5" t="b">
        <v>1</v>
      </c>
      <c r="E6" s="3"/>
      <c r="F6" s="6" t="b">
        <v>1</v>
      </c>
      <c r="L6" s="8" t="s">
        <v>21</v>
      </c>
      <c r="M6" s="8" t="s">
        <v>48</v>
      </c>
    </row>
    <row r="7" spans="1:13" x14ac:dyDescent="0.25">
      <c r="B7" s="3" t="s">
        <v>20</v>
      </c>
      <c r="C7" s="3" t="s">
        <v>11</v>
      </c>
      <c r="D7" s="5" t="b">
        <v>0</v>
      </c>
      <c r="E7" s="3"/>
      <c r="F7" s="6" t="b">
        <v>0</v>
      </c>
      <c r="J7" s="1"/>
      <c r="L7" s="8" t="s">
        <v>25</v>
      </c>
      <c r="M7" s="8" t="s">
        <v>49</v>
      </c>
    </row>
    <row r="8" spans="1:13" x14ac:dyDescent="0.25">
      <c r="J8" s="1"/>
      <c r="L8" s="8" t="s">
        <v>26</v>
      </c>
      <c r="M8" s="8" t="s">
        <v>49</v>
      </c>
    </row>
    <row r="9" spans="1:13" x14ac:dyDescent="0.25">
      <c r="J9" s="1"/>
      <c r="L9" s="8" t="s">
        <v>27</v>
      </c>
      <c r="M9" s="8" t="s">
        <v>49</v>
      </c>
    </row>
    <row r="10" spans="1:13" x14ac:dyDescent="0.25">
      <c r="A10" s="2" t="s">
        <v>12</v>
      </c>
      <c r="C10" t="s">
        <v>43</v>
      </c>
      <c r="J10" s="1"/>
      <c r="L10" s="8" t="s">
        <v>28</v>
      </c>
      <c r="M10" s="8"/>
    </row>
    <row r="11" spans="1:13" x14ac:dyDescent="0.25">
      <c r="B11" t="s">
        <v>14</v>
      </c>
      <c r="J11" s="1"/>
      <c r="L11" t="s">
        <v>29</v>
      </c>
      <c r="M11" s="8"/>
    </row>
    <row r="12" spans="1:13" x14ac:dyDescent="0.25">
      <c r="J12" s="1"/>
      <c r="L12" t="s">
        <v>30</v>
      </c>
      <c r="M12" s="8"/>
    </row>
    <row r="13" spans="1:13" x14ac:dyDescent="0.25">
      <c r="B13" s="3"/>
      <c r="C13" s="4" t="s">
        <v>3</v>
      </c>
      <c r="D13" s="4" t="s">
        <v>4</v>
      </c>
      <c r="E13" s="4"/>
      <c r="F13" s="4" t="s">
        <v>5</v>
      </c>
      <c r="G13" s="4" t="s">
        <v>6</v>
      </c>
      <c r="J13" s="1"/>
      <c r="L13" t="s">
        <v>31</v>
      </c>
      <c r="M13" s="8"/>
    </row>
    <row r="14" spans="1:13" x14ac:dyDescent="0.25">
      <c r="B14" s="4" t="s">
        <v>7</v>
      </c>
      <c r="C14" s="4" t="s">
        <v>15</v>
      </c>
      <c r="D14" s="4" t="s">
        <v>8</v>
      </c>
      <c r="E14" s="4" t="s">
        <v>16</v>
      </c>
      <c r="F14" s="3"/>
      <c r="G14" s="3"/>
      <c r="J14" s="1"/>
      <c r="L14" t="s">
        <v>32</v>
      </c>
      <c r="M14" s="8"/>
    </row>
    <row r="15" spans="1:13" x14ac:dyDescent="0.25">
      <c r="B15" s="3" t="s">
        <v>19</v>
      </c>
      <c r="C15" s="3" t="s">
        <v>10</v>
      </c>
      <c r="D15" s="5" t="b">
        <v>1</v>
      </c>
      <c r="E15" s="5" t="s">
        <v>17</v>
      </c>
      <c r="F15" s="3"/>
      <c r="G15" s="6" t="b">
        <v>1</v>
      </c>
      <c r="J15" s="1"/>
      <c r="L15" t="s">
        <v>33</v>
      </c>
      <c r="M15" s="8"/>
    </row>
    <row r="16" spans="1:13" x14ac:dyDescent="0.25">
      <c r="B16" s="3" t="s">
        <v>22</v>
      </c>
      <c r="C16" s="3" t="s">
        <v>11</v>
      </c>
      <c r="D16" s="5" t="b">
        <v>0</v>
      </c>
      <c r="E16" s="3" t="s">
        <v>17</v>
      </c>
      <c r="F16" s="3"/>
      <c r="G16" s="6" t="b">
        <v>0</v>
      </c>
      <c r="L16" t="s">
        <v>34</v>
      </c>
      <c r="M16" s="8"/>
    </row>
    <row r="17" spans="1:13" x14ac:dyDescent="0.25">
      <c r="B17" s="3" t="s">
        <v>21</v>
      </c>
      <c r="C17" s="3" t="s">
        <v>11</v>
      </c>
      <c r="D17" s="3" t="b">
        <v>1</v>
      </c>
      <c r="E17" s="5" t="s">
        <v>18</v>
      </c>
      <c r="F17" s="3"/>
      <c r="G17" s="6" t="b">
        <v>0</v>
      </c>
      <c r="L17" t="s">
        <v>35</v>
      </c>
      <c r="M17" s="8"/>
    </row>
    <row r="18" spans="1:13" x14ac:dyDescent="0.25">
      <c r="L18" t="s">
        <v>36</v>
      </c>
      <c r="M18" s="8"/>
    </row>
    <row r="19" spans="1:13" x14ac:dyDescent="0.25">
      <c r="L19" t="s">
        <v>37</v>
      </c>
      <c r="M19" s="8"/>
    </row>
    <row r="20" spans="1:13" x14ac:dyDescent="0.25">
      <c r="A20" s="2" t="s">
        <v>39</v>
      </c>
      <c r="C20" t="s">
        <v>13</v>
      </c>
      <c r="K20" s="7"/>
      <c r="L20" s="7" t="s">
        <v>38</v>
      </c>
      <c r="M20" s="8" t="s">
        <v>49</v>
      </c>
    </row>
    <row r="21" spans="1:13" x14ac:dyDescent="0.25">
      <c r="B21" t="s">
        <v>14</v>
      </c>
      <c r="K21" s="8"/>
      <c r="L21" s="8"/>
    </row>
    <row r="22" spans="1:13" x14ac:dyDescent="0.25">
      <c r="K22" s="8"/>
      <c r="L22" s="8"/>
    </row>
    <row r="23" spans="1:13" x14ac:dyDescent="0.25">
      <c r="B23" s="3"/>
      <c r="C23" s="4" t="s">
        <v>3</v>
      </c>
      <c r="D23" s="4" t="s">
        <v>4</v>
      </c>
      <c r="E23" s="4"/>
      <c r="F23" s="4"/>
      <c r="G23" s="4"/>
      <c r="H23" s="4" t="s">
        <v>5</v>
      </c>
      <c r="I23" s="4" t="s">
        <v>6</v>
      </c>
      <c r="L23" s="8"/>
      <c r="M23" s="8"/>
    </row>
    <row r="24" spans="1:13" x14ac:dyDescent="0.25">
      <c r="B24" s="4" t="s">
        <v>7</v>
      </c>
      <c r="C24" s="4" t="s">
        <v>15</v>
      </c>
      <c r="D24" s="4" t="s">
        <v>8</v>
      </c>
      <c r="E24" s="4" t="s">
        <v>16</v>
      </c>
      <c r="F24" s="4" t="s">
        <v>40</v>
      </c>
      <c r="G24" s="4" t="s">
        <v>44</v>
      </c>
      <c r="H24" s="3"/>
      <c r="I24" s="3"/>
      <c r="L24" s="8"/>
      <c r="M24" s="8"/>
    </row>
    <row r="25" spans="1:13" x14ac:dyDescent="0.25">
      <c r="B25" s="3" t="s">
        <v>19</v>
      </c>
      <c r="C25" s="3" t="s">
        <v>10</v>
      </c>
      <c r="D25" s="5" t="b">
        <v>1</v>
      </c>
      <c r="E25" s="5" t="s">
        <v>17</v>
      </c>
      <c r="F25" s="5" t="s">
        <v>41</v>
      </c>
      <c r="G25" s="5" t="s">
        <v>41</v>
      </c>
      <c r="H25" s="3"/>
      <c r="I25" s="6" t="b">
        <v>1</v>
      </c>
      <c r="L25" s="8"/>
      <c r="M25" s="8"/>
    </row>
    <row r="26" spans="1:13" x14ac:dyDescent="0.25">
      <c r="B26" s="3" t="s">
        <v>22</v>
      </c>
      <c r="C26" s="3" t="s">
        <v>11</v>
      </c>
      <c r="D26" s="5" t="b">
        <v>0</v>
      </c>
      <c r="E26" s="3" t="s">
        <v>17</v>
      </c>
      <c r="F26" s="3" t="s">
        <v>41</v>
      </c>
      <c r="G26" s="3" t="s">
        <v>41</v>
      </c>
      <c r="H26" s="3"/>
      <c r="I26" s="6" t="b">
        <v>0</v>
      </c>
      <c r="L26" s="8"/>
      <c r="M26" s="8"/>
    </row>
    <row r="27" spans="1:13" x14ac:dyDescent="0.25">
      <c r="B27" s="3" t="s">
        <v>21</v>
      </c>
      <c r="C27" s="3" t="s">
        <v>11</v>
      </c>
      <c r="D27" s="3" t="b">
        <v>1</v>
      </c>
      <c r="E27" s="5" t="s">
        <v>18</v>
      </c>
      <c r="F27" s="5" t="s">
        <v>42</v>
      </c>
      <c r="G27" s="5" t="s">
        <v>42</v>
      </c>
      <c r="H27" s="3"/>
      <c r="I27" s="6" t="b">
        <v>0</v>
      </c>
      <c r="L27" s="8"/>
      <c r="M27" s="8"/>
    </row>
    <row r="28" spans="1:13" x14ac:dyDescent="0.25">
      <c r="B28" s="3" t="s">
        <v>25</v>
      </c>
      <c r="C28" s="3" t="s">
        <v>11</v>
      </c>
      <c r="D28" s="3" t="b">
        <v>1</v>
      </c>
      <c r="E28" s="5" t="s">
        <v>18</v>
      </c>
      <c r="F28" s="5" t="s">
        <v>42</v>
      </c>
      <c r="G28" s="5" t="s">
        <v>42</v>
      </c>
      <c r="H28" s="3"/>
      <c r="I28" s="6" t="b">
        <v>0</v>
      </c>
      <c r="L28" s="8"/>
      <c r="M28" s="8"/>
    </row>
    <row r="29" spans="1:13" x14ac:dyDescent="0.25">
      <c r="B29" s="3" t="s">
        <v>26</v>
      </c>
      <c r="C29" s="3" t="s">
        <v>11</v>
      </c>
      <c r="D29" s="3" t="b">
        <v>1</v>
      </c>
      <c r="E29" s="5" t="s">
        <v>18</v>
      </c>
      <c r="F29" s="5" t="s">
        <v>42</v>
      </c>
      <c r="G29" s="5" t="s">
        <v>42</v>
      </c>
      <c r="H29" s="3"/>
      <c r="I29" s="6" t="b">
        <v>0</v>
      </c>
      <c r="L29" s="8"/>
      <c r="M29" s="8"/>
    </row>
    <row r="30" spans="1:13" x14ac:dyDescent="0.25">
      <c r="B30" s="3" t="s">
        <v>27</v>
      </c>
      <c r="C30" s="3" t="s">
        <v>11</v>
      </c>
      <c r="D30" s="3" t="b">
        <v>1</v>
      </c>
      <c r="E30" s="5" t="s">
        <v>18</v>
      </c>
      <c r="F30" s="5" t="s">
        <v>42</v>
      </c>
      <c r="G30" s="5" t="s">
        <v>42</v>
      </c>
      <c r="H30" s="3"/>
      <c r="I30" s="6" t="b">
        <v>0</v>
      </c>
      <c r="L30" s="8"/>
      <c r="M30" s="8"/>
    </row>
    <row r="31" spans="1:13" x14ac:dyDescent="0.25">
      <c r="B31" s="3" t="s">
        <v>38</v>
      </c>
      <c r="C31" s="3" t="s">
        <v>11</v>
      </c>
      <c r="D31" s="3" t="b">
        <v>1</v>
      </c>
      <c r="E31" s="5" t="s">
        <v>18</v>
      </c>
      <c r="F31" s="5" t="s">
        <v>42</v>
      </c>
      <c r="G31" s="5" t="s">
        <v>42</v>
      </c>
      <c r="H31" s="3"/>
      <c r="I31" s="6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Tool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Trung Hieu</dc:creator>
  <cp:lastModifiedBy>EXTERNAL Nguyen Trung Hieu (Ban Vien, RBVH/EPS45)</cp:lastModifiedBy>
  <dcterms:created xsi:type="dcterms:W3CDTF">2015-06-05T18:17:20Z</dcterms:created>
  <dcterms:modified xsi:type="dcterms:W3CDTF">2020-03-30T04:47:55Z</dcterms:modified>
</cp:coreProperties>
</file>