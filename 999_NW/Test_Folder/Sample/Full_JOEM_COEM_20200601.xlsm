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Users\nhi5hc\Desktop\20200622\"/>
    </mc:Choice>
  </mc:AlternateContent>
  <bookViews>
    <workbookView xWindow="-120" yWindow="0" windowWidth="2280" windowHeight="0" activeTab="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Merged_COEM!$A$59:$AN$538</definedName>
    <definedName name="_xlnm._FilterDatabase" localSheetId="1" hidden="1">Merged_JOEM!$B$59:$AN$298</definedName>
    <definedName name="Z_004AE50D_49C9_4A96_B731_3C42CAA0B01D_.wvu.FilterData" localSheetId="0" hidden="1">Merged_COEM!$B$59:$AN$59</definedName>
    <definedName name="Z_006FEADE_C1C8_4623_94EF_0C71C28F2B02_.wvu.FilterData" localSheetId="0" hidden="1">Merged_COEM!$A$59:$AN$538</definedName>
    <definedName name="Z_006FEADE_C1C8_4623_94EF_0C71C28F2B02_.wvu.FilterData" localSheetId="1" hidden="1">Merged_JOEM!$B$59:$AN$324</definedName>
    <definedName name="Z_0115AFB4_4C4E_4468_B6CC_4FCA3D2F432C_.wvu.FilterData" localSheetId="0" hidden="1">Merged_COEM!$A$59:$AN$538</definedName>
    <definedName name="Z_01DDD800_722F_415D_AA66_9ADBFD04888B_.wvu.FilterData" localSheetId="1" hidden="1">Merged_JOEM!$B$59:$AN$59</definedName>
    <definedName name="Z_01F48ED4_6F4C_49BB_A369_E61277689C61_.wvu.FilterData" localSheetId="0" hidden="1">Merged_COEM!$B$59:$AN$538</definedName>
    <definedName name="Z_027DC486_5FD8_4F20_9789_42783C7EA75D_.wvu.FilterData" localSheetId="0" hidden="1">Merged_COEM!$A$59:$AN$538</definedName>
    <definedName name="Z_040E8B46_CA61_4A56_9419_C22F6B3F774B_.wvu.FilterData" localSheetId="0" hidden="1">Merged_COEM!$B$59:$AN$538</definedName>
    <definedName name="Z_05361591_7A29_421F_B4E3_2E109EC18103_.wvu.FilterData" localSheetId="0" hidden="1">Merged_COEM!$B$59:$AN$538</definedName>
    <definedName name="Z_055B52FC_2B7B_42BC_9AD2_87565E082A86_.wvu.FilterData" localSheetId="0" hidden="1">Merged_COEM!$B$59:$AN$538</definedName>
    <definedName name="Z_0600F77B_03E6_457E_8094_42AB3F458D08_.wvu.FilterData" localSheetId="0" hidden="1">Merged_COEM!$B$59:$AN$538</definedName>
    <definedName name="Z_0600F77B_03E6_457E_8094_42AB3F458D08_.wvu.FilterData" localSheetId="1" hidden="1">Merged_JOEM!$B$59:$AN$324</definedName>
    <definedName name="Z_069C8E6F_B807_4CFF_804F_569E084B63E0_.wvu.FilterData" localSheetId="0" hidden="1">Merged_COEM!$B$59:$AN$59</definedName>
    <definedName name="Z_069C8E6F_B807_4CFF_804F_569E084B63E0_.wvu.FilterData" localSheetId="1" hidden="1">Merged_JOEM!$B$59:$AN$59</definedName>
    <definedName name="Z_06C7A52C_D0C4_4DA2_9863_62727E2D844E_.wvu.FilterData" localSheetId="1" hidden="1">Merged_JOEM!$B$59:$AN$324</definedName>
    <definedName name="Z_06F3585B_DEF9_4D3E_A982_B08A4935ED38_.wvu.FilterData" localSheetId="0" hidden="1">Merged_COEM!$B$59:$AN$59</definedName>
    <definedName name="Z_06F3585B_DEF9_4D3E_A982_B08A4935ED38_.wvu.FilterData" localSheetId="1" hidden="1">Merged_JOEM!$B$59:$AN$59</definedName>
    <definedName name="Z_08D9EC9E_19A1_44EF_88CC_A93BDAE68A62_.wvu.FilterData" localSheetId="0" hidden="1">Merged_COEM!$B$59:$AN$538</definedName>
    <definedName name="Z_098A3A6D_BE9F_45E5_9A31_50E901908195_.wvu.FilterData" localSheetId="1" hidden="1">Merged_JOEM!$B$59:$AN$324</definedName>
    <definedName name="Z_09D9796A_BBD2_4AF7_BA95_A36C481CA4B7_.wvu.FilterData" localSheetId="0" hidden="1">Merged_COEM!$B$59:$AN$538</definedName>
    <definedName name="Z_0A69D571_3018_4FA4_8C32_E2DFB0614496_.wvu.FilterData" localSheetId="0" hidden="1">Merged_COEM!$A$59:$AN$538</definedName>
    <definedName name="Z_0B484F93_8218_48C7_A465_CFF3723D2DDF_.wvu.FilterData" localSheetId="0" hidden="1">Merged_COEM!$A$59:$AN$538</definedName>
    <definedName name="Z_0C6BE164_6BA3_446D_942F_966AE5EA2F00_.wvu.FilterData" localSheetId="0" hidden="1">Merged_COEM!$A$59:$AN$538</definedName>
    <definedName name="Z_0D0A6154_7CBF_4A37_BEA2_AB537B4B2A67_.wvu.FilterData" localSheetId="0" hidden="1">Merged_COEM!$A$59:$AN$538</definedName>
    <definedName name="Z_0D0A6154_7CBF_4A37_BEA2_AB537B4B2A67_.wvu.FilterData" localSheetId="1" hidden="1">Merged_JOEM!$B$59:$AN$324</definedName>
    <definedName name="Z_0D1BA331_ECC5_4B76_BF88_3D8E1D7061B4_.wvu.FilterData" localSheetId="0" hidden="1">Merged_COEM!$B$59:$AN$59</definedName>
    <definedName name="Z_0D1BA331_ECC5_4B76_BF88_3D8E1D7061B4_.wvu.FilterData" localSheetId="1" hidden="1">Merged_JOEM!$B$59:$AN$59</definedName>
    <definedName name="Z_0D3B33C7_2284_4493_8B9D_8D7BE7A5D517_.wvu.FilterData" localSheetId="0" hidden="1">Merged_COEM!$A$59:$AN$538</definedName>
    <definedName name="Z_0E0A1A84_274E_4C87_84D6_9771A179FB59_.wvu.FilterData" localSheetId="0" hidden="1">Merged_COEM!$B$59:$AN$538</definedName>
    <definedName name="Z_0E177208_F531_4668_B683_013CB8491591_.wvu.FilterData" localSheetId="1" hidden="1">Merged_JOEM!$B$59:$AN$324</definedName>
    <definedName name="Z_0EEA61C8_BDF6_4697_A64F_14220225F3CA_.wvu.FilterData" localSheetId="1" hidden="1">Merged_JOEM!$B$59:$AN$324</definedName>
    <definedName name="Z_0EF03E06_FF78_44D3_8575_221339472074_.wvu.FilterData" localSheetId="0" hidden="1">Merged_COEM!$B$59:$AN$59</definedName>
    <definedName name="Z_0F6BA88F_F1C4_4C06_A527_0FB545F1DFFA_.wvu.FilterData" localSheetId="0" hidden="1">Merged_COEM!$B$59:$AN$538</definedName>
    <definedName name="Z_0F860EF4_5649_4931_8506_A849C414452A_.wvu.FilterData" localSheetId="0" hidden="1">Merged_COEM!$B$59:$AN$59</definedName>
    <definedName name="Z_1041A54E_BA3B_4139_9F70_A0421929FFA9_.wvu.FilterData" localSheetId="0" hidden="1">Merged_COEM!$B$59:$AN$538</definedName>
    <definedName name="Z_1041A54E_BA3B_4139_9F70_A0421929FFA9_.wvu.FilterData" localSheetId="1" hidden="1">Merged_JOEM!$B$59:$AN$152</definedName>
    <definedName name="Z_106E01A2_3463_4675_BE98_7276F6DD7ABE_.wvu.FilterData" localSheetId="0" hidden="1">Merged_COEM!$B$59:$AN$538</definedName>
    <definedName name="Z_10AEEA8C_92E9_4868_801E_16751B8F1C9F_.wvu.FilterData" localSheetId="0" hidden="1">Merged_COEM!$A$59:$AN$538</definedName>
    <definedName name="Z_10AEEA8C_92E9_4868_801E_16751B8F1C9F_.wvu.FilterData" localSheetId="1" hidden="1">Merged_JOEM!$B$59:$AN$324</definedName>
    <definedName name="Z_10B5054A_878E_4E14_88A5_58B709AC46BE_.wvu.FilterData" localSheetId="0" hidden="1">Merged_COEM!$A$59:$AN$538</definedName>
    <definedName name="Z_10B5054A_878E_4E14_88A5_58B709AC46BE_.wvu.FilterData" localSheetId="1" hidden="1">Merged_JOEM!$B$59:$AN$324</definedName>
    <definedName name="Z_11339B11_1F4C_454D_B7AC_2AE6663A7C4F_.wvu.FilterData" localSheetId="1" hidden="1">Merged_JOEM!$B$59:$AN$324</definedName>
    <definedName name="Z_11367D4E_C5EB_41D2_9AC8_81DB66FC75D0_.wvu.FilterData" localSheetId="0" hidden="1">Merged_COEM!$A$59:$AN$538</definedName>
    <definedName name="Z_11367D4E_C5EB_41D2_9AC8_81DB66FC75D0_.wvu.FilterData" localSheetId="1" hidden="1">Merged_JOEM!$B$59:$AN$324</definedName>
    <definedName name="Z_116C406F_56EF_4929_AB69_7B88A04CBA56_.wvu.FilterData" localSheetId="0" hidden="1">Merged_COEM!$B$59:$AN$59</definedName>
    <definedName name="Z_11B267B4_CCB5_4FD4_A4ED_6557FC3F3694_.wvu.FilterData" localSheetId="0" hidden="1">Merged_COEM!$A$59:$AN$538</definedName>
    <definedName name="Z_120A6944_24D5_4B4D_A680_95B4E8DC27D1_.wvu.FilterData" localSheetId="0" hidden="1">Merged_COEM!$A$59:$AN$538</definedName>
    <definedName name="Z_120A6944_24D5_4B4D_A680_95B4E8DC27D1_.wvu.FilterData" localSheetId="1" hidden="1">Merged_JOEM!$B$59:$AN$324</definedName>
    <definedName name="Z_125E42F3_18DE_4272_A548_D075330F5284_.wvu.FilterData" localSheetId="0" hidden="1">Merged_COEM!$A$59:$AN$538</definedName>
    <definedName name="Z_125E42F3_18DE_4272_A548_D075330F5284_.wvu.FilterData" localSheetId="1" hidden="1">Merged_JOEM!$B$59:$AN$324</definedName>
    <definedName name="Z_1316A344_8526_4A5A_91CB_0B6860CD7B09_.wvu.FilterData" localSheetId="0" hidden="1">Merged_COEM!$A$59:$AN$538</definedName>
    <definedName name="Z_132C6898_7BD8_4053_9284_49B13D9C8D59_.wvu.FilterData" localSheetId="0" hidden="1">Merged_COEM!$B$59:$AN$538</definedName>
    <definedName name="Z_132C6898_7BD8_4053_9284_49B13D9C8D59_.wvu.FilterData" localSheetId="1" hidden="1">Merged_JOEM!$B$59:$AN$59</definedName>
    <definedName name="Z_1423035C_B8AF_4653_8B0C_9092ECDBF18B_.wvu.FilterData" localSheetId="0" hidden="1">Merged_COEM!$A$59:$AN$538</definedName>
    <definedName name="Z_1423035C_B8AF_4653_8B0C_9092ECDBF18B_.wvu.FilterData" localSheetId="1" hidden="1">Merged_JOEM!$B$59:$AN$324</definedName>
    <definedName name="Z_1594703F_52BA_4A64_97E2_52459A1FCA6A_.wvu.FilterData" localSheetId="0" hidden="1">Merged_COEM!$A$59:$AN$538</definedName>
    <definedName name="Z_16059B22_ECA7_4CF0_A34D_CD415168CA09_.wvu.FilterData" localSheetId="0" hidden="1">Merged_COEM!$A$59:$AN$538</definedName>
    <definedName name="Z_16059B22_ECA7_4CF0_A34D_CD415168CA09_.wvu.FilterData" localSheetId="1" hidden="1">Merged_JOEM!$B$59:$AN$324</definedName>
    <definedName name="Z_16F63D1D_5D08_4984_94E5_2BF0D97B7171_.wvu.FilterData" localSheetId="0" hidden="1">Merged_COEM!$B$59:$AN$538</definedName>
    <definedName name="Z_174A6792_5EF5_42CE_9B3B_86F53BE71447_.wvu.FilterData" localSheetId="0" hidden="1">Merged_COEM!$B$59:$AN$538</definedName>
    <definedName name="Z_1838E38E_0617_4284_B70D_EE93F3730ED0_.wvu.FilterData" localSheetId="0" hidden="1">Merged_COEM!$B$59:$AN$538</definedName>
    <definedName name="Z_19CD5048_EBFC_47E8_9FD0_E73DC58D3596_.wvu.FilterData" localSheetId="0" hidden="1">Merged_COEM!$A$59:$AN$538</definedName>
    <definedName name="Z_1A40DE1E_71BB_4C99_BB8D_F9966378505E_.wvu.FilterData" localSheetId="0" hidden="1">Merged_COEM!$B$59:$AN$59</definedName>
    <definedName name="Z_1B4D24DE_B85A_4A3A_8CD0_1A40E6C2EC53_.wvu.FilterData" localSheetId="0" hidden="1">Merged_COEM!$B$59:$AN$538</definedName>
    <definedName name="Z_1B5A17C9_3A39_47DF_8140_88DA3B3AFAA5_.wvu.FilterData" localSheetId="0" hidden="1">Merged_COEM!$A$59:$AN$538</definedName>
    <definedName name="Z_1BFCAE6D_00EB_4CA0_9800_157E5C060610_.wvu.FilterData" localSheetId="0" hidden="1">Merged_COEM!$B$59:$AN$59</definedName>
    <definedName name="Z_1CB84568_0C36_49EF_BD1E_29708DF91946_.wvu.FilterData" localSheetId="0" hidden="1">Merged_COEM!$B$59:$AN$538</definedName>
    <definedName name="Z_1CD1B0AD_724D_4F54_AF9A_84E1CFD23A6B_.wvu.FilterData" localSheetId="0" hidden="1">Merged_COEM!$A$59:$AN$538</definedName>
    <definedName name="Z_1CD1B0AD_724D_4F54_AF9A_84E1CFD23A6B_.wvu.FilterData" localSheetId="1" hidden="1">Merged_JOEM!$B$59:$AN$324</definedName>
    <definedName name="Z_200B8BBC_3261_4338_B3CF_1D7E97745833_.wvu.FilterData" localSheetId="0" hidden="1">Merged_COEM!$B$59:$AN$538</definedName>
    <definedName name="Z_21DFCA27_D299_4221_887B_C75003D16FAE_.wvu.FilterData" localSheetId="0" hidden="1">Merged_COEM!$A$59:$AN$538</definedName>
    <definedName name="Z_243D98C0_AF41_4E98_98EA_8605BD375B77_.wvu.FilterData" localSheetId="0" hidden="1">Merged_COEM!$B$59:$AN$538</definedName>
    <definedName name="Z_248003BD_EA5C_44B1_A093_224389DDBE20_.wvu.FilterData" localSheetId="0" hidden="1">Merged_COEM!$B$59:$AN$538</definedName>
    <definedName name="Z_24F938AF_0FF7_4211_AC75_7C89293FE5CE_.wvu.FilterData" localSheetId="0" hidden="1">Merged_COEM!$B$59:$AN$538</definedName>
    <definedName name="Z_250915DF_0B97_45D7_B29D_7EED4C89C1C1_.wvu.FilterData" localSheetId="0" hidden="1">Merged_COEM!$B$59:$AN$538</definedName>
    <definedName name="Z_250915DF_0B97_45D7_B29D_7EED4C89C1C1_.wvu.FilterData" localSheetId="1" hidden="1">Merged_JOEM!$B$59:$AN$60</definedName>
    <definedName name="Z_25FBC392_575A_46D5_8F77_708EBF5D79D6_.wvu.FilterData" localSheetId="0" hidden="1">Merged_COEM!$B$59:$AN$538</definedName>
    <definedName name="Z_25FBC392_575A_46D5_8F77_708EBF5D79D6_.wvu.FilterData" localSheetId="1" hidden="1">Merged_JOEM!$B$59:$AN$60</definedName>
    <definedName name="Z_26D1F5A5_96D6_4E71_B7C1_A23D5D0DBEB6_.wvu.FilterData" localSheetId="0" hidden="1">Merged_COEM!$B$59:$AN$538</definedName>
    <definedName name="Z_278C5F8A_6BC0_4A01_A343_CB5ED23E686C_.wvu.FilterData" localSheetId="0" hidden="1">Merged_COEM!$B$59:$AN$538</definedName>
    <definedName name="Z_28129A8E_4F11_454E_8B08_01465DFCCE16_.wvu.FilterData" localSheetId="0" hidden="1">Merged_COEM!$B$59:$AN$59</definedName>
    <definedName name="Z_28129A8E_4F11_454E_8B08_01465DFCCE16_.wvu.FilterData" localSheetId="1" hidden="1">Merged_JOEM!$B$59:$AN$59</definedName>
    <definedName name="Z_283D4045_5188_4FA2_AA4A_D83AF43FEE1E_.wvu.FilterData" localSheetId="0" hidden="1">Merged_COEM!$A$59:$AN$538</definedName>
    <definedName name="Z_285DD5EF_1CB5_4C35_A533_25F2740DEC08_.wvu.FilterData" localSheetId="0" hidden="1">Merged_COEM!$B$59:$AN$59</definedName>
    <definedName name="Z_29839EDF_F2F9_4AC5_A497_0424D917FB56_.wvu.FilterData" localSheetId="0" hidden="1">Merged_COEM!$B$59:$AN$59</definedName>
    <definedName name="Z_2A7AD122_F9C8_4A2C_A59F_C6EA38D19623_.wvu.FilterData" localSheetId="0" hidden="1">Merged_COEM!$A$59:$AN$538</definedName>
    <definedName name="Z_2A9975D9_7C20_4632_A4AA_EE470CC19EE0_.wvu.FilterData" localSheetId="0" hidden="1">Merged_COEM!$B$59:$AN$538</definedName>
    <definedName name="Z_2BB144EC_5E5F_4D44_AD8D_03EF7D4BC90D_.wvu.FilterData" localSheetId="0" hidden="1">Merged_COEM!$A$59:$AN$538</definedName>
    <definedName name="Z_2BC2A590_9684_4447_B38C_65C6FB0CEC4B_.wvu.FilterData" localSheetId="0" hidden="1">Merged_COEM!$A$59:$AN$538</definedName>
    <definedName name="Z_2BC2A590_9684_4447_B38C_65C6FB0CEC4B_.wvu.FilterData" localSheetId="1" hidden="1">Merged_JOEM!$B$59:$AN$324</definedName>
    <definedName name="Z_2C3435F1_E81D_47F6_BD8B_DF1F8AAB8E69_.wvu.FilterData" localSheetId="1" hidden="1">Merged_JOEM!$B$59:$AN$59</definedName>
    <definedName name="Z_2D9C8AE5_DCBC_444F_972E_A405F428F9A1_.wvu.FilterData" localSheetId="0" hidden="1">Merged_COEM!$A$59:$AN$538</definedName>
    <definedName name="Z_2D9C8AE5_DCBC_444F_972E_A405F428F9A1_.wvu.FilterData" localSheetId="1" hidden="1">Merged_JOEM!$B$59:$AN$324</definedName>
    <definedName name="Z_2E715778_0FD5_4002_A3DD_663BBC9D2879_.wvu.FilterData" localSheetId="0" hidden="1">Merged_COEM!$B$59:$AN$59</definedName>
    <definedName name="Z_2EE4D9DF_B5D6_4F80_B201_455C7DF6B90A_.wvu.FilterData" localSheetId="0" hidden="1">Merged_COEM!$A$59:$AN$538</definedName>
    <definedName name="Z_308F0676_A9B9_4C93_A293_C6BBBCA54ABC_.wvu.FilterData" localSheetId="0" hidden="1">Merged_COEM!$A$59:$AN$538</definedName>
    <definedName name="Z_31148D3F_D233_4B5E_92DE_30A4208F1672_.wvu.FilterData" localSheetId="0" hidden="1">Merged_COEM!$A$59:$AN$538</definedName>
    <definedName name="Z_3130D014_973F_4DF5_B95F_39633D93F2F2_.wvu.FilterData" localSheetId="0" hidden="1">Merged_COEM!$A$59:$AN$538</definedName>
    <definedName name="Z_336B6883_2145_4B58_921E_CEC7185A847E_.wvu.FilterData" localSheetId="0" hidden="1">Merged_COEM!$P$59:$P$539</definedName>
    <definedName name="Z_336B6883_2145_4B58_921E_CEC7185A847E_.wvu.FilterData" localSheetId="1" hidden="1">Merged_JOEM!$S$60:$S$324</definedName>
    <definedName name="Z_36540C60_265F_4498_B23A_15E0886B2552_.wvu.FilterData" localSheetId="0" hidden="1">Merged_COEM!$A$59:$AN$538</definedName>
    <definedName name="Z_36B89FCF_06F8_420B_B5B7_D30030E7DBE9_.wvu.FilterData" localSheetId="0" hidden="1">Merged_COEM!$B$59:$AN$538</definedName>
    <definedName name="Z_389C76C2_C502_4EAE_BD4B_6D7DAF4A1938_.wvu.FilterData" localSheetId="0" hidden="1">Merged_COEM!$A$59:$AN$538</definedName>
    <definedName name="Z_3B3E6719_EACB_4D2C_89C1_05FFAB6020FD_.wvu.FilterData" localSheetId="0" hidden="1">Merged_COEM!$A$59:$AN$538</definedName>
    <definedName name="Z_3B3E6719_EACB_4D2C_89C1_05FFAB6020FD_.wvu.FilterData" localSheetId="1" hidden="1">Merged_JOEM!$B$59:$AN$324</definedName>
    <definedName name="Z_3D91D09F_6D0C_4255_BA2B_6BD947E2FF0E_.wvu.FilterData" localSheetId="0" hidden="1">Merged_COEM!$B$59:$AN$538</definedName>
    <definedName name="Z_3DA6A480_37AA_4361_B359_67BDC8170173_.wvu.FilterData" localSheetId="0" hidden="1">Merged_COEM!$B$59:$AN$538</definedName>
    <definedName name="Z_3DE9B179_E2E6_467A_9DD7_0F3E3A90D04B_.wvu.FilterData" localSheetId="0" hidden="1">Merged_COEM!$A$59:$AN$538</definedName>
    <definedName name="Z_3F7EF641_556C_46DE_86B1_8FD08FA7AADD_.wvu.FilterData" localSheetId="1" hidden="1">Merged_JOEM!$B$59:$AN$60</definedName>
    <definedName name="Z_401E0DCE_A68E_49A9_8102_9884577193E5_.wvu.FilterData" localSheetId="1" hidden="1">Merged_JOEM!$B$59:$AN$324</definedName>
    <definedName name="Z_418FE5D8_ED33_487E_935B_D5A73A0239F7_.wvu.FilterData" localSheetId="0" hidden="1">Merged_COEM!$B$59:$AN$538</definedName>
    <definedName name="Z_41B7224C_354F_4B88_9B98_43627917A540_.wvu.FilterData" localSheetId="0" hidden="1">Merged_COEM!$A$59:$AN$538</definedName>
    <definedName name="Z_41DCA6EC_5692_4454_B626_EEE78EA80FBF_.wvu.FilterData" localSheetId="1" hidden="1">Merged_JOEM!$B$59:$AN$324</definedName>
    <definedName name="Z_42AD34C9_C124_4891_A108_88C3C0237529_.wvu.FilterData" localSheetId="0" hidden="1">Merged_COEM!$B$59:$AN$538</definedName>
    <definedName name="Z_42B4B22B_3661_4B4F_B6F8_C22BE5CABCC0_.wvu.FilterData" localSheetId="0" hidden="1">Merged_COEM!$A$59:$AN$538</definedName>
    <definedName name="Z_43B967EC_0D7C_46DF_9BEA_C0266BCF49B2_.wvu.FilterData" localSheetId="0" hidden="1">Merged_COEM!$B$59:$AN$538</definedName>
    <definedName name="Z_4631CDC9_3CB0_46A0_A411_DA030B1C25C6_.wvu.FilterData" localSheetId="0" hidden="1">Merged_COEM!$B$59:$AN$538</definedName>
    <definedName name="Z_4631CDC9_3CB0_46A0_A411_DA030B1C25C6_.wvu.FilterData" localSheetId="1" hidden="1">Merged_JOEM!$B$59:$AN$60</definedName>
    <definedName name="Z_471F4494_0449_4884_B80A_27DCFF4E79A7_.wvu.FilterData" localSheetId="0" hidden="1">Merged_COEM!$P$59:$P$539</definedName>
    <definedName name="Z_48EBC9BD_BBD3_4C6E_B628_D0EABB67588C_.wvu.FilterData" localSheetId="0" hidden="1">Merged_COEM!$B$59:$AN$538</definedName>
    <definedName name="Z_49C41633_B7C8_4854_8F3B_012C131B8151_.wvu.FilterData" localSheetId="0" hidden="1">Merged_COEM!$B$59:$AN$538</definedName>
    <definedName name="Z_4AC7CF20_9D78_47F0_AF1F_29F122739E1A_.wvu.FilterData" localSheetId="0" hidden="1">Merged_COEM!$A$59:$AN$538</definedName>
    <definedName name="Z_4AC7CF20_9D78_47F0_AF1F_29F122739E1A_.wvu.FilterData" localSheetId="1" hidden="1">Merged_JOEM!$B$59:$AN$324</definedName>
    <definedName name="Z_4D18CEA0_D888_4F4D_AE86_1305F839E5A9_.wvu.FilterData" localSheetId="0" hidden="1">Merged_COEM!$B$59:$AN$538</definedName>
    <definedName name="Z_4D74C45C_721C_468D_B7CA_077CBC33B37C_.wvu.FilterData" localSheetId="0" hidden="1">Merged_COEM!$A$59:$AN$538</definedName>
    <definedName name="Z_4DB9989C_4464_43E8_8078_E808BE505BAA_.wvu.FilterData" localSheetId="0" hidden="1">Merged_COEM!$A$59:$AN$538</definedName>
    <definedName name="Z_4DB9989C_4464_43E8_8078_E808BE505BAA_.wvu.FilterData" localSheetId="1" hidden="1">Merged_JOEM!$B$59:$AN$324</definedName>
    <definedName name="Z_4DC27000_A69C_4DC6_9CFF_103008543473_.wvu.FilterData" localSheetId="0" hidden="1">Merged_COEM!$A$59:$AN$538</definedName>
    <definedName name="Z_4E06BDBF_2CED_473B_850B_2A6C7311FF41_.wvu.FilterData" localSheetId="0" hidden="1">Merged_COEM!$A$59:$AN$538</definedName>
    <definedName name="Z_4E06BDBF_2CED_473B_850B_2A6C7311FF41_.wvu.FilterData" localSheetId="1" hidden="1">Merged_JOEM!$B$59:$AN$324</definedName>
    <definedName name="Z_4E40C96A_1DEC_426A_8589_DE34E4915A35_.wvu.FilterData" localSheetId="0" hidden="1">Merged_COEM!$B$59:$AN$538</definedName>
    <definedName name="Z_4E40C96A_1DEC_426A_8589_DE34E4915A35_.wvu.FilterData" localSheetId="1" hidden="1">Merged_JOEM!$B$59:$AN$60</definedName>
    <definedName name="Z_4F06BBAE_E91E_44B6_8F57_972D5EE0D29B_.wvu.FilterData" localSheetId="0" hidden="1">Merged_COEM!$B$59:$AN$59</definedName>
    <definedName name="Z_50DCF7A5_2981_4D29_A1B0_FCC718EF1C57_.wvu.FilterData" localSheetId="0" hidden="1">Merged_COEM!$A$59:$AN$538</definedName>
    <definedName name="Z_514F237C_375F_464E_B009_1C9457CCD9C9_.wvu.FilterData" localSheetId="0" hidden="1">Merged_COEM!$B$59:$AN$538</definedName>
    <definedName name="Z_52019DA7_9246_4B08_9F51_34B8F5416A98_.wvu.FilterData" localSheetId="0" hidden="1">Merged_COEM!$B$59:$AN$538</definedName>
    <definedName name="Z_52E5463D_8C23_4C5E_9563_8FAC384914C2_.wvu.FilterData" localSheetId="0" hidden="1">Merged_COEM!$A$59:$AN$538</definedName>
    <definedName name="Z_52E5463D_8C23_4C5E_9563_8FAC384914C2_.wvu.FilterData" localSheetId="1" hidden="1">Merged_JOEM!$B$59:$AN$324</definedName>
    <definedName name="Z_53933DC9_8D3E_405A_98A9_80740AC0B9CF_.wvu.FilterData" localSheetId="0" hidden="1">Merged_COEM!$A$59:$AN$538</definedName>
    <definedName name="Z_53933DC9_8D3E_405A_98A9_80740AC0B9CF_.wvu.FilterData" localSheetId="1" hidden="1">Merged_JOEM!$B$59:$AN$324</definedName>
    <definedName name="Z_540ED67E_48A4_42C9_8933_01DBB70F9FC6_.wvu.FilterData" localSheetId="0" hidden="1">Merged_COEM!$A$59:$AN$538</definedName>
    <definedName name="Z_540ED67E_48A4_42C9_8933_01DBB70F9FC6_.wvu.FilterData" localSheetId="1" hidden="1">Merged_JOEM!$B$59:$AN$324</definedName>
    <definedName name="Z_542EBC9D_64B9_4ABA_A324_302A387E309D_.wvu.FilterData" localSheetId="0" hidden="1">Merged_COEM!$B$59:$AN$538</definedName>
    <definedName name="Z_55512613_14D7_4168_A76D_6593BA530EA5_.wvu.FilterData" localSheetId="0" hidden="1">Merged_COEM!$B$59:$AN$59</definedName>
    <definedName name="Z_55512613_14D7_4168_A76D_6593BA530EA5_.wvu.FilterData" localSheetId="1" hidden="1">Merged_JOEM!$B$59:$AN$59</definedName>
    <definedName name="Z_555F3FCB_2741_40F9_A2E8_4947D8EA1113_.wvu.FilterData" localSheetId="0" hidden="1">Merged_COEM!$B$59:$AN$59</definedName>
    <definedName name="Z_55B30DB6_8312_48D0_8EBC_C09666C0024F_.wvu.FilterData" localSheetId="0" hidden="1">Merged_COEM!$A$59:$AN$538</definedName>
    <definedName name="Z_55DD069B_3978_4FE9_9C83_8FBEED3226A1_.wvu.FilterData" localSheetId="1" hidden="1">Merged_JOEM!$B$59:$AN$59</definedName>
    <definedName name="Z_56EF2257_F8BF_4AD9_8AEB_55C432255099_.wvu.FilterData" localSheetId="0" hidden="1">Merged_COEM!$B$59:$AN$59</definedName>
    <definedName name="Z_56EF2257_F8BF_4AD9_8AEB_55C432255099_.wvu.FilterData" localSheetId="1" hidden="1">Merged_JOEM!$B$59:$AN$59</definedName>
    <definedName name="Z_584FB3CE_102E_4394_9BBE_155B20E57E5A_.wvu.FilterData" localSheetId="0" hidden="1">Merged_COEM!$B$59:$AN$59</definedName>
    <definedName name="Z_590C7751_D2AD_44DD_9E2C_6A20FF74A475_.wvu.FilterData" localSheetId="0" hidden="1">Merged_COEM!$B$59:$AN$538</definedName>
    <definedName name="Z_590C7751_D2AD_44DD_9E2C_6A20FF74A475_.wvu.FilterData" localSheetId="1" hidden="1">Merged_JOEM!$B$59:$AN$152</definedName>
    <definedName name="Z_5C3799C0_C642_426B_89BE_BE1EE5249DB4_.wvu.FilterData" localSheetId="0" hidden="1">Merged_COEM!$P$59:$P$539</definedName>
    <definedName name="Z_5C3799C0_C642_426B_89BE_BE1EE5249DB4_.wvu.FilterData" localSheetId="1" hidden="1">Merged_JOEM!$B$59:$AN$59</definedName>
    <definedName name="Z_5CFC70B4_1A78_4D4E_9FE4_E799626D57F8_.wvu.FilterData" localSheetId="0" hidden="1">Merged_COEM!$B$59:$AN$59</definedName>
    <definedName name="Z_5CFC70B4_1A78_4D4E_9FE4_E799626D57F8_.wvu.FilterData" localSheetId="1" hidden="1">Merged_JOEM!$B$59:$AN$59</definedName>
    <definedName name="Z_5DA88502_EE01_4790_8D73_BA293A53CF17_.wvu.FilterData" localSheetId="0" hidden="1">Merged_COEM!$B$59:$AN$538</definedName>
    <definedName name="Z_5EDC2EFF_5E79_4466_BF9D_79C6A5B40ED9_.wvu.FilterData" localSheetId="0" hidden="1">Merged_COEM!$B$59:$AN$538</definedName>
    <definedName name="Z_6064FCA4_1299_45BD_A7FB_A6A1EA1CED0D_.wvu.FilterData" localSheetId="0" hidden="1">Merged_COEM!$A$59:$AN$538</definedName>
    <definedName name="Z_60AC2527_814D_446F_96A2_688DF4B3FB31_.wvu.FilterData" localSheetId="0" hidden="1">Merged_COEM!$B$59:$AN$538</definedName>
    <definedName name="Z_60D2C030_4E31_4E07_8E1C_44D2EE84B177_.wvu.FilterData" localSheetId="0" hidden="1">Merged_COEM!$A$59:$AN$538</definedName>
    <definedName name="Z_60D2C030_4E31_4E07_8E1C_44D2EE84B177_.wvu.FilterData" localSheetId="1" hidden="1">Merged_JOEM!$B$59:$AN$324</definedName>
    <definedName name="Z_63A7928D_6930_4841_969C_FCD344601064_.wvu.FilterData" localSheetId="1" hidden="1">Merged_JOEM!$B$59:$AN$324</definedName>
    <definedName name="Z_64D01CE5_FE18_455E_9C99_8DEE681E7DA8_.wvu.FilterData" localSheetId="0" hidden="1">Merged_COEM!$B$59:$AN$59</definedName>
    <definedName name="Z_654DEE07_DF95_4D03_A781_4519E9F80CCE_.wvu.FilterData" localSheetId="0" hidden="1">Merged_COEM!$B$59:$AN$538</definedName>
    <definedName name="Z_656025FA_CC5B_4D55_9B87_DB7CD14FDC3E_.wvu.FilterData" localSheetId="0" hidden="1">Merged_COEM!$B$59:$AN$59</definedName>
    <definedName name="Z_6607199E_6F59_49CF_9E27_CD16D2C15F5A_.wvu.FilterData" localSheetId="0" hidden="1">Merged_COEM!$B$59:$AN$538</definedName>
    <definedName name="Z_6607199E_6F59_49CF_9E27_CD16D2C15F5A_.wvu.FilterData" localSheetId="1" hidden="1">Merged_JOEM!$B$59:$AN$59</definedName>
    <definedName name="Z_668FC5B4_A974_4B0C_A190_6FBF948C282E_.wvu.FilterData" localSheetId="0" hidden="1">Merged_COEM!$B$59:$AN$538</definedName>
    <definedName name="Z_668FC5B4_A974_4B0C_A190_6FBF948C282E_.wvu.FilterData" localSheetId="1" hidden="1">Merged_JOEM!$B$59:$AN$68</definedName>
    <definedName name="Z_686C29B7_8607_4292_9041_CB1F6097339C_.wvu.FilterData" localSheetId="0" hidden="1">Merged_COEM!$B$59:$AN$59</definedName>
    <definedName name="Z_6897B548_3C41_42CA_B63B_C5E92D05FB97_.wvu.FilterData" localSheetId="1" hidden="1">Merged_JOEM!$B$59:$AN$324</definedName>
    <definedName name="Z_68A8DFB2_121C_4691_9D2A_B69DC01BC1C7_.wvu.FilterData" localSheetId="0" hidden="1">Merged_COEM!$B$59:$AN$538</definedName>
    <definedName name="Z_6A5804B2_391C_4C29_93A5_DA8848A9C0A9_.wvu.FilterData" localSheetId="0" hidden="1">Merged_COEM!$B$59:$AN$538</definedName>
    <definedName name="Z_6AE58870_C82D_4396_84B5_058A3E6B0999_.wvu.FilterData" localSheetId="0" hidden="1">Merged_COEM!$A$59:$AN$538</definedName>
    <definedName name="Z_6B374A4D_249C_4C23_AA17_86959F27F346_.wvu.FilterData" localSheetId="0" hidden="1">Merged_COEM!$B$59:$AN$538</definedName>
    <definedName name="Z_6B374A4D_249C_4C23_AA17_86959F27F346_.wvu.FilterData" localSheetId="1" hidden="1">Merged_JOEM!$B$59:$AN$60</definedName>
    <definedName name="Z_6B638F14_A9F5_4448_A254_1C4B412009F0_.wvu.FilterData" localSheetId="0" hidden="1">Merged_COEM!$B$59:$AN$59</definedName>
    <definedName name="Z_6B638F14_A9F5_4448_A254_1C4B412009F0_.wvu.FilterData" localSheetId="1" hidden="1">Merged_JOEM!$B$59:$AN$59</definedName>
    <definedName name="Z_6B713E76_ED25_4678_A716_879278BE9607_.wvu.FilterData" localSheetId="1" hidden="1">Merged_JOEM!$B$59:$AN$59</definedName>
    <definedName name="Z_6B805526_D437_4877_8936_0514DC72E27D_.wvu.FilterData" localSheetId="0" hidden="1">Merged_COEM!$A$59:$AN$538</definedName>
    <definedName name="Z_6B805526_D437_4877_8936_0514DC72E27D_.wvu.FilterData" localSheetId="1" hidden="1">Merged_JOEM!$B$59:$AN$324</definedName>
    <definedName name="Z_6CABF124_200E_4AC7_9AB1_549B637A0FFC_.wvu.FilterData" localSheetId="0" hidden="1">Merged_COEM!$B$59:$AN$59</definedName>
    <definedName name="Z_6D5437E7_0F6A_474A_A969_679C02E613D2_.wvu.FilterData" localSheetId="0" hidden="1">Merged_COEM!$B$59:$AN$538</definedName>
    <definedName name="Z_6DE17C78_E65F_476D_9F32_90CC12C01E83_.wvu.FilterData" localSheetId="0" hidden="1">Merged_COEM!$A$59:$AN$538</definedName>
    <definedName name="Z_6F138582_DA2E_48FF_8C71_FD324AC976C1_.wvu.FilterData" localSheetId="0" hidden="1">Merged_COEM!$B$59:$AN$538</definedName>
    <definedName name="Z_6FCAA524_7D77_4BB4_8962_4E73EBC6BB43_.wvu.FilterData" localSheetId="0" hidden="1">Merged_COEM!$B$59:$AN$59</definedName>
    <definedName name="Z_705DC135_428A_4950_A2C7_342AB4CA334B_.wvu.FilterData" localSheetId="0" hidden="1">Merged_COEM!$A$59:$AN$538</definedName>
    <definedName name="Z_715BFEE4_32CD_4B7E_A647_03CCF4A790F0_.wvu.FilterData" localSheetId="0" hidden="1">Merged_COEM!$A$59:$AN$538</definedName>
    <definedName name="Z_7261821D_1D33_4FAC_B604_2D03A21B59EC_.wvu.FilterData" localSheetId="0" hidden="1">Merged_COEM!$A$59:$AN$538</definedName>
    <definedName name="Z_72A6EB0A_84D5_4B8A_AC51_54CCD061630B_.wvu.FilterData" localSheetId="0" hidden="1">Merged_COEM!$B$59:$AN$538</definedName>
    <definedName name="Z_72A6EB0A_84D5_4B8A_AC51_54CCD061630B_.wvu.FilterData" localSheetId="1" hidden="1">Merged_JOEM!$B$59:$AN$60</definedName>
    <definedName name="Z_730E331C_10E7_4E98_BC37_6021A4A49A07_.wvu.FilterData" localSheetId="0" hidden="1">Merged_COEM!$A$59:$AN$538</definedName>
    <definedName name="Z_730E331C_10E7_4E98_BC37_6021A4A49A07_.wvu.FilterData" localSheetId="1" hidden="1">Merged_JOEM!$B$59:$AN$324</definedName>
    <definedName name="Z_730EFCB3_2402_4578_8B7C_79704658095C_.wvu.FilterData" localSheetId="1" hidden="1">Merged_JOEM!$B$59:$AN$59</definedName>
    <definedName name="Z_73375288_6B6E_4B64_B8CA_8A2D17E4EE8E_.wvu.FilterData" localSheetId="0" hidden="1">Merged_COEM!$B$59:$AN$538</definedName>
    <definedName name="Z_74F104B0_C4E5_41FD_9F43_0DFCE277A292_.wvu.FilterData" localSheetId="0" hidden="1">Merged_COEM!$B$59:$AN$538</definedName>
    <definedName name="Z_7631F57F_2776_4521_B9A4_E50DF3C50E08_.wvu.FilterData" localSheetId="0" hidden="1">Merged_COEM!$A$59:$AN$538</definedName>
    <definedName name="Z_7631F57F_2776_4521_B9A4_E50DF3C50E08_.wvu.FilterData" localSheetId="1" hidden="1">Merged_JOEM!$B$59:$AN$324</definedName>
    <definedName name="Z_76551960_825E_460F_979A_E5C4C2C41114_.wvu.FilterData" localSheetId="0" hidden="1">Merged_COEM!$B$59:$AN$538</definedName>
    <definedName name="Z_76551960_825E_460F_979A_E5C4C2C41114_.wvu.FilterData" localSheetId="1" hidden="1">Merged_JOEM!$B$59:$AN$60</definedName>
    <definedName name="Z_7684DE88_CD79_4EF5_9C9B_B69951F70D93_.wvu.FilterData" localSheetId="1" hidden="1">Merged_JOEM!$B$59:$AN$324</definedName>
    <definedName name="Z_7944494E_8CD1_491C_B632_1E18754DE671_.wvu.FilterData" localSheetId="1" hidden="1">Merged_JOEM!$B$59:$AN$152</definedName>
    <definedName name="Z_7B889AAC_31FF_4187_BC9A_97347D0C1404_.wvu.FilterData" localSheetId="0" hidden="1">Merged_COEM!$A$59:$AN$538</definedName>
    <definedName name="Z_7B889AAC_31FF_4187_BC9A_97347D0C1404_.wvu.FilterData" localSheetId="1" hidden="1">Merged_JOEM!$B$59:$AN$324</definedName>
    <definedName name="Z_7BCF790B_B0C0_4842_8AD7_5E2098ABB76A_.wvu.FilterData" localSheetId="0" hidden="1">Merged_COEM!$B$59:$AN$538</definedName>
    <definedName name="Z_7BFB5FB4_A8B0_4F63_A181_1734FD1FFF81_.wvu.FilterData" localSheetId="1" hidden="1">Merged_JOEM!$B$59:$AN$324</definedName>
    <definedName name="Z_7CFE9172_C0BA_4835_AC09_77680F071012_.wvu.FilterData" localSheetId="0" hidden="1">Merged_COEM!$A$59:$AN$538</definedName>
    <definedName name="Z_7E0EA425_A420_4443_B9E0_CDF0AA9E5D09_.wvu.FilterData" localSheetId="0" hidden="1">Merged_COEM!$A$59:$AN$538</definedName>
    <definedName name="Z_7E0EA425_A420_4443_B9E0_CDF0AA9E5D09_.wvu.FilterData" localSheetId="1" hidden="1">Merged_JOEM!$B$59:$AN$324</definedName>
    <definedName name="Z_7E28528F_E20C_4D62_AACF_5045EC0851EC_.wvu.FilterData" localSheetId="0" hidden="1">Merged_COEM!$A$59:$AN$538</definedName>
    <definedName name="Z_7E28528F_E20C_4D62_AACF_5045EC0851EC_.wvu.FilterData" localSheetId="1" hidden="1">Merged_JOEM!$B$59:$AN$324</definedName>
    <definedName name="Z_7E9E86EE_4E86_464D_A02D_88BA33E6F7E1_.wvu.FilterData" localSheetId="0" hidden="1">Merged_COEM!$B$59:$AN$538</definedName>
    <definedName name="Z_7ECC2B8E_6A82_42F5_8AB0_4A51C54EA5EC_.wvu.FilterData" localSheetId="0" hidden="1">Merged_COEM!$A$59:$AN$538</definedName>
    <definedName name="Z_7ECC2B8E_6A82_42F5_8AB0_4A51C54EA5EC_.wvu.FilterData" localSheetId="1" hidden="1">Merged_JOEM!$B$59:$AN$298</definedName>
    <definedName name="Z_7F67A8AD_9567_4C1F_9FE0_3A1B039478FD_.wvu.FilterData" localSheetId="0" hidden="1">Merged_COEM!$A$59:$AN$538</definedName>
    <definedName name="Z_800716EA_F7AD_445F_A82C_AD7029120035_.wvu.FilterData" localSheetId="1" hidden="1">Merged_JOEM!$B$59:$AN$324</definedName>
    <definedName name="Z_803CD872_D993_4AEC_ABDC_098E41A41D56_.wvu.FilterData" localSheetId="0" hidden="1">Merged_COEM!$B$59:$AN$538</definedName>
    <definedName name="Z_813A7912_0731_46B9_B4CC_33DA5DAC5D0E_.wvu.FilterData" localSheetId="0" hidden="1">Merged_COEM!$A$59:$AN$538</definedName>
    <definedName name="Z_813A7912_0731_46B9_B4CC_33DA5DAC5D0E_.wvu.FilterData" localSheetId="1" hidden="1">Merged_JOEM!$B$59:$AN$324</definedName>
    <definedName name="Z_8196DF26_FED6_4AD5_81BB_407D7FD9D469_.wvu.FilterData" localSheetId="0" hidden="1">Merged_COEM!$B$59:$AN$538</definedName>
    <definedName name="Z_8272A3A2_9E6D_45E6_9C0F_2BEE73EF2A02_.wvu.FilterData" localSheetId="0" hidden="1">Merged_COEM!$B$59:$AN$538</definedName>
    <definedName name="Z_829A4E16_046C_44CF_A5AA_B2E034E6EB70_.wvu.FilterData" localSheetId="0" hidden="1">Merged_COEM!$A$59:$AN$538</definedName>
    <definedName name="Z_829A4E16_046C_44CF_A5AA_B2E034E6EB70_.wvu.FilterData" localSheetId="1" hidden="1">Merged_JOEM!$B$59:$AN$324</definedName>
    <definedName name="Z_85A0930F_259C_45E1_BAE2_0EEDD0B3722A_.wvu.FilterData" localSheetId="0" hidden="1">Merged_COEM!$B$59:$AN$538</definedName>
    <definedName name="Z_86DC6F30_C367_4A3B_8A06_DA397A8B8A9A_.wvu.FilterData" localSheetId="0" hidden="1">Merged_COEM!$A$59:$AN$538</definedName>
    <definedName name="Z_86DC6F30_C367_4A3B_8A06_DA397A8B8A9A_.wvu.FilterData" localSheetId="1" hidden="1">Merged_JOEM!$B$59:$AN$324</definedName>
    <definedName name="Z_87B9B6D0_FCFD_415C_BDD0_A69B81D9BDE2_.wvu.FilterData" localSheetId="0" hidden="1">Merged_COEM!$B$59:$AN$538</definedName>
    <definedName name="Z_884B0F10_5A34_444B_B198_846ACF3EE5A6_.wvu.FilterData" localSheetId="0" hidden="1">Merged_COEM!$B$59:$AN$538</definedName>
    <definedName name="Z_88CE456E_359B_447D_B7A0_CC4E1465B4B3_.wvu.FilterData" localSheetId="0" hidden="1">Merged_COEM!$A$59:$AN$538</definedName>
    <definedName name="Z_88CE456E_359B_447D_B7A0_CC4E1465B4B3_.wvu.FilterData" localSheetId="1" hidden="1">Merged_JOEM!$B$59:$AN$324</definedName>
    <definedName name="Z_88E33156_B4B4_46C5_9DEC_A8C1A71097F0_.wvu.FilterData" localSheetId="0" hidden="1">Merged_COEM!$B$59:$AN$538</definedName>
    <definedName name="Z_890925D0_B636_4D3A_B874_B6C1F5A51B55_.wvu.FilterData" localSheetId="0" hidden="1">Merged_COEM!$A$59:$AN$538</definedName>
    <definedName name="Z_893CD852_24B0_46B7_AEB7_74E4BB8E0F04_.wvu.FilterData" localSheetId="0" hidden="1">Merged_COEM!$A$59:$AN$538</definedName>
    <definedName name="Z_897F2672_D884_45B1_9880_B9C71B54DAEB_.wvu.FilterData" localSheetId="0" hidden="1">Merged_COEM!$A$1:$H$18</definedName>
    <definedName name="Z_89C03E1E_B6A8_49A1_B29C_5DC4FAB2FBC6_.wvu.FilterData" localSheetId="0" hidden="1">Merged_COEM!$A$59:$AN$538</definedName>
    <definedName name="Z_89C03E1E_B6A8_49A1_B29C_5DC4FAB2FBC6_.wvu.FilterData" localSheetId="1" hidden="1">Merged_JOEM!$B$59:$AN$324</definedName>
    <definedName name="Z_8AF3B40C_4A62_4CCD_B7A0_B85E971B5DE3_.wvu.FilterData" localSheetId="0" hidden="1">Merged_COEM!$B$59:$AN$538</definedName>
    <definedName name="Z_8C375C63_D467_4856_867E_0D376340DFF8_.wvu.FilterData" localSheetId="0" hidden="1">Merged_COEM!$A$59:$AN$538</definedName>
    <definedName name="Z_8C375C63_D467_4856_867E_0D376340DFF8_.wvu.FilterData" localSheetId="1" hidden="1">Merged_JOEM!$B$59:$AN$324</definedName>
    <definedName name="Z_8C93A640_930B_411B_8D78_081C9283D060_.wvu.FilterData" localSheetId="0" hidden="1">Merged_COEM!$B$59:$AN$538</definedName>
    <definedName name="Z_8C93A640_930B_411B_8D78_081C9283D060_.wvu.FilterData" localSheetId="1" hidden="1">Merged_JOEM!$B$59:$AN$59</definedName>
    <definedName name="Z_8CE8B7C2_A72F_4E17_8707_E89EA28FE14C_.wvu.FilterData" localSheetId="0" hidden="1">Merged_COEM!$B$59:$AN$538</definedName>
    <definedName name="Z_8CFDC2B1_A931_463F_B4B3_66F2BDFB2938_.wvu.FilterData" localSheetId="0" hidden="1">Merged_COEM!$B$59:$AN$59</definedName>
    <definedName name="Z_8CFDC2B1_A931_463F_B4B3_66F2BDFB2938_.wvu.FilterData" localSheetId="1" hidden="1">Merged_JOEM!$B$59:$AN$59</definedName>
    <definedName name="Z_90215879_D202_47D7_95B0_308EB9360CBB_.wvu.FilterData" localSheetId="0" hidden="1">Merged_COEM!$B$59:$AN$59</definedName>
    <definedName name="Z_90494C03_06F7_4356_89CC_B3784BF69957_.wvu.FilterData" localSheetId="0" hidden="1">Merged_COEM!$A$59:$AN$538</definedName>
    <definedName name="Z_91B2B11D_76C7_4637_802B_C9374E443FB3_.wvu.FilterData" localSheetId="0" hidden="1">Merged_COEM!$A$59:$AN$538</definedName>
    <definedName name="Z_92142F03_965D_4EC5_9147_0A5F19A88128_.wvu.FilterData" localSheetId="0" hidden="1">Merged_COEM!$B$59:$AN$538</definedName>
    <definedName name="Z_92C3B6E0_E822_4BCF_8785_C7C14B2ADD22_.wvu.FilterData" localSheetId="0" hidden="1">Merged_COEM!$B$59:$AN$538</definedName>
    <definedName name="Z_948AAA3E_FDC6_47E8_9FD0_C830D95AC493_.wvu.FilterData" localSheetId="0" hidden="1">Merged_COEM!$A$59:$AN$538</definedName>
    <definedName name="Z_948AAA3E_FDC6_47E8_9FD0_C830D95AC493_.wvu.FilterData" localSheetId="1" hidden="1">Merged_JOEM!$B$59:$AN$324</definedName>
    <definedName name="Z_951F84BC_6E0F_48A5_9328_00C512BF8879_.wvu.FilterData" localSheetId="0" hidden="1">Merged_COEM!$B$59:$AN$538</definedName>
    <definedName name="Z_951F84BC_6E0F_48A5_9328_00C512BF8879_.wvu.FilterData" localSheetId="1" hidden="1">Merged_JOEM!$B$59:$AN$324</definedName>
    <definedName name="Z_9562D2D0_0C41_4023_A1EA_BD1C74059448_.wvu.FilterData" localSheetId="0" hidden="1">Merged_COEM!$B$59:$AN$538</definedName>
    <definedName name="Z_970EE037_F5E5_47AF_896A_0F6222879EBC_.wvu.FilterData" localSheetId="0" hidden="1">Merged_COEM!$A$59:$AN$538</definedName>
    <definedName name="Z_970EE037_F5E5_47AF_896A_0F6222879EBC_.wvu.FilterData" localSheetId="1" hidden="1">Merged_JOEM!$B$59:$AN$298</definedName>
    <definedName name="Z_97218D6F_FBE0_4BB8_82A5_9A2B9CDAE672_.wvu.FilterData" localSheetId="0" hidden="1">Merged_COEM!$B$59:$AN$538</definedName>
    <definedName name="Z_97A9DF88_B70E_4292_BE2C_86AD0A2D47DE_.wvu.FilterData" localSheetId="0" hidden="1">Merged_COEM!$B$59:$AN$538</definedName>
    <definedName name="Z_99BC1C51_34DC_4BF2_906C_1E31B6171D71_.wvu.FilterData" localSheetId="0" hidden="1">Merged_COEM!$A$59:$AN$538</definedName>
    <definedName name="Z_99BC1C51_34DC_4BF2_906C_1E31B6171D71_.wvu.FilterData" localSheetId="1" hidden="1">Merged_JOEM!$B$59:$AN$324</definedName>
    <definedName name="Z_99E5354C_71C6_436F_9EE1_C848EB01C814_.wvu.FilterData" localSheetId="0" hidden="1">Merged_COEM!$B$59:$AN$59</definedName>
    <definedName name="Z_99E5354C_71C6_436F_9EE1_C848EB01C814_.wvu.FilterData" localSheetId="1" hidden="1">Merged_JOEM!$B$59:$AN$59</definedName>
    <definedName name="Z_9A65A7A6_8448_4F78_9B19_3E27A0D1E880_.wvu.FilterData" localSheetId="0" hidden="1">Merged_COEM!$A$59:$AN$538</definedName>
    <definedName name="Z_9AD1B165_0807_4FC0_AD7A_19295CA7995A_.wvu.FilterData" localSheetId="0" hidden="1">Merged_COEM!$B$59:$AN$59</definedName>
    <definedName name="Z_9AD1B165_0807_4FC0_AD7A_19295CA7995A_.wvu.FilterData" localSheetId="1" hidden="1">Merged_JOEM!$B$59:$AN$59</definedName>
    <definedName name="Z_9B284A23_0F1B_4C7D_B2C2_B10F6E505930_.wvu.FilterData" localSheetId="0" hidden="1">Merged_COEM!$B$59:$AN$538</definedName>
    <definedName name="Z_9B908383_707F_47D3_9642_C5167E466EE6_.wvu.FilterData" localSheetId="0" hidden="1">Merged_COEM!$A$59:$AN$538</definedName>
    <definedName name="Z_9D714EDB_35D2_4BA7_9AE2_8FA7614FCB4C_.wvu.FilterData" localSheetId="0" hidden="1">Merged_COEM!$A$59:$AN$538</definedName>
    <definedName name="Z_9D714EDB_35D2_4BA7_9AE2_8FA7614FCB4C_.wvu.FilterData" localSheetId="1" hidden="1">Merged_JOEM!$B$59:$AN$324</definedName>
    <definedName name="Z_9DE5D1E3_34D1_41A1_AF9A_7D2454A346C3_.wvu.FilterData" localSheetId="0" hidden="1">Merged_COEM!$A$59:$AN$538</definedName>
    <definedName name="Z_9E145E8C_2B31_4DB8_B4B0_C616F5D01119_.wvu.FilterData" localSheetId="0" hidden="1">Merged_COEM!$B$59:$AN$59</definedName>
    <definedName name="Z_9F45223C_9767_4C33_8ED0_77D77C44DDED_.wvu.FilterData" localSheetId="1" hidden="1">Merged_JOEM!$B$59:$AN$324</definedName>
    <definedName name="Z_9FEC5F16_0415_467C_9D43_55FB7EEA0794_.wvu.FilterData" localSheetId="1" hidden="1">Merged_JOEM!$B$59:$AN$324</definedName>
    <definedName name="Z_A0775B09_FAB0_4DE7_9AE6_1D4E50E30721_.wvu.FilterData" localSheetId="1" hidden="1">Merged_JOEM!$B$59:$AN$152</definedName>
    <definedName name="Z_A15A9366_E30F_41B7_BA75_6474B00ABCD6_.wvu.FilterData" localSheetId="0" hidden="1">Merged_COEM!$B$59:$AN$538</definedName>
    <definedName name="Z_A250327B_29D1_494C_9436_0B51910F3323_.wvu.FilterData" localSheetId="0" hidden="1">Merged_COEM!$B$59:$AN$538</definedName>
    <definedName name="Z_A2A917F4_F661_4683_88C9_57D64E10A4C2_.wvu.FilterData" localSheetId="0" hidden="1">Merged_COEM!$B$59:$AN$538</definedName>
    <definedName name="Z_A2C66332_A809_458E_971B_FDB6D62C74C3_.wvu.FilterData" localSheetId="0" hidden="1">Merged_COEM!$B$59:$AN$538</definedName>
    <definedName name="Z_A2C66332_A809_458E_971B_FDB6D62C74C3_.wvu.FilterData" localSheetId="1" hidden="1">Merged_JOEM!$B$59:$AN$298</definedName>
    <definedName name="Z_A41FDE28_6FFB_43B6_B43B_9101088A5207_.wvu.FilterData" localSheetId="0" hidden="1">Merged_COEM!$B$59:$AN$59</definedName>
    <definedName name="Z_A4227727_9F71_47E1_8C2E_042438D3D073_.wvu.FilterData" localSheetId="0" hidden="1">Merged_COEM!$B$59:$AN$59</definedName>
    <definedName name="Z_A660862E_E137_45E6_9126_F71C85FD8B0C_.wvu.FilterData" localSheetId="0" hidden="1">Merged_COEM!$B$59:$AN$59</definedName>
    <definedName name="Z_A6A46D6D_F867_4FA0_8E53_62A7F47A4E88_.wvu.FilterData" localSheetId="0" hidden="1">Merged_COEM!$P$59:$P$539</definedName>
    <definedName name="Z_A744FF6C_D2CD_4F7F_AB46_8716E1600217_.wvu.FilterData" localSheetId="0" hidden="1">Merged_COEM!$B$59:$AN$59</definedName>
    <definedName name="Z_A7D380F0_390E_41B2_8D7C_8A5C5BADE80E_.wvu.FilterData" localSheetId="0" hidden="1">Merged_COEM!$A$59:$AN$538</definedName>
    <definedName name="Z_A7D380F0_390E_41B2_8D7C_8A5C5BADE80E_.wvu.FilterData" localSheetId="1" hidden="1">Merged_JOEM!$B$59:$AN$324</definedName>
    <definedName name="Z_A836B445_4F59_4535_9297_85C0D2ED9ECD_.wvu.FilterData" localSheetId="0" hidden="1">Merged_COEM!$A$59:$AN$538</definedName>
    <definedName name="Z_A872A925_F97A_4BCF_ADA0_5A890430B25E_.wvu.FilterData" localSheetId="0" hidden="1">Merged_COEM!$A$59:$AN$538</definedName>
    <definedName name="Z_A872A925_F97A_4BCF_ADA0_5A890430B25E_.wvu.FilterData" localSheetId="1" hidden="1">Merged_JOEM!$B$59:$AN$324</definedName>
    <definedName name="Z_AA3A2856_F934_43FD_A71B_100B2ECD9F4A_.wvu.FilterData" localSheetId="0" hidden="1">Merged_COEM!$B$59:$AN$59</definedName>
    <definedName name="Z_AA85FADB_94FF_41A1_80F2_8EF99C6BD443_.wvu.FilterData" localSheetId="0" hidden="1">Merged_COEM!$B$59:$AN$59</definedName>
    <definedName name="Z_AB5B9EA7_3D5B_4C61_9D01_380D7E46D55A_.wvu.FilterData" localSheetId="0" hidden="1">Merged_COEM!$A$59:$AN$533</definedName>
    <definedName name="Z_ABE1B979_D75D_42A3_AB3C_1BC48A1ABE90_.wvu.FilterData" localSheetId="0" hidden="1">Merged_COEM!$B$59:$AN$538</definedName>
    <definedName name="Z_AC999F38_EF0E_452F_99C6_511671044A11_.wvu.FilterData" localSheetId="0" hidden="1">Merged_COEM!$B$59:$AN$538</definedName>
    <definedName name="Z_AC999F38_EF0E_452F_99C6_511671044A11_.wvu.FilterData" localSheetId="1" hidden="1">Merged_JOEM!$B$59:$AN$60</definedName>
    <definedName name="Z_AD0FF98A_2F3B_40F7_861D_434AA89A29DD_.wvu.FilterData" localSheetId="0" hidden="1">Merged_COEM!$A$59:$AN$538</definedName>
    <definedName name="Z_AD27B5B3_C4F2_4AB4_889A_203E2C0A7B22_.wvu.FilterData" localSheetId="0" hidden="1">Merged_COEM!$A$59:$AN$538</definedName>
    <definedName name="Z_AD31D473_ABF1_4543_84A5_D817CF174F0C_.wvu.FilterData" localSheetId="0" hidden="1">Merged_COEM!$B$59:$AN$538</definedName>
    <definedName name="Z_ADD46B79_F7F7_46DE_9772_2E93369E66DE_.wvu.FilterData" localSheetId="0" hidden="1">Merged_COEM!$B$59:$AN$538</definedName>
    <definedName name="Z_AF189699_1222_40FF_ACE8_2099FF14FAC9_.wvu.FilterData" localSheetId="0" hidden="1">Merged_COEM!$A$59:$AN$538</definedName>
    <definedName name="Z_AF189699_1222_40FF_ACE8_2099FF14FAC9_.wvu.FilterData" localSheetId="1" hidden="1">Merged_JOEM!$B$59:$AN$324</definedName>
    <definedName name="Z_B06D242B_D21C_41E5_82AB_BA350B34DB54_.wvu.FilterData" localSheetId="0" hidden="1">Merged_COEM!$A$59:$AN$538</definedName>
    <definedName name="Z_B0D4B0A9_441A_40CA_8004_F6D98B3003DF_.wvu.FilterData" localSheetId="0" hidden="1">Merged_COEM!$B$59:$AN$538</definedName>
    <definedName name="Z_B1055908_6224_4011_925E_7C2E1172AE70_.wvu.FilterData" localSheetId="0" hidden="1">Merged_COEM!$A$59:$AN$538</definedName>
    <definedName name="Z_B1055908_6224_4011_925E_7C2E1172AE70_.wvu.FilterData" localSheetId="1" hidden="1">Merged_JOEM!$B$59:$AN$324</definedName>
    <definedName name="Z_B1BAE94B_9F00_4EF3_A8CE_FFF8D917D97C_.wvu.FilterData" localSheetId="0" hidden="1">Merged_COEM!$B$59:$AN$538</definedName>
    <definedName name="Z_B28487AD_1FF3_420C_9816_908EA83E5D3C_.wvu.FilterData" localSheetId="0" hidden="1">Merged_COEM!$A$59:$AN$538</definedName>
    <definedName name="Z_B28487AD_1FF3_420C_9816_908EA83E5D3C_.wvu.FilterData" localSheetId="1" hidden="1">Merged_JOEM!$B$59:$AN$60</definedName>
    <definedName name="Z_B28746A6_3784_4E4C_9E3E_05917653FE5F_.wvu.FilterData" localSheetId="0" hidden="1">Merged_COEM!$B$59:$AN$538</definedName>
    <definedName name="Z_B2C470A8_EA38_4E8A_AFC7_3088AC1C6257_.wvu.FilterData" localSheetId="0" hidden="1">Merged_COEM!$B$59:$AN$538</definedName>
    <definedName name="Z_B2EC619E_F51B_483E_9AAF_517D4B41291A_.wvu.FilterData" localSheetId="0" hidden="1">Merged_COEM!$A$59:$AN$538</definedName>
    <definedName name="Z_B3AB6DAA_41F0_4EE2_8B00_F7180AC3BF7E_.wvu.FilterData" localSheetId="1" hidden="1">Merged_JOEM!$B$59:$AN$324</definedName>
    <definedName name="Z_B3CBA697_396C_49AA_95DB_637C81CB8DF9_.wvu.FilterData" localSheetId="0" hidden="1">Merged_COEM!$B$59:$AN$538</definedName>
    <definedName name="Z_B3D249B3_F897_444B_A67E_E6939251C5B3_.wvu.FilterData" localSheetId="1" hidden="1">Merged_JOEM!$B$59:$AN$324</definedName>
    <definedName name="Z_B499B82B_96ED_4CBF_BFE1_5CA7DAD3BC0F_.wvu.FilterData" localSheetId="0" hidden="1">Merged_COEM!$B$59:$AN$538</definedName>
    <definedName name="Z_B4A86492_91CA_4B88_905A_7180E7C62EB2_.wvu.FilterData" localSheetId="0" hidden="1">Merged_COEM!$A$59:$AN$538</definedName>
    <definedName name="Z_B532AA05_9EB4_46DE_A45A_E34C29A069AA_.wvu.FilterData" localSheetId="0" hidden="1">Merged_COEM!$B$59:$AN$538</definedName>
    <definedName name="Z_B63DD65C_9EF8_4E01_9252_9D7B6691A477_.wvu.FilterData" localSheetId="0" hidden="1">Merged_COEM!$B$59:$AN$59</definedName>
    <definedName name="Z_B6B30A94_A4FB_42AF_BB3D_564C0E1E2210_.wvu.FilterData" localSheetId="0" hidden="1">Merged_COEM!$B$59:$AN$59</definedName>
    <definedName name="Z_B6B30A94_A4FB_42AF_BB3D_564C0E1E2210_.wvu.FilterData" localSheetId="1" hidden="1">Merged_JOEM!$B$59:$AN$59</definedName>
    <definedName name="Z_B6ED238C_0DE9_471E_909B_1EAB15BEA059_.wvu.FilterData" localSheetId="0" hidden="1">Merged_COEM!$P$59:$P$539</definedName>
    <definedName name="Z_BC173873_A7A3_429A_A2F2_06B8E17D4E2D_.wvu.FilterData" localSheetId="0" hidden="1">Merged_COEM!$P$59:$P$539</definedName>
    <definedName name="Z_BC173873_A7A3_429A_A2F2_06B8E17D4E2D_.wvu.FilterData" localSheetId="1" hidden="1">Merged_JOEM!$B$59:$AN$59</definedName>
    <definedName name="Z_BC9E3217_B55A_4318_BC37_B4A44F3EFD84_.wvu.FilterData" localSheetId="0" hidden="1">Merged_COEM!$B$59:$AN$538</definedName>
    <definedName name="Z_BCE99E97_CE8F_4575_BF43_E13B513D810F_.wvu.FilterData" localSheetId="0" hidden="1">Merged_COEM!$B$59:$AN$538</definedName>
    <definedName name="Z_BE7BA0FA_2892_4827_BA29_74B6E16E353B_.wvu.FilterData" localSheetId="0" hidden="1">Merged_COEM!$A$59:$AN$538</definedName>
    <definedName name="Z_BEE26344_5F89_46BE_ADCC_85D6BF33A053_.wvu.FilterData" localSheetId="0" hidden="1">Merged_COEM!$A$59:$AN$538</definedName>
    <definedName name="Z_BEE26344_5F89_46BE_ADCC_85D6BF33A053_.wvu.FilterData" localSheetId="1" hidden="1">Merged_JOEM!$B$59:$AN$324</definedName>
    <definedName name="Z_BF1F7491_F461_4810_B06E_8AF629E4946B_.wvu.FilterData" localSheetId="0" hidden="1">Merged_COEM!$B$59:$AN$538</definedName>
    <definedName name="Z_BF7A1F8F_74AD_4DDA_B23C_B5C3DB65C08A_.wvu.FilterData" localSheetId="1" hidden="1">Merged_JOEM!$B$59:$AN$324</definedName>
    <definedName name="Z_BFE28FD3_FC05_47D2_B394_F3516A4D0AB3_.wvu.FilterData" localSheetId="0" hidden="1">Merged_COEM!$B$59:$AN$59</definedName>
    <definedName name="Z_C0E51FCA_4F01_4943_98A0_011C2CAE2D2E_.wvu.FilterData" localSheetId="0" hidden="1">Merged_COEM!$B$59:$AN$59</definedName>
    <definedName name="Z_C2303EBD_E6D7_4FF7_845D_A3B248E6EFF5_.wvu.FilterData" localSheetId="1" hidden="1">Merged_JOEM!$B$59:$AN$324</definedName>
    <definedName name="Z_C2BC807A_4231_4D9F_A0E3_91083B1E2121_.wvu.FilterData" localSheetId="0" hidden="1">Merged_COEM!$B$59:$AN$538</definedName>
    <definedName name="Z_C2BC807A_4231_4D9F_A0E3_91083B1E2121_.wvu.FilterData" localSheetId="1" hidden="1">Merged_JOEM!$B$59:$AN$60</definedName>
    <definedName name="Z_C36428D0_4662_4A3F_8269_04B9F62FB882_.wvu.FilterData" localSheetId="0" hidden="1">Merged_COEM!$B$59:$AN$538</definedName>
    <definedName name="Z_C3B26110_BB96_4041_9E86_8FB1D3595EC3_.wvu.FilterData" localSheetId="0" hidden="1">Merged_COEM!$P$59:$P$539</definedName>
    <definedName name="Z_C477A7B9_FAF8_4542_B07F_F4099E2D59B5_.wvu.FilterData" localSheetId="0" hidden="1">Merged_COEM!$A$59:$AN$538</definedName>
    <definedName name="Z_C477A7B9_FAF8_4542_B07F_F4099E2D59B5_.wvu.FilterData" localSheetId="1" hidden="1">Merged_JOEM!$B$59:$AN$324</definedName>
    <definedName name="Z_C6889E15_1A62_4F54_A8B7_B3679CC028D9_.wvu.FilterData" localSheetId="0" hidden="1">Merged_COEM!$A$59:$AN$538</definedName>
    <definedName name="Z_C6889E15_1A62_4F54_A8B7_B3679CC028D9_.wvu.FilterData" localSheetId="1" hidden="1">Merged_JOEM!$B$59:$AN$324</definedName>
    <definedName name="Z_C94451EF_7A3E_4D72_B5A4_3D1B193192CC_.wvu.FilterData" localSheetId="0" hidden="1">Merged_COEM!$A$59:$AN$538</definedName>
    <definedName name="Z_C94451EF_7A3E_4D72_B5A4_3D1B193192CC_.wvu.FilterData" localSheetId="1" hidden="1">Merged_JOEM!$B$59:$AN$298</definedName>
    <definedName name="Z_CA610046_2946_4C6D_A575_B33B2261CDA0_.wvu.FilterData" localSheetId="0" hidden="1">Merged_COEM!$A$59:$AN$538</definedName>
    <definedName name="Z_CA610046_2946_4C6D_A575_B33B2261CDA0_.wvu.FilterData" localSheetId="1" hidden="1">Merged_JOEM!$B$59:$AN$324</definedName>
    <definedName name="Z_CB2D8F44_72B6_4784_85C6_8C82D3B41596_.wvu.FilterData" localSheetId="0" hidden="1">Merged_COEM!$A$59:$AN$538</definedName>
    <definedName name="Z_CB878EEF_D456_4AC2_A47A_33FB11DA205A_.wvu.FilterData" localSheetId="0" hidden="1">Merged_COEM!$A$59:$AN$538</definedName>
    <definedName name="Z_CD235416_A5FA_481B_8E55_C60A832823B9_.wvu.FilterData" localSheetId="0" hidden="1">Merged_COEM!$B$59:$AN$538</definedName>
    <definedName name="Z_CD27DB33_53E8_44D2_9D7B_46C7E0D8406D_.wvu.FilterData" localSheetId="1" hidden="1">Merged_JOEM!$B$59:$AN$60</definedName>
    <definedName name="Z_CDA0C6D7_3A34_4603_A386_6EC3B3F2C1A3_.wvu.FilterData" localSheetId="0" hidden="1">Merged_COEM!$B$59:$AN$59</definedName>
    <definedName name="Z_CDBB1A2A_231D_4FFC_9270_4805D06A351E_.wvu.FilterData" localSheetId="0" hidden="1">Merged_COEM!$A$59:$AN$538</definedName>
    <definedName name="Z_CDBB1A2A_231D_4FFC_9270_4805D06A351E_.wvu.FilterData" localSheetId="1" hidden="1">Merged_JOEM!$B$59:$AN$324</definedName>
    <definedName name="Z_CE1AD879_4E3E_419F_98AE_AEB21B971F2A_.wvu.FilterData" localSheetId="0" hidden="1">Merged_COEM!$A$59:$AN$538</definedName>
    <definedName name="Z_CE1AD879_4E3E_419F_98AE_AEB21B971F2A_.wvu.FilterData" localSheetId="1" hidden="1">Merged_JOEM!$B$59:$AN$324</definedName>
    <definedName name="Z_CE53B601_5089_4DCD_884E_E31984E57AA7_.wvu.FilterData" localSheetId="0" hidden="1">Merged_COEM!$A$59:$AN$538</definedName>
    <definedName name="Z_CEA010CE_4499_4072_B3D6_4AE9AD81ECB0_.wvu.FilterData" localSheetId="0" hidden="1">Merged_COEM!$A$59:$AN$538</definedName>
    <definedName name="Z_CEBE8AC3_188B_4F97_A24F_371A11C4421A_.wvu.FilterData" localSheetId="0" hidden="1">Merged_COEM!$B$59:$AN$59</definedName>
    <definedName name="Z_CF789F89_E944_4123_99BC_A68BDCD5854E_.wvu.FilterData" localSheetId="0" hidden="1">Merged_COEM!$A$59:$AN$538</definedName>
    <definedName name="Z_CFDF51A4_31D6_4E09_9872_4D69918FBCA4_.wvu.FilterData" localSheetId="0" hidden="1">Merged_COEM!$B$59:$AN$538</definedName>
    <definedName name="Z_D02104D3_51B8_4533_A2F3_8DEEA8EA85DE_.wvu.FilterData" localSheetId="0" hidden="1">Merged_COEM!$B$59:$AN$538</definedName>
    <definedName name="Z_D086E2C8_DBDB_447C_AEAF_4D570D675B0D_.wvu.FilterData" localSheetId="0" hidden="1">Merged_COEM!$B$59:$AN$538</definedName>
    <definedName name="Z_D10C1121_7955_47E3_A09A_4AF339F3E3B1_.wvu.FilterData" localSheetId="0" hidden="1">Merged_COEM!$A$59:$AN$538</definedName>
    <definedName name="Z_D27A9719_CA1F_4F10_B026_6793A25D97CF_.wvu.FilterData" localSheetId="0" hidden="1">Merged_COEM!$B$59:$AN$59</definedName>
    <definedName name="Z_D27A9719_CA1F_4F10_B026_6793A25D97CF_.wvu.FilterData" localSheetId="1" hidden="1">Merged_JOEM!$B$59:$AN$59</definedName>
    <definedName name="Z_D33AC7AF_C8AB_4CE9_94C7_9237011A5FC3_.wvu.FilterData" localSheetId="0" hidden="1">Merged_COEM!$A$59:$AN$538</definedName>
    <definedName name="Z_D33AC7AF_C8AB_4CE9_94C7_9237011A5FC3_.wvu.FilterData" localSheetId="1" hidden="1">Merged_JOEM!$B$59:$AN$298</definedName>
    <definedName name="Z_D38342FB_44F2_4C40_B39A_DFD93C1F7369_.wvu.FilterData" localSheetId="0" hidden="1">Merged_COEM!$A$59:$AN$538</definedName>
    <definedName name="Z_D41295E5_0507_4FFC_9DE6_9C52285F0275_.wvu.FilterData" localSheetId="0" hidden="1">Merged_COEM!$B$59:$AN$538</definedName>
    <definedName name="Z_D4D31799_D309_49FE_A753_935575949FDF_.wvu.FilterData" localSheetId="0" hidden="1">Merged_COEM!$B$59:$AN$538</definedName>
    <definedName name="Z_D4D31799_D309_49FE_A753_935575949FDF_.wvu.FilterData" localSheetId="1" hidden="1">Merged_JOEM!$B$59:$AN$60</definedName>
    <definedName name="Z_D5ACA420_0704_4A7B_8271_EFB400689CE3_.wvu.FilterData" localSheetId="0" hidden="1">Merged_COEM!$B$59:$AN$59</definedName>
    <definedName name="Z_D5ACA420_0704_4A7B_8271_EFB400689CE3_.wvu.FilterData" localSheetId="1" hidden="1">Merged_JOEM!$B$59:$AN$59</definedName>
    <definedName name="Z_D6832C49_66A5_40BB_A73B_0C25E4D9B698_.wvu.FilterData" localSheetId="0" hidden="1">Merged_COEM!$B$59:$AN$59</definedName>
    <definedName name="Z_D68AA120_23E6_4E33_B593_B08CB8C9A9E2_.wvu.FilterData" localSheetId="0" hidden="1">Merged_COEM!$A$59:$AN$538</definedName>
    <definedName name="Z_D6B6CCCC_9FFF_4FFF_98B0_4EA5B228ED4B_.wvu.FilterData" localSheetId="0" hidden="1">Merged_COEM!$A$59:$AN$538</definedName>
    <definedName name="Z_D872AF61_C529_4DF8_A0AD_23C1DBB7ABFF_.wvu.FilterData" localSheetId="0" hidden="1">Merged_COEM!$B$59:$AN$538</definedName>
    <definedName name="Z_D96D1389_4C8F_47A3_9E16_746F53899CC4_.wvu.FilterData" localSheetId="0" hidden="1">Merged_COEM!$A$59:$AN$538</definedName>
    <definedName name="Z_DA60DB17_D662_44C5_A44E_0215B156F1CB_.wvu.FilterData" localSheetId="0" hidden="1">Merged_COEM!$B$59:$AN$538</definedName>
    <definedName name="Z_DA60DB17_D662_44C5_A44E_0215B156F1CB_.wvu.FilterData" localSheetId="1" hidden="1">Merged_JOEM!$B$59:$AN$60</definedName>
    <definedName name="Z_DA781726_B906_42BF_9F10_92770707708D_.wvu.FilterData" localSheetId="0" hidden="1">Merged_COEM!$B$59:$AN$59</definedName>
    <definedName name="Z_DB3D53BC_032F_471F_94FC_E9876370C211_.wvu.FilterData" localSheetId="0" hidden="1">Merged_COEM!$B$59:$AN$538</definedName>
    <definedName name="Z_DD788658_D329_4BC9_A4CF_42A7BA14B6A8_.wvu.FilterData" localSheetId="0" hidden="1">Merged_COEM!$A$59:$AN$538</definedName>
    <definedName name="Z_DD788658_D329_4BC9_A4CF_42A7BA14B6A8_.wvu.FilterData" localSheetId="1" hidden="1">Merged_JOEM!$B$59:$AN$324</definedName>
    <definedName name="Z_DDB52F07_9CA6_4C4D_B256_178082EC8245_.wvu.FilterData" localSheetId="0" hidden="1">Merged_COEM!$B$59:$AN$538</definedName>
    <definedName name="Z_DDB52F07_9CA6_4C4D_B256_178082EC8245_.wvu.FilterData" localSheetId="1" hidden="1">Merged_JOEM!$B$59:$AN$59</definedName>
    <definedName name="Z_DE7792AA_5050_4583_A5BB_E5DDC52489C5_.wvu.FilterData" localSheetId="0" hidden="1">Merged_COEM!$B$59:$AN$538</definedName>
    <definedName name="Z_DE7792AA_5050_4583_A5BB_E5DDC52489C5_.wvu.FilterData" localSheetId="1" hidden="1">Merged_JOEM!$B$59:$AN$60</definedName>
    <definedName name="Z_E058DDBE_ED0A_4CA8_8C04_26D1B7AA285A_.wvu.FilterData" localSheetId="0" hidden="1">Merged_COEM!$A$59:$AN$538</definedName>
    <definedName name="Z_E058DDBE_ED0A_4CA8_8C04_26D1B7AA285A_.wvu.FilterData" localSheetId="1" hidden="1">Merged_JOEM!$B$59:$AN$324</definedName>
    <definedName name="Z_E0DA618F_5168_4BDA_B90D_1071596CF2FC_.wvu.FilterData" localSheetId="0" hidden="1">Merged_COEM!$B$59:$AN$59</definedName>
    <definedName name="Z_E0F05845_7B3E_4BDE_9641_919043CF8853_.wvu.FilterData" localSheetId="0" hidden="1">Merged_COEM!$B$59:$AN$538</definedName>
    <definedName name="Z_E12EC836_80E0_45EE_A6D0_34069B8708A0_.wvu.FilterData" localSheetId="0" hidden="1">Merged_COEM!$A$59:$AN$538</definedName>
    <definedName name="Z_E12EC836_80E0_45EE_A6D0_34069B8708A0_.wvu.FilterData" localSheetId="1" hidden="1">Merged_JOEM!$B$59:$AN$324</definedName>
    <definedName name="Z_E2F01DF1_5235_4931_B0AA_790594455BB6_.wvu.FilterData" localSheetId="0" hidden="1">Merged_COEM!$A$59:$AN$538</definedName>
    <definedName name="Z_E36B2453_F811_41EA_9FD1_7FA18414D43B_.wvu.FilterData" localSheetId="1" hidden="1">Merged_JOEM!$B$59:$AN$324</definedName>
    <definedName name="Z_E5B6C117_544A_4A15_9506_72CFAF8D0D1D_.wvu.FilterData" localSheetId="0" hidden="1">Merged_COEM!$A$59:$AN$538</definedName>
    <definedName name="Z_E6141633_D7E6_4C6C_8705_4DA7F2940436_.wvu.FilterData" localSheetId="0" hidden="1">Merged_COEM!$A$59:$AN$538</definedName>
    <definedName name="Z_E6180E73_1E02_47C0_826F_065429E1DBB3_.wvu.FilterData" localSheetId="0" hidden="1">Merged_COEM!$B$59:$AN$59</definedName>
    <definedName name="Z_E6637879_26CD_45BB_85B9_AB81FCEF6B80_.wvu.FilterData" localSheetId="0" hidden="1">Merged_COEM!$B$59:$AN$538</definedName>
    <definedName name="Z_E6FDFB7C_A7B9_48D5_BBD6_68140ADA35BB_.wvu.FilterData" localSheetId="0" hidden="1">Merged_COEM!$B$59:$AN$538</definedName>
    <definedName name="Z_E72CA2CF_6FE7_4387_B8FB_A8EC0BD159B1_.wvu.FilterData" localSheetId="0" hidden="1">Merged_COEM!$B$59:$AN$538</definedName>
    <definedName name="Z_E73B0B7F_6007_4682_BC1D_F46CD41654E9_.wvu.FilterData" localSheetId="0" hidden="1">Merged_COEM!$B$59:$AN$538</definedName>
    <definedName name="Z_EB30279F_71BB_4BBD_A7EE_691D83FBCC50_.wvu.FilterData" localSheetId="0" hidden="1">Merged_COEM!$B$59:$AN$59</definedName>
    <definedName name="Z_EE73AC1D_D830_44B7_9DC4_1CCC2AC80F1D_.wvu.FilterData" localSheetId="0" hidden="1">Merged_COEM!$A$59:$AN$538</definedName>
    <definedName name="Z_EE73AC1D_D830_44B7_9DC4_1CCC2AC80F1D_.wvu.FilterData" localSheetId="1" hidden="1">Merged_JOEM!$B$59:$AN$324</definedName>
    <definedName name="Z_F050E9E1_F25B_4095_9E95_D7089EDC2226_.wvu.FilterData" localSheetId="0" hidden="1">Merged_COEM!$A$59:$AN$538</definedName>
    <definedName name="Z_F0C44ECA_0D2B_4805_B4D2_E17DE61DEB71_.wvu.FilterData" localSheetId="1" hidden="1">Merged_JOEM!$B$59:$AN$324</definedName>
    <definedName name="Z_F156840B_A87F_4F21_ACF9_03F56312743A_.wvu.FilterData" localSheetId="0" hidden="1">Merged_COEM!$A$59:$AN$538</definedName>
    <definedName name="Z_F2F80064_51A8_4D52_A123_C0058F84AA1A_.wvu.FilterData" localSheetId="0" hidden="1">Merged_COEM!$B$59:$AN$538</definedName>
    <definedName name="Z_F3532C7A_7113_46B3_ADCA_11F1836BD68A_.wvu.FilterData" localSheetId="0" hidden="1">Merged_COEM!$A$59:$AN$538</definedName>
    <definedName name="Z_F3576CD0_5355_439B_B618_26A976A8AD4D_.wvu.FilterData" localSheetId="0" hidden="1">Merged_COEM!$B$59:$AN$538</definedName>
    <definedName name="Z_F3576CD0_5355_439B_B618_26A976A8AD4D_.wvu.FilterData" localSheetId="1" hidden="1">Merged_JOEM!$B$59:$AN$60</definedName>
    <definedName name="Z_F3C62E6E_7BB8_439B_825E_263944F8EEFB_.wvu.FilterData" localSheetId="0" hidden="1">Merged_COEM!$B$59:$AN$538</definedName>
    <definedName name="Z_F42B3598_EC4C_4CA4_96A7_EB7E4FD7B31F_.wvu.FilterData" localSheetId="0" hidden="1">Merged_COEM!$B$59:$AN$59</definedName>
    <definedName name="Z_F5189931_E130_4E42_B4D4_9E1B4FBEE9C3_.wvu.FilterData" localSheetId="0" hidden="1">Merged_COEM!$A$59:$AN$538</definedName>
    <definedName name="Z_F687CD9E_1B76_4957_9426_4ECD58D5D7D3_.wvu.FilterData" localSheetId="0" hidden="1">Merged_COEM!$B$59:$AN$59</definedName>
    <definedName name="Z_F7E33AA4_20B3_43EB_9BA5_36014C40D96F_.wvu.FilterData" localSheetId="0" hidden="1">Merged_COEM!$B$59:$AN$538</definedName>
    <definedName name="Z_F8DEA099_8757_4B5F_BBB9_98FA1CFA0073_.wvu.FilterData" localSheetId="0" hidden="1">Merged_COEM!$A$59:$AN$538</definedName>
    <definedName name="Z_F96FC7D9_4F89_4FE0_8D00_C0083DEB0472_.wvu.FilterData" localSheetId="0" hidden="1">Merged_COEM!$A$59:$AN$538</definedName>
    <definedName name="Z_F96FC7D9_4F89_4FE0_8D00_C0083DEB0472_.wvu.FilterData" localSheetId="1" hidden="1">Merged_JOEM!$B$59:$AN$324</definedName>
    <definedName name="Z_F9C9B13C_720B_4A04_B3A2_069AB8597591_.wvu.FilterData" localSheetId="0" hidden="1">Merged_COEM!$A$59:$AN$538</definedName>
    <definedName name="Z_FCBA969A_5620_43C9_8851_24D48C83982B_.wvu.FilterData" localSheetId="0" hidden="1">Merged_COEM!$A$59:$AN$538</definedName>
    <definedName name="Z_FDF8FFD6_749D_4772_99C1_B3E079EA1F04_.wvu.FilterData" localSheetId="0" hidden="1">Merged_COEM!$B$59:$AN$538</definedName>
    <definedName name="Z_FE2C839D_CFC1_49B1_AC2C_8A6402AB94F3_.wvu.FilterData" localSheetId="0" hidden="1">Merged_COEM!$A$59:$AN$538</definedName>
    <definedName name="Z_FE2C839D_CFC1_49B1_AC2C_8A6402AB94F3_.wvu.FilterData" localSheetId="1" hidden="1">Merged_JOEM!$B$59:$AN$324</definedName>
    <definedName name="Z_FECB4C41_27E8_4A22_AFB3_4F54CDD4960E_.wvu.FilterData" localSheetId="0" hidden="1">Merged_COEM!$A$59:$AN$538</definedName>
    <definedName name="Z_FECB4C41_27E8_4A22_AFB3_4F54CDD4960E_.wvu.FilterData" localSheetId="1" hidden="1">Merged_JOEM!$B$59:$AN$324</definedName>
    <definedName name="Z_FF8C4B39_B2F5_497E_BC38_7C8656C296DA_.wvu.FilterData" localSheetId="0" hidden="1">Merged_COEM!$B$59:$AN$59</definedName>
  </definedNames>
  <calcPr calcId="162913" calcOnSave="0"/>
  <customWorkbookViews>
    <customWorkbookView name="NCH7HC - Personal View" guid="{FECB4C41-27E8-4A22-AFB3-4F54CDD4960E}" mergeInterval="0" personalView="1" maximized="1" xWindow="-8" yWindow="-8" windowWidth="1936" windowHeight="1176" activeSheetId="1"/>
    <customWorkbookView name="gup7hc - Personal View" guid="{3B3E6719-EACB-4D2C-89C1-05FFAB6020FD}" mergeInterval="0" personalView="1" xWindow="13" windowWidth="1887" windowHeight="1170" activeSheetId="1"/>
    <customWorkbookView name="EXTERNAL Nguyen Kim Thanh (Ban Vien, RBVH/EPS45) - Personal View" guid="{4E06BDBF-2CED-473B-850B-2A6C7311FF41}" mergeInterval="0" personalView="1" maximized="1" xWindow="-8" yWindow="-8" windowWidth="1936" windowHeight="1176" activeSheetId="1"/>
    <customWorkbookView name="HGY7HC - Personal View" guid="{99BC1C51-34DC-4BF2-906C-1E31B6171D71}" mergeInterval="0" personalView="1" maximized="1" xWindow="-8" yWindow="-8" windowWidth="1936" windowHeight="1176" tabRatio="612" activeSheetId="1"/>
    <customWorkbookView name="EXTERNAL Do Phu Loc (Ban Vien, RBVH/EPS45) - Personal View" guid="{C94451EF-7A3E-4D72-B5A4-3D1B193192CC}" mergeInterval="0" personalView="1" maximized="1" xWindow="-8" yWindow="-8" windowWidth="1936" windowHeight="1176" tabRatio="549" activeSheetId="1"/>
    <customWorkbookView name="EXTERNAL Nguyen Tai Hau (Ban Vien, RBVH/EPS45) - Personal View" guid="{7ECC2B8E-6A82-42F5-8AB0-4A51C54EA5EC}" mergeInterval="0" personalView="1" maximized="1" xWindow="-8" yWindow="-8" windowWidth="1936" windowHeight="1176" activeSheetId="2"/>
    <customWorkbookView name="EXTERNAL Nguyen Duy Bang (Ban Vien, RBVH/EPS45) - Personal View" guid="{A2C66332-A809-458E-971B-FDB6D62C74C3}" mergeInterval="0" personalView="1" maximized="1" xWindow="-8" yWindow="-8" windowWidth="1936" windowHeight="1176" activeSheetId="2"/>
    <customWorkbookView name="EXTERNAL Phan The Nam (Ban Vien Company, RBVH/EPS45) - Personal View" guid="{89C03E1E-B6A8-49A1-B29C-5DC4FAB2FBC6}"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612" activeSheetId="1"/>
    <customWorkbookView name="EXTERNAL Do Anh Huy (Ban Vien Company, RBVH/EPS45) - Personal View" guid="{D33AC7AF-C8AB-4CE9-94C7-9237011A5FC3}" mergeInterval="0" personalView="1" maximized="1" xWindow="-8" yWindow="-8" windowWidth="1936" windowHeight="1176" activeSheetId="2"/>
    <customWorkbookView name="EXTERNAL Luu Cong Dac (Ban Vien, RBVH/EPS45) - Personal View" guid="{336B6883-2145-4B58-921E-CEC7185A847E}" mergeInterval="0" personalView="1" xWindow="373" yWindow="118" windowWidth="1276" windowHeight="849" tabRatio="428" activeSheetId="2"/>
    <customWorkbookView name="EXTERNAL Nguyen Trung Hieu (Ban Vien, RBVH/EPS45) - Personal View" guid="{970EE037-F5E5-47AF-896A-0F6222879EBC}" mergeInterval="0" personalView="1" maximized="1" xWindow="-8" yWindow="-8" windowWidth="1936" windowHeight="1176" activeSheetId="6"/>
    <customWorkbookView name="EXTERNAL Le Hong Phuc (Ban Vien Company, RBVH/EPS45) - Personal View" guid="{F96FC7D9-4F89-4FE0-8D00-C0083DEB0472}" mergeInterval="0" personalView="1" maximized="1" xWindow="-8" yWindow="-8" windowWidth="1936" windowHeight="1176" activeSheetId="2"/>
    <customWorkbookView name="EXTERNAL Nguyen Tuan Duong (Ban Vien, RBVH/EPS45) - Personal View" guid="{7E0EA425-A420-4443-B9E0-CDF0AA9E5D09}" mergeInterval="0" personalView="1" maximized="1" xWindow="-8" yWindow="-8" windowWidth="1936" windowHeight="117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342" i="1" l="1"/>
  <c r="X530" i="1"/>
  <c r="X528" i="1"/>
  <c r="X464" i="1"/>
  <c r="X463" i="1"/>
  <c r="X438" i="1"/>
  <c r="X437" i="1"/>
  <c r="X436" i="1"/>
  <c r="X435" i="1"/>
  <c r="X434" i="1"/>
  <c r="X433" i="1"/>
  <c r="X432" i="1"/>
  <c r="X431" i="1"/>
  <c r="X430" i="1"/>
  <c r="X429" i="1"/>
  <c r="X428" i="1"/>
  <c r="X427" i="1"/>
  <c r="X426" i="1"/>
  <c r="X425" i="1"/>
  <c r="X401" i="1"/>
  <c r="X391" i="1"/>
  <c r="X390" i="1"/>
  <c r="X389" i="1"/>
  <c r="X388" i="1"/>
  <c r="X387" i="1"/>
  <c r="X386" i="1"/>
  <c r="X385" i="1"/>
  <c r="X384" i="1"/>
  <c r="X383" i="1"/>
  <c r="X382" i="1"/>
  <c r="X381" i="1"/>
  <c r="X380" i="1"/>
  <c r="X379" i="1"/>
  <c r="X378" i="1"/>
  <c r="X376" i="1"/>
  <c r="X353" i="1"/>
  <c r="X342" i="1"/>
  <c r="X278" i="1"/>
  <c r="X276" i="1"/>
  <c r="X272" i="1"/>
  <c r="X266" i="1"/>
  <c r="X264" i="1"/>
  <c r="X261" i="1"/>
  <c r="X241" i="1"/>
  <c r="X240" i="1"/>
  <c r="X167" i="1"/>
  <c r="X155" i="1"/>
  <c r="X85" i="1"/>
  <c r="D232" i="4" l="1"/>
  <c r="F232" i="4" s="1"/>
  <c r="D231" i="4"/>
  <c r="K230" i="4"/>
  <c r="J230" i="4"/>
  <c r="C227" i="4"/>
  <c r="C226" i="4"/>
  <c r="J232" i="4" l="1"/>
  <c r="G232" i="4"/>
  <c r="K231" i="4"/>
  <c r="H231" i="4"/>
  <c r="H232" i="4"/>
  <c r="E232" i="4"/>
  <c r="I232" i="4" s="1"/>
  <c r="K232" i="4"/>
  <c r="J231" i="4"/>
  <c r="W533" i="1"/>
  <c r="X533" i="1" s="1"/>
  <c r="F231" i="4" s="1"/>
  <c r="E231" i="4" l="1"/>
  <c r="I231" i="4" s="1"/>
  <c r="Y533" i="1"/>
  <c r="G231" i="4" s="1"/>
  <c r="C225" i="4" s="1"/>
  <c r="W137" i="1"/>
  <c r="C228" i="4" l="1"/>
  <c r="W298" i="2" l="1"/>
  <c r="X298" i="2" s="1"/>
  <c r="W297" i="2"/>
  <c r="X297" i="2" s="1"/>
  <c r="W296" i="2"/>
  <c r="X296" i="2" s="1"/>
  <c r="W295" i="2"/>
  <c r="X295" i="2" s="1"/>
  <c r="W294" i="2"/>
  <c r="X294" i="2" s="1"/>
  <c r="W293" i="2"/>
  <c r="X293" i="2" s="1"/>
  <c r="W292" i="2"/>
  <c r="X292" i="2" s="1"/>
  <c r="W291" i="2"/>
  <c r="W290" i="2"/>
  <c r="W289" i="2"/>
  <c r="W288" i="2"/>
  <c r="W287" i="2"/>
  <c r="W286" i="2"/>
  <c r="W285" i="2"/>
  <c r="W284" i="2"/>
  <c r="W283" i="2"/>
  <c r="X283" i="2" s="1"/>
  <c r="W282" i="2"/>
  <c r="X282" i="2" s="1"/>
  <c r="W281" i="2"/>
  <c r="X281" i="2" s="1"/>
  <c r="W280" i="2"/>
  <c r="X280" i="2" s="1"/>
  <c r="W279" i="2"/>
  <c r="X279" i="2" s="1"/>
  <c r="W278" i="2"/>
  <c r="X278" i="2" s="1"/>
  <c r="W277" i="2"/>
  <c r="X277" i="2" s="1"/>
  <c r="W276" i="2"/>
  <c r="X276" i="2" s="1"/>
  <c r="W275" i="2"/>
  <c r="X275" i="2" s="1"/>
  <c r="W274" i="2"/>
  <c r="X274" i="2" s="1"/>
  <c r="W273" i="2"/>
  <c r="X273" i="2" s="1"/>
  <c r="W272" i="2"/>
  <c r="X272" i="2" s="1"/>
  <c r="W271" i="2"/>
  <c r="X271" i="2" s="1"/>
  <c r="W270" i="2"/>
  <c r="X270" i="2" s="1"/>
  <c r="X526" i="1" l="1"/>
  <c r="W470" i="1" l="1"/>
  <c r="X470" i="1" s="1"/>
  <c r="W466" i="1"/>
  <c r="X466" i="1" s="1"/>
  <c r="W465" i="1"/>
  <c r="X465" i="1" s="1"/>
  <c r="D218" i="4"/>
  <c r="H218" i="4" s="1"/>
  <c r="D217" i="4"/>
  <c r="K216" i="4"/>
  <c r="J216" i="4"/>
  <c r="C213" i="4"/>
  <c r="C212" i="4"/>
  <c r="D205" i="4"/>
  <c r="D204" i="4"/>
  <c r="K203" i="4"/>
  <c r="K205" i="4" s="1"/>
  <c r="J203" i="4"/>
  <c r="J205" i="4" s="1"/>
  <c r="C200" i="4"/>
  <c r="C199" i="4"/>
  <c r="J217" i="4" l="1"/>
  <c r="E218" i="4"/>
  <c r="K218" i="4"/>
  <c r="F218" i="4"/>
  <c r="I218" i="4" s="1"/>
  <c r="J218" i="4"/>
  <c r="H205" i="4"/>
  <c r="K217" i="4"/>
  <c r="G218" i="4"/>
  <c r="K204" i="4"/>
  <c r="J204" i="4"/>
  <c r="W474" i="1"/>
  <c r="X474" i="1" s="1"/>
  <c r="W473" i="1"/>
  <c r="X473" i="1" s="1"/>
  <c r="W269" i="2"/>
  <c r="X269" i="2" s="1"/>
  <c r="W268" i="2"/>
  <c r="X268" i="2" s="1"/>
  <c r="W267" i="2"/>
  <c r="X267" i="2" s="1"/>
  <c r="W266" i="2"/>
  <c r="X266" i="2" s="1"/>
  <c r="W265" i="2"/>
  <c r="X265" i="2" s="1"/>
  <c r="W264" i="2"/>
  <c r="X264" i="2" s="1"/>
  <c r="W263" i="2"/>
  <c r="X263" i="2" s="1"/>
  <c r="W262" i="2"/>
  <c r="X262" i="2" s="1"/>
  <c r="W261" i="2"/>
  <c r="X261" i="2" s="1"/>
  <c r="W260" i="2"/>
  <c r="X260" i="2" s="1"/>
  <c r="W259" i="2"/>
  <c r="X259" i="2" s="1"/>
  <c r="W258" i="2"/>
  <c r="X258" i="2" s="1"/>
  <c r="W257" i="2"/>
  <c r="X257" i="2" s="1"/>
  <c r="W256" i="2"/>
  <c r="X256" i="2" s="1"/>
  <c r="W255" i="2"/>
  <c r="X255" i="2" s="1"/>
  <c r="W254" i="2"/>
  <c r="X254" i="2" s="1"/>
  <c r="W253" i="2"/>
  <c r="W252" i="2"/>
  <c r="W251" i="2"/>
  <c r="W250" i="2"/>
  <c r="W249" i="2"/>
  <c r="W248" i="2"/>
  <c r="W247" i="2"/>
  <c r="W246" i="2"/>
  <c r="W245" i="2"/>
  <c r="W244" i="2"/>
  <c r="W243" i="2"/>
  <c r="W242" i="2"/>
  <c r="W241" i="2"/>
  <c r="W240" i="2"/>
  <c r="W239" i="2"/>
  <c r="W238" i="2"/>
  <c r="W237" i="2"/>
  <c r="W236" i="2"/>
  <c r="X236" i="2" s="1"/>
  <c r="W235" i="2"/>
  <c r="X235" i="2" s="1"/>
  <c r="W234" i="2"/>
  <c r="X234" i="2" s="1"/>
  <c r="W233" i="2"/>
  <c r="X233" i="2" s="1"/>
  <c r="W232" i="2"/>
  <c r="X232" i="2" s="1"/>
  <c r="W231" i="2"/>
  <c r="X231" i="2" s="1"/>
  <c r="W230" i="2"/>
  <c r="X230" i="2" s="1"/>
  <c r="W229" i="2"/>
  <c r="X229" i="2" s="1"/>
  <c r="W228" i="2"/>
  <c r="X228" i="2" s="1"/>
  <c r="W227" i="2"/>
  <c r="X227" i="2" s="1"/>
  <c r="W226" i="2"/>
  <c r="X226" i="2" s="1"/>
  <c r="W225" i="2"/>
  <c r="X225" i="2" s="1"/>
  <c r="W224" i="2"/>
  <c r="X224" i="2" s="1"/>
  <c r="W223" i="2"/>
  <c r="X223" i="2" s="1"/>
  <c r="W222" i="2"/>
  <c r="X222" i="2" s="1"/>
  <c r="W221" i="2"/>
  <c r="X221" i="2" s="1"/>
  <c r="W220" i="2"/>
  <c r="X220" i="2" s="1"/>
  <c r="W219" i="2"/>
  <c r="X219" i="2" s="1"/>
  <c r="W218" i="2"/>
  <c r="X218" i="2" s="1"/>
  <c r="W217" i="2"/>
  <c r="X217" i="2" s="1"/>
  <c r="W216" i="2"/>
  <c r="X216" i="2" s="1"/>
  <c r="W215" i="2"/>
  <c r="X215" i="2" s="1"/>
  <c r="W214" i="2"/>
  <c r="X214" i="2" s="1"/>
  <c r="W213" i="2"/>
  <c r="X213" i="2" s="1"/>
  <c r="W212" i="2"/>
  <c r="X212" i="2" s="1"/>
  <c r="W211" i="2"/>
  <c r="X211" i="2" s="1"/>
  <c r="W210" i="2"/>
  <c r="X210" i="2" s="1"/>
  <c r="W209" i="2"/>
  <c r="X209" i="2" s="1"/>
  <c r="W208" i="2"/>
  <c r="X208" i="2" s="1"/>
  <c r="W207" i="2"/>
  <c r="X207" i="2" s="1"/>
  <c r="W206" i="2"/>
  <c r="X206" i="2" s="1"/>
  <c r="W205" i="2"/>
  <c r="X205" i="2" s="1"/>
  <c r="W204" i="2"/>
  <c r="X204" i="2" s="1"/>
  <c r="W203" i="2"/>
  <c r="X203" i="2" s="1"/>
  <c r="W202" i="2"/>
  <c r="X202" i="2" s="1"/>
  <c r="W201" i="2"/>
  <c r="X201" i="2" s="1"/>
  <c r="W200" i="2"/>
  <c r="X200" i="2" s="1"/>
  <c r="W199" i="2"/>
  <c r="X199" i="2" s="1"/>
  <c r="W198" i="2"/>
  <c r="X198" i="2" s="1"/>
  <c r="W197" i="2"/>
  <c r="X197" i="2" s="1"/>
  <c r="W196" i="2"/>
  <c r="X196" i="2" s="1"/>
  <c r="X455" i="1"/>
  <c r="X456" i="1"/>
  <c r="X454" i="1"/>
  <c r="Y470" i="1"/>
  <c r="W469" i="1"/>
  <c r="W468" i="1"/>
  <c r="X468" i="1" s="1"/>
  <c r="W467" i="1"/>
  <c r="X467" i="1" s="1"/>
  <c r="Y466" i="1"/>
  <c r="Y465" i="1"/>
  <c r="W462" i="1"/>
  <c r="W461" i="1"/>
  <c r="W460" i="1"/>
  <c r="W459" i="1"/>
  <c r="W458" i="1"/>
  <c r="W457" i="1"/>
  <c r="Y468" i="1"/>
  <c r="Y456" i="1"/>
  <c r="Y455" i="1"/>
  <c r="Y454" i="1"/>
  <c r="F37" i="2"/>
  <c r="F36" i="2"/>
  <c r="F35" i="2"/>
  <c r="F34" i="2"/>
  <c r="F33" i="2"/>
  <c r="F32" i="2"/>
  <c r="F31" i="2"/>
  <c r="F30" i="2"/>
  <c r="F29" i="2"/>
  <c r="F28" i="2"/>
  <c r="F27" i="2"/>
  <c r="F26" i="2"/>
  <c r="F25" i="2"/>
  <c r="F24" i="2"/>
  <c r="F23" i="2"/>
  <c r="F17" i="2"/>
  <c r="F16" i="2"/>
  <c r="F15" i="2"/>
  <c r="F14" i="2"/>
  <c r="F13" i="2"/>
  <c r="F12" i="2"/>
  <c r="F11" i="2"/>
  <c r="F10" i="2"/>
  <c r="F9" i="2"/>
  <c r="F8" i="2"/>
  <c r="F7" i="2"/>
  <c r="F6" i="2"/>
  <c r="F5" i="2"/>
  <c r="F36" i="1"/>
  <c r="F35" i="1"/>
  <c r="F34" i="1"/>
  <c r="F33" i="1"/>
  <c r="F32" i="1"/>
  <c r="F31" i="1"/>
  <c r="F30" i="1"/>
  <c r="F29" i="1"/>
  <c r="F27" i="1"/>
  <c r="F26" i="1"/>
  <c r="F25" i="1"/>
  <c r="F24" i="1"/>
  <c r="F23" i="1"/>
  <c r="F17" i="1"/>
  <c r="F16" i="1"/>
  <c r="F15" i="1"/>
  <c r="F14" i="1"/>
  <c r="F13" i="1"/>
  <c r="F12" i="1"/>
  <c r="F10" i="1"/>
  <c r="F7" i="1"/>
  <c r="F6" i="1"/>
  <c r="F5" i="1"/>
  <c r="F4" i="1"/>
  <c r="W477" i="1"/>
  <c r="Y477" i="1" s="1"/>
  <c r="W476" i="1"/>
  <c r="Y476" i="1" s="1"/>
  <c r="W475" i="1"/>
  <c r="Y475" i="1" s="1"/>
  <c r="W472" i="1"/>
  <c r="Y472" i="1" s="1"/>
  <c r="W471" i="1"/>
  <c r="Y471" i="1" s="1"/>
  <c r="X514" i="1"/>
  <c r="W532" i="1"/>
  <c r="Y532" i="1" s="1"/>
  <c r="Y530" i="1"/>
  <c r="Y529" i="1"/>
  <c r="Y528" i="1"/>
  <c r="W527" i="1"/>
  <c r="Y527" i="1" s="1"/>
  <c r="Y526" i="1"/>
  <c r="W525" i="1"/>
  <c r="X497" i="1"/>
  <c r="X496" i="1"/>
  <c r="X495" i="1"/>
  <c r="W422" i="1"/>
  <c r="X422" i="1" s="1"/>
  <c r="W420" i="1"/>
  <c r="X420" i="1" s="1"/>
  <c r="W421" i="1"/>
  <c r="X421" i="1" s="1"/>
  <c r="Y467" i="1" l="1"/>
  <c r="Y473" i="1"/>
  <c r="Y474" i="1"/>
  <c r="Y525" i="1"/>
  <c r="X525" i="1"/>
  <c r="Y469" i="1"/>
  <c r="X469" i="1"/>
  <c r="Y457" i="1"/>
  <c r="X457" i="1"/>
  <c r="Y458" i="1"/>
  <c r="X458" i="1"/>
  <c r="Y462" i="1"/>
  <c r="Z462" i="1" s="1"/>
  <c r="X462" i="1"/>
  <c r="Y463" i="1"/>
  <c r="Z463" i="1" s="1"/>
  <c r="Y531" i="1"/>
  <c r="X531" i="1"/>
  <c r="E217" i="4"/>
  <c r="Y460" i="1"/>
  <c r="Z460" i="1" s="1"/>
  <c r="X460" i="1"/>
  <c r="Y464" i="1"/>
  <c r="Y461" i="1"/>
  <c r="X461" i="1"/>
  <c r="Y459" i="1"/>
  <c r="X459" i="1"/>
  <c r="X529" i="1"/>
  <c r="X477" i="1"/>
  <c r="X527" i="1"/>
  <c r="X472" i="1"/>
  <c r="X532" i="1"/>
  <c r="X476" i="1"/>
  <c r="X475" i="1"/>
  <c r="X471" i="1"/>
  <c r="W524" i="1"/>
  <c r="W523" i="1"/>
  <c r="W522" i="1"/>
  <c r="W521" i="1"/>
  <c r="W520" i="1"/>
  <c r="W519" i="1"/>
  <c r="W518" i="1"/>
  <c r="W517" i="1"/>
  <c r="W516" i="1"/>
  <c r="W515" i="1"/>
  <c r="X515" i="1" s="1"/>
  <c r="Y519" i="1" l="1"/>
  <c r="X519" i="1"/>
  <c r="Y517" i="1"/>
  <c r="X517" i="1"/>
  <c r="H217" i="4"/>
  <c r="Y518" i="1"/>
  <c r="X518" i="1"/>
  <c r="Y516" i="1"/>
  <c r="X516" i="1"/>
  <c r="Y522" i="1"/>
  <c r="X522" i="1"/>
  <c r="Y523" i="1"/>
  <c r="X523" i="1"/>
  <c r="H204" i="4"/>
  <c r="Y524" i="1"/>
  <c r="X524" i="1"/>
  <c r="G217" i="4"/>
  <c r="C211" i="4" s="1"/>
  <c r="F217" i="4"/>
  <c r="E204" i="4"/>
  <c r="Y515" i="1"/>
  <c r="E205" i="4"/>
  <c r="Y521" i="1"/>
  <c r="X521" i="1"/>
  <c r="Y520" i="1"/>
  <c r="X520" i="1"/>
  <c r="W493" i="1"/>
  <c r="X493" i="1" s="1"/>
  <c r="W492" i="1"/>
  <c r="X492" i="1" s="1"/>
  <c r="W491" i="1"/>
  <c r="X491" i="1" s="1"/>
  <c r="F205" i="4" l="1"/>
  <c r="I205" i="4" s="1"/>
  <c r="G205" i="4"/>
  <c r="F204" i="4"/>
  <c r="I204" i="4" s="1"/>
  <c r="G204" i="4"/>
  <c r="C214" i="4"/>
  <c r="I217" i="4"/>
  <c r="W487" i="1"/>
  <c r="X487" i="1" s="1"/>
  <c r="M18" i="6"/>
  <c r="W507" i="1"/>
  <c r="X507" i="1" s="1"/>
  <c r="C198" i="4" l="1"/>
  <c r="C201" i="4"/>
  <c r="W489" i="1"/>
  <c r="W488" i="1"/>
  <c r="X488" i="1" s="1"/>
  <c r="W486" i="1"/>
  <c r="W485" i="1"/>
  <c r="W484" i="1"/>
  <c r="X484" i="1" s="1"/>
  <c r="W483" i="1"/>
  <c r="X483" i="1" s="1"/>
  <c r="W482" i="1"/>
  <c r="X482" i="1" s="1"/>
  <c r="W481" i="1"/>
  <c r="X481" i="1" s="1"/>
  <c r="W480" i="1"/>
  <c r="W479" i="1"/>
  <c r="X479" i="1" s="1"/>
  <c r="W478" i="1"/>
  <c r="X478" i="1" s="1"/>
  <c r="W453" i="1"/>
  <c r="W452" i="1"/>
  <c r="W451" i="1"/>
  <c r="W450" i="1"/>
  <c r="W449" i="1"/>
  <c r="X449" i="1" s="1"/>
  <c r="W448" i="1"/>
  <c r="X448" i="1" s="1"/>
  <c r="W447" i="1"/>
  <c r="W446" i="1"/>
  <c r="W445" i="1"/>
  <c r="X445" i="1" s="1"/>
  <c r="W444" i="1"/>
  <c r="W443" i="1"/>
  <c r="D192" i="4"/>
  <c r="D191" i="4"/>
  <c r="K190" i="4"/>
  <c r="J190" i="4"/>
  <c r="C187" i="4"/>
  <c r="C186" i="4"/>
  <c r="E179" i="4"/>
  <c r="D179" i="4"/>
  <c r="H179" i="4" s="1"/>
  <c r="D178" i="4"/>
  <c r="K177" i="4"/>
  <c r="J177" i="4"/>
  <c r="J179" i="4" s="1"/>
  <c r="C174" i="4"/>
  <c r="C173" i="4"/>
  <c r="D166" i="4"/>
  <c r="D165" i="4"/>
  <c r="K164" i="4"/>
  <c r="K166" i="4" s="1"/>
  <c r="J164" i="4"/>
  <c r="C161" i="4"/>
  <c r="C160" i="4"/>
  <c r="X405" i="1"/>
  <c r="X400" i="1"/>
  <c r="W371" i="1"/>
  <c r="X371" i="1" s="1"/>
  <c r="K179" i="4" l="1"/>
  <c r="F179" i="4"/>
  <c r="I179" i="4" s="1"/>
  <c r="J192" i="4"/>
  <c r="J166" i="4"/>
  <c r="G179" i="4"/>
  <c r="K192" i="4"/>
  <c r="E178" i="4"/>
  <c r="J178" i="4"/>
  <c r="H192" i="4"/>
  <c r="K178" i="4"/>
  <c r="J165" i="4"/>
  <c r="J191" i="4"/>
  <c r="H165" i="4"/>
  <c r="K165" i="4"/>
  <c r="K191" i="4"/>
  <c r="W372" i="1" l="1"/>
  <c r="X372" i="1" s="1"/>
  <c r="X296" i="1" l="1"/>
  <c r="Y514" i="1"/>
  <c r="W513" i="1"/>
  <c r="W512" i="1"/>
  <c r="W511" i="1"/>
  <c r="X511" i="1" s="1"/>
  <c r="W510" i="1"/>
  <c r="W509" i="1"/>
  <c r="W508" i="1"/>
  <c r="Y507" i="1"/>
  <c r="W506" i="1"/>
  <c r="W505" i="1"/>
  <c r="W504" i="1"/>
  <c r="W503" i="1"/>
  <c r="W502" i="1"/>
  <c r="W501" i="1"/>
  <c r="W500" i="1"/>
  <c r="W499" i="1"/>
  <c r="W498" i="1"/>
  <c r="Y497" i="1"/>
  <c r="Y496" i="1"/>
  <c r="Y495" i="1"/>
  <c r="Y493" i="1"/>
  <c r="Y492" i="1"/>
  <c r="Y491" i="1"/>
  <c r="Y489" i="1"/>
  <c r="Y487" i="1"/>
  <c r="Y486" i="1"/>
  <c r="Y483" i="1"/>
  <c r="Y481" i="1"/>
  <c r="Y479" i="1"/>
  <c r="Y478" i="1"/>
  <c r="X399" i="1"/>
  <c r="W490" i="1"/>
  <c r="X490" i="1" s="1"/>
  <c r="Y488" i="1"/>
  <c r="Y485" i="1"/>
  <c r="Y484" i="1"/>
  <c r="Y482" i="1"/>
  <c r="Y480" i="1"/>
  <c r="X444" i="1"/>
  <c r="X447" i="1"/>
  <c r="X446" i="1"/>
  <c r="X453" i="1"/>
  <c r="W442" i="1"/>
  <c r="W441" i="1"/>
  <c r="X398" i="1"/>
  <c r="Y505" i="1" l="1"/>
  <c r="X505" i="1"/>
  <c r="Y504" i="1"/>
  <c r="X504" i="1"/>
  <c r="Y503" i="1"/>
  <c r="H191" i="4" s="1"/>
  <c r="X503" i="1"/>
  <c r="Y508" i="1"/>
  <c r="X508" i="1"/>
  <c r="Y509" i="1"/>
  <c r="X509" i="1"/>
  <c r="Y513" i="1"/>
  <c r="X513" i="1"/>
  <c r="Y510" i="1"/>
  <c r="X510" i="1"/>
  <c r="Y512" i="1"/>
  <c r="X512" i="1"/>
  <c r="F192" i="4" s="1"/>
  <c r="Y494" i="1"/>
  <c r="X494" i="1"/>
  <c r="E191" i="4"/>
  <c r="Y490" i="1"/>
  <c r="Y500" i="1"/>
  <c r="X500" i="1"/>
  <c r="Y498" i="1"/>
  <c r="X498" i="1"/>
  <c r="Y502" i="1"/>
  <c r="X502" i="1"/>
  <c r="Y506" i="1"/>
  <c r="X506" i="1"/>
  <c r="Y501" i="1"/>
  <c r="X501" i="1"/>
  <c r="Y499" i="1"/>
  <c r="X499" i="1"/>
  <c r="Y511" i="1"/>
  <c r="E192" i="4"/>
  <c r="W163" i="2"/>
  <c r="X163" i="2" s="1"/>
  <c r="W164" i="2"/>
  <c r="X164" i="2" s="1"/>
  <c r="W165" i="2"/>
  <c r="X165" i="2" s="1"/>
  <c r="W166" i="2"/>
  <c r="X166" i="2" s="1"/>
  <c r="W167" i="2"/>
  <c r="X167" i="2" s="1"/>
  <c r="W168" i="2"/>
  <c r="X168" i="2" s="1"/>
  <c r="W169" i="2"/>
  <c r="X169" i="2" s="1"/>
  <c r="W170" i="2"/>
  <c r="X170" i="2" s="1"/>
  <c r="W171" i="2"/>
  <c r="X171" i="2" s="1"/>
  <c r="W172" i="2"/>
  <c r="X172" i="2" s="1"/>
  <c r="W173" i="2"/>
  <c r="X173" i="2" s="1"/>
  <c r="W174" i="2"/>
  <c r="X174" i="2" s="1"/>
  <c r="W175" i="2"/>
  <c r="X175" i="2" s="1"/>
  <c r="W176" i="2"/>
  <c r="X176" i="2" s="1"/>
  <c r="W177" i="2"/>
  <c r="X177" i="2" s="1"/>
  <c r="W178" i="2"/>
  <c r="X178" i="2" s="1"/>
  <c r="W179" i="2"/>
  <c r="X179" i="2" s="1"/>
  <c r="W180" i="2"/>
  <c r="X180" i="2" s="1"/>
  <c r="W181" i="2"/>
  <c r="X181" i="2" s="1"/>
  <c r="W182" i="2"/>
  <c r="X182" i="2" s="1"/>
  <c r="W183" i="2"/>
  <c r="X183" i="2" s="1"/>
  <c r="W184" i="2"/>
  <c r="X184" i="2" s="1"/>
  <c r="W185" i="2"/>
  <c r="X185" i="2" s="1"/>
  <c r="W186" i="2"/>
  <c r="X186" i="2" s="1"/>
  <c r="W187" i="2"/>
  <c r="W188" i="2"/>
  <c r="W189" i="2"/>
  <c r="W190" i="2"/>
  <c r="W191" i="2"/>
  <c r="W192" i="2"/>
  <c r="W193" i="2"/>
  <c r="W194" i="2"/>
  <c r="W195" i="2"/>
  <c r="W162" i="2"/>
  <c r="X162" i="2" s="1"/>
  <c r="W154" i="2"/>
  <c r="X154" i="2" s="1"/>
  <c r="W155" i="2"/>
  <c r="X155" i="2" s="1"/>
  <c r="W156" i="2"/>
  <c r="X156" i="2" s="1"/>
  <c r="W157" i="2"/>
  <c r="X157" i="2" s="1"/>
  <c r="W158" i="2"/>
  <c r="W159" i="2"/>
  <c r="X159" i="2" s="1"/>
  <c r="W160" i="2"/>
  <c r="X160" i="2" s="1"/>
  <c r="W161" i="2"/>
  <c r="X161" i="2" s="1"/>
  <c r="W153" i="2"/>
  <c r="X153" i="2" s="1"/>
  <c r="G192" i="4" l="1"/>
  <c r="G191" i="4"/>
  <c r="I192" i="4"/>
  <c r="F191" i="4"/>
  <c r="Y453" i="1"/>
  <c r="Y449" i="1"/>
  <c r="Y448" i="1"/>
  <c r="Y447" i="1"/>
  <c r="Y446" i="1"/>
  <c r="Y445" i="1"/>
  <c r="Y444" i="1"/>
  <c r="C185" i="4" l="1"/>
  <c r="I191" i="4"/>
  <c r="C188" i="4"/>
  <c r="Y452" i="1"/>
  <c r="X452" i="1"/>
  <c r="Y443" i="1"/>
  <c r="X443" i="1"/>
  <c r="Y450" i="1"/>
  <c r="X450" i="1"/>
  <c r="Y451" i="1"/>
  <c r="X451" i="1"/>
  <c r="X414" i="1"/>
  <c r="X412" i="1"/>
  <c r="F178" i="4" l="1"/>
  <c r="I178" i="4" s="1"/>
  <c r="H178" i="4"/>
  <c r="G178" i="4"/>
  <c r="C172" i="4" s="1"/>
  <c r="Y442" i="1"/>
  <c r="Y441" i="1"/>
  <c r="Y414" i="1"/>
  <c r="W416" i="1"/>
  <c r="W417" i="1"/>
  <c r="W418" i="1"/>
  <c r="W419" i="1"/>
  <c r="X419" i="1" s="1"/>
  <c r="Y420" i="1"/>
  <c r="Y421" i="1"/>
  <c r="Y422" i="1"/>
  <c r="W423" i="1"/>
  <c r="W424" i="1"/>
  <c r="W439" i="1"/>
  <c r="W440" i="1"/>
  <c r="Y412" i="1"/>
  <c r="Y425" i="1" l="1"/>
  <c r="Y424" i="1"/>
  <c r="X424" i="1"/>
  <c r="Y423" i="1"/>
  <c r="X423" i="1"/>
  <c r="C175" i="4"/>
  <c r="E166" i="4"/>
  <c r="Y439" i="1"/>
  <c r="X439" i="1"/>
  <c r="Y435" i="1"/>
  <c r="Y438" i="1"/>
  <c r="Y434" i="1"/>
  <c r="Y440" i="1"/>
  <c r="X440" i="1"/>
  <c r="Y436" i="1"/>
  <c r="Y437" i="1"/>
  <c r="Y419" i="1"/>
  <c r="E165" i="4"/>
  <c r="Y418" i="1"/>
  <c r="X418" i="1"/>
  <c r="Y413" i="1"/>
  <c r="X413" i="1"/>
  <c r="Y415" i="1"/>
  <c r="X415" i="1"/>
  <c r="Y417" i="1"/>
  <c r="X417" i="1"/>
  <c r="Z417" i="1" s="1"/>
  <c r="H166" i="4" s="1"/>
  <c r="Y426" i="1"/>
  <c r="Y433" i="1"/>
  <c r="Y429" i="1"/>
  <c r="Y430" i="1"/>
  <c r="Y432" i="1"/>
  <c r="Y428" i="1"/>
  <c r="Y416" i="1"/>
  <c r="X416" i="1"/>
  <c r="Y431" i="1"/>
  <c r="Y427" i="1"/>
  <c r="X396" i="1"/>
  <c r="G165" i="4" l="1"/>
  <c r="F165" i="4"/>
  <c r="I165" i="4" s="1"/>
  <c r="G166" i="4"/>
  <c r="F166" i="4"/>
  <c r="I166" i="4" s="1"/>
  <c r="D153" i="4"/>
  <c r="D152" i="4"/>
  <c r="K151" i="4"/>
  <c r="J151" i="4"/>
  <c r="J153" i="4" s="1"/>
  <c r="C148" i="4"/>
  <c r="C147" i="4"/>
  <c r="D140" i="4"/>
  <c r="H140" i="4" s="1"/>
  <c r="G139" i="4"/>
  <c r="E139" i="4"/>
  <c r="D139" i="4"/>
  <c r="H139" i="4" s="1"/>
  <c r="K138" i="4"/>
  <c r="K140" i="4" s="1"/>
  <c r="J138" i="4"/>
  <c r="J140" i="4" s="1"/>
  <c r="C135" i="4"/>
  <c r="C134" i="4"/>
  <c r="K153" i="4" l="1"/>
  <c r="F139" i="4"/>
  <c r="I139" i="4" s="1"/>
  <c r="C159" i="4"/>
  <c r="C162" i="4"/>
  <c r="K139" i="4"/>
  <c r="J152" i="4"/>
  <c r="K152" i="4"/>
  <c r="J139" i="4"/>
  <c r="W411" i="1"/>
  <c r="W410" i="1"/>
  <c r="W409" i="1"/>
  <c r="W408" i="1"/>
  <c r="W407" i="1"/>
  <c r="Y406" i="1"/>
  <c r="Y407" i="1" l="1"/>
  <c r="X407" i="1"/>
  <c r="Y410" i="1"/>
  <c r="X410" i="1"/>
  <c r="Y411" i="1"/>
  <c r="X411" i="1"/>
  <c r="Y409" i="1"/>
  <c r="X409" i="1"/>
  <c r="Y408" i="1"/>
  <c r="X408" i="1"/>
  <c r="W375" i="1"/>
  <c r="W377" i="1"/>
  <c r="W392" i="1"/>
  <c r="W393" i="1"/>
  <c r="W394" i="1"/>
  <c r="W395" i="1"/>
  <c r="Y396" i="1"/>
  <c r="W397" i="1"/>
  <c r="Y398" i="1"/>
  <c r="Y399" i="1"/>
  <c r="Y400" i="1"/>
  <c r="W402" i="1"/>
  <c r="W403" i="1"/>
  <c r="W404" i="1"/>
  <c r="Y405" i="1"/>
  <c r="W374" i="1"/>
  <c r="W373" i="1"/>
  <c r="Y374" i="1" l="1"/>
  <c r="X374" i="1"/>
  <c r="Y376" i="1"/>
  <c r="Y375" i="1"/>
  <c r="X375" i="1"/>
  <c r="Y377" i="1"/>
  <c r="X377" i="1"/>
  <c r="Y392" i="1"/>
  <c r="X392" i="1"/>
  <c r="Y388" i="1"/>
  <c r="Y391" i="1"/>
  <c r="Y390" i="1"/>
  <c r="Y389" i="1"/>
  <c r="Y404" i="1"/>
  <c r="X404" i="1"/>
  <c r="Y403" i="1"/>
  <c r="X403" i="1"/>
  <c r="Y397" i="1"/>
  <c r="X397" i="1"/>
  <c r="Y394" i="1"/>
  <c r="Z394" i="1" s="1"/>
  <c r="X394" i="1"/>
  <c r="Y395" i="1"/>
  <c r="X395" i="1"/>
  <c r="Y393" i="1"/>
  <c r="X393" i="1"/>
  <c r="Y402" i="1"/>
  <c r="H153" i="4" s="1"/>
  <c r="X402" i="1"/>
  <c r="Y373" i="1"/>
  <c r="X373" i="1"/>
  <c r="Y384" i="1"/>
  <c r="Y386" i="1"/>
  <c r="Y387" i="1"/>
  <c r="Y385" i="1"/>
  <c r="Y401" i="1"/>
  <c r="Y383" i="1"/>
  <c r="Y381" i="1"/>
  <c r="Y380" i="1"/>
  <c r="Y379" i="1"/>
  <c r="Y382" i="1"/>
  <c r="Y378" i="1"/>
  <c r="Y372" i="1"/>
  <c r="Y371" i="1"/>
  <c r="H152" i="4" l="1"/>
  <c r="W367" i="1"/>
  <c r="W368" i="1"/>
  <c r="W369" i="1"/>
  <c r="W370" i="1"/>
  <c r="X370" i="1" s="1"/>
  <c r="F153" i="4" s="1"/>
  <c r="W366" i="1"/>
  <c r="E152" i="4" l="1"/>
  <c r="Y370" i="1"/>
  <c r="G153" i="4" s="1"/>
  <c r="E153" i="4"/>
  <c r="I153" i="4" s="1"/>
  <c r="Y366" i="1"/>
  <c r="X366" i="1"/>
  <c r="Y369" i="1"/>
  <c r="X369" i="1"/>
  <c r="Y368" i="1"/>
  <c r="X368" i="1"/>
  <c r="Y367" i="1"/>
  <c r="X367" i="1"/>
  <c r="W365" i="1"/>
  <c r="W364" i="1"/>
  <c r="W363" i="1"/>
  <c r="D39" i="5"/>
  <c r="G39" i="5" s="1"/>
  <c r="D38" i="5"/>
  <c r="G38" i="5" s="1"/>
  <c r="K37" i="5"/>
  <c r="J37" i="5"/>
  <c r="C34" i="5"/>
  <c r="C33" i="5"/>
  <c r="J39" i="5" l="1"/>
  <c r="K39" i="5"/>
  <c r="Y365" i="1"/>
  <c r="X365" i="1"/>
  <c r="C32" i="5"/>
  <c r="F152" i="4"/>
  <c r="C149" i="4" s="1"/>
  <c r="E140" i="4"/>
  <c r="G152" i="4"/>
  <c r="C146" i="4" s="1"/>
  <c r="Y363" i="1"/>
  <c r="X363" i="1"/>
  <c r="Y364" i="1"/>
  <c r="X364" i="1"/>
  <c r="H38" i="5"/>
  <c r="H39" i="5"/>
  <c r="E39" i="5"/>
  <c r="J38" i="5"/>
  <c r="F39" i="5"/>
  <c r="K38" i="5"/>
  <c r="D127" i="4"/>
  <c r="D126" i="4"/>
  <c r="K125" i="4"/>
  <c r="J125" i="4"/>
  <c r="C122" i="4"/>
  <c r="C121" i="4"/>
  <c r="J127" i="4" l="1"/>
  <c r="K127" i="4"/>
  <c r="I152" i="4"/>
  <c r="G140" i="4"/>
  <c r="C133" i="4" s="1"/>
  <c r="F140" i="4"/>
  <c r="I39" i="5"/>
  <c r="K126" i="4"/>
  <c r="H127" i="4"/>
  <c r="J126" i="4"/>
  <c r="W362" i="1"/>
  <c r="W361" i="1"/>
  <c r="W360" i="1"/>
  <c r="W359" i="1"/>
  <c r="W358" i="1"/>
  <c r="W357" i="1"/>
  <c r="W356" i="1"/>
  <c r="W355" i="1"/>
  <c r="X355" i="1" s="1"/>
  <c r="W354" i="1"/>
  <c r="W352" i="1"/>
  <c r="W351" i="1"/>
  <c r="W350" i="1"/>
  <c r="W349" i="1"/>
  <c r="W348" i="1"/>
  <c r="W347" i="1"/>
  <c r="W346" i="1"/>
  <c r="W345" i="1"/>
  <c r="W344" i="1"/>
  <c r="W343" i="1"/>
  <c r="W341" i="1"/>
  <c r="W340" i="1"/>
  <c r="W339" i="1"/>
  <c r="W338" i="1"/>
  <c r="W337" i="1"/>
  <c r="W336" i="1"/>
  <c r="W335" i="1"/>
  <c r="W334" i="1"/>
  <c r="W333" i="1"/>
  <c r="W332" i="1"/>
  <c r="W331" i="1"/>
  <c r="Y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Y302" i="1"/>
  <c r="W301" i="1"/>
  <c r="W300" i="1"/>
  <c r="Z84" i="2"/>
  <c r="Z83" i="2"/>
  <c r="Z82" i="2"/>
  <c r="Z81" i="2"/>
  <c r="Z80" i="2"/>
  <c r="Z79" i="2"/>
  <c r="Z78" i="2"/>
  <c r="Z77" i="2"/>
  <c r="Z76" i="2"/>
  <c r="Z75" i="2"/>
  <c r="Z74" i="2"/>
  <c r="Y354" i="1" l="1"/>
  <c r="X354" i="1"/>
  <c r="Y306" i="1"/>
  <c r="X306" i="1"/>
  <c r="Y356" i="1"/>
  <c r="X356" i="1"/>
  <c r="Y357" i="1"/>
  <c r="X357" i="1"/>
  <c r="Y352" i="1"/>
  <c r="X352" i="1"/>
  <c r="Y353" i="1"/>
  <c r="Y304" i="1"/>
  <c r="X304" i="1"/>
  <c r="Y305" i="1"/>
  <c r="X305" i="1"/>
  <c r="Y322" i="1"/>
  <c r="X322" i="1"/>
  <c r="Y311" i="1"/>
  <c r="X311" i="1"/>
  <c r="Y355" i="1"/>
  <c r="Y342" i="1"/>
  <c r="Y339" i="1"/>
  <c r="X339" i="1"/>
  <c r="Y340" i="1"/>
  <c r="X340" i="1"/>
  <c r="Y341" i="1"/>
  <c r="X341" i="1"/>
  <c r="I140" i="4"/>
  <c r="C136" i="4"/>
  <c r="Y351" i="1"/>
  <c r="X351" i="1"/>
  <c r="Y348" i="1"/>
  <c r="X348" i="1"/>
  <c r="Y349" i="1"/>
  <c r="X349" i="1"/>
  <c r="Y350" i="1"/>
  <c r="X350" i="1"/>
  <c r="Y347" i="1"/>
  <c r="X347" i="1"/>
  <c r="Y300" i="1"/>
  <c r="X300" i="1"/>
  <c r="Y301" i="1"/>
  <c r="X301" i="1"/>
  <c r="Y346" i="1"/>
  <c r="X346" i="1"/>
  <c r="Y314" i="1"/>
  <c r="Z314" i="1" s="1"/>
  <c r="X314" i="1"/>
  <c r="Y331" i="1"/>
  <c r="X331" i="1"/>
  <c r="Y345" i="1"/>
  <c r="X345" i="1"/>
  <c r="Y313" i="1"/>
  <c r="X313" i="1"/>
  <c r="Y332" i="1"/>
  <c r="X332" i="1"/>
  <c r="Y343" i="1"/>
  <c r="X343" i="1"/>
  <c r="Y344" i="1"/>
  <c r="X344" i="1"/>
  <c r="Y338" i="1"/>
  <c r="X338" i="1"/>
  <c r="Y312" i="1"/>
  <c r="X312" i="1"/>
  <c r="Y337" i="1"/>
  <c r="X337" i="1"/>
  <c r="Y362" i="1"/>
  <c r="X362" i="1"/>
  <c r="Y315" i="1"/>
  <c r="X315" i="1"/>
  <c r="Y316" i="1"/>
  <c r="X316" i="1"/>
  <c r="Y324" i="1"/>
  <c r="X324" i="1"/>
  <c r="Y328" i="1"/>
  <c r="X328" i="1"/>
  <c r="Y336" i="1"/>
  <c r="X336" i="1"/>
  <c r="Y360" i="1"/>
  <c r="X360" i="1"/>
  <c r="Y325" i="1"/>
  <c r="X325" i="1"/>
  <c r="Y329" i="1"/>
  <c r="X329" i="1"/>
  <c r="Y333" i="1"/>
  <c r="X333" i="1"/>
  <c r="Y310" i="1"/>
  <c r="X310" i="1"/>
  <c r="Y326" i="1"/>
  <c r="X326" i="1"/>
  <c r="Y334" i="1"/>
  <c r="X334" i="1"/>
  <c r="Y361" i="1"/>
  <c r="X361" i="1"/>
  <c r="Y323" i="1"/>
  <c r="X323" i="1"/>
  <c r="Y327" i="1"/>
  <c r="X327" i="1"/>
  <c r="Y335" i="1"/>
  <c r="X335" i="1"/>
  <c r="Y359" i="1"/>
  <c r="X359" i="1"/>
  <c r="Y309" i="1"/>
  <c r="X309" i="1"/>
  <c r="Y317" i="1"/>
  <c r="X317" i="1"/>
  <c r="Y358" i="1"/>
  <c r="X358" i="1"/>
  <c r="Y319" i="1"/>
  <c r="X319" i="1"/>
  <c r="Y321" i="1"/>
  <c r="X321" i="1"/>
  <c r="Y320" i="1"/>
  <c r="X320" i="1"/>
  <c r="Y308" i="1"/>
  <c r="X308" i="1"/>
  <c r="E127" i="4"/>
  <c r="Y303" i="1"/>
  <c r="X303" i="1"/>
  <c r="Y307" i="1"/>
  <c r="X307" i="1"/>
  <c r="E126" i="4"/>
  <c r="Y318" i="1"/>
  <c r="X318" i="1"/>
  <c r="D114" i="4"/>
  <c r="D113" i="4"/>
  <c r="K112" i="4"/>
  <c r="J112" i="4"/>
  <c r="C109" i="4"/>
  <c r="C108" i="4"/>
  <c r="J114" i="4" l="1"/>
  <c r="K114" i="4"/>
  <c r="G127" i="4"/>
  <c r="F127" i="4"/>
  <c r="I127" i="4" s="1"/>
  <c r="H126" i="4"/>
  <c r="G126" i="4"/>
  <c r="F126" i="4"/>
  <c r="I126" i="4" s="1"/>
  <c r="H113" i="4"/>
  <c r="F113" i="4"/>
  <c r="J113" i="4"/>
  <c r="K113" i="4"/>
  <c r="Z73" i="2"/>
  <c r="Z72" i="2"/>
  <c r="Z71" i="2"/>
  <c r="Z70" i="2"/>
  <c r="Z69" i="2"/>
  <c r="W297" i="1"/>
  <c r="W298" i="1"/>
  <c r="W299" i="1"/>
  <c r="Y296" i="1"/>
  <c r="G113" i="4" s="1"/>
  <c r="W152" i="2"/>
  <c r="X152" i="2" s="1"/>
  <c r="W151" i="2"/>
  <c r="X151" i="2" s="1"/>
  <c r="W150" i="2"/>
  <c r="X150" i="2" s="1"/>
  <c r="W149" i="2"/>
  <c r="X149" i="2" s="1"/>
  <c r="W148" i="2"/>
  <c r="X148" i="2" s="1"/>
  <c r="W147" i="2"/>
  <c r="X147" i="2" s="1"/>
  <c r="W146" i="2"/>
  <c r="X146" i="2" s="1"/>
  <c r="W145" i="2"/>
  <c r="X145" i="2" s="1"/>
  <c r="W144" i="2"/>
  <c r="X144" i="2" s="1"/>
  <c r="W143" i="2"/>
  <c r="X143" i="2" s="1"/>
  <c r="W142" i="2"/>
  <c r="X142" i="2" s="1"/>
  <c r="W141" i="2"/>
  <c r="X141" i="2" s="1"/>
  <c r="W140" i="2"/>
  <c r="X140" i="2" s="1"/>
  <c r="W139" i="2"/>
  <c r="X139" i="2" s="1"/>
  <c r="W138" i="2"/>
  <c r="X138" i="2" s="1"/>
  <c r="W137" i="2"/>
  <c r="X137" i="2" s="1"/>
  <c r="W136" i="2"/>
  <c r="X136" i="2" s="1"/>
  <c r="W135" i="2"/>
  <c r="X135" i="2" s="1"/>
  <c r="W134" i="2"/>
  <c r="X134" i="2" s="1"/>
  <c r="W133" i="2"/>
  <c r="X133" i="2" s="1"/>
  <c r="W132" i="2"/>
  <c r="X132" i="2" s="1"/>
  <c r="W131" i="2"/>
  <c r="X131" i="2" s="1"/>
  <c r="W130" i="2"/>
  <c r="X130" i="2" s="1"/>
  <c r="W129" i="2"/>
  <c r="X129" i="2" s="1"/>
  <c r="W128" i="2"/>
  <c r="X128" i="2" s="1"/>
  <c r="W127" i="2"/>
  <c r="X127" i="2" s="1"/>
  <c r="W126" i="2"/>
  <c r="X126" i="2" s="1"/>
  <c r="W125" i="2"/>
  <c r="X125" i="2" s="1"/>
  <c r="W124" i="2"/>
  <c r="X124" i="2" s="1"/>
  <c r="W123" i="2"/>
  <c r="X123" i="2" s="1"/>
  <c r="W122" i="2"/>
  <c r="X122" i="2" s="1"/>
  <c r="W121" i="2"/>
  <c r="X121" i="2" s="1"/>
  <c r="W120" i="2"/>
  <c r="X120" i="2" s="1"/>
  <c r="W119" i="2"/>
  <c r="X119" i="2" s="1"/>
  <c r="W118" i="2"/>
  <c r="X118" i="2" s="1"/>
  <c r="W117" i="2"/>
  <c r="X117" i="2" s="1"/>
  <c r="W116" i="2"/>
  <c r="X116" i="2" s="1"/>
  <c r="W115" i="2"/>
  <c r="X115" i="2" s="1"/>
  <c r="F18" i="2" l="1"/>
  <c r="F4" i="2"/>
  <c r="Y299" i="1"/>
  <c r="X299" i="1"/>
  <c r="C120" i="4"/>
  <c r="F38" i="5"/>
  <c r="E38" i="5"/>
  <c r="C123" i="4"/>
  <c r="Y298" i="1"/>
  <c r="X298" i="1"/>
  <c r="Y297" i="1"/>
  <c r="X297" i="1"/>
  <c r="E114" i="4"/>
  <c r="E113" i="4"/>
  <c r="W295" i="1"/>
  <c r="X295" i="1" s="1"/>
  <c r="W294" i="1"/>
  <c r="Y294" i="1" s="1"/>
  <c r="H114" i="4" l="1"/>
  <c r="F37" i="1"/>
  <c r="F28" i="1"/>
  <c r="I38" i="5"/>
  <c r="C35" i="5"/>
  <c r="F114" i="4"/>
  <c r="I114" i="4" s="1"/>
  <c r="G114" i="4"/>
  <c r="C107" i="4" s="1"/>
  <c r="I113" i="4"/>
  <c r="Y295" i="1"/>
  <c r="X294" i="1"/>
  <c r="C110" i="4" l="1"/>
  <c r="X237" i="1"/>
  <c r="D101" i="4" l="1"/>
  <c r="D100" i="4"/>
  <c r="K99" i="4"/>
  <c r="K101" i="4" s="1"/>
  <c r="J99" i="4"/>
  <c r="J101" i="4" s="1"/>
  <c r="C96" i="4"/>
  <c r="C95" i="4"/>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98" i="2"/>
  <c r="W99" i="2"/>
  <c r="W100" i="2"/>
  <c r="W101" i="2"/>
  <c r="W102" i="2"/>
  <c r="W103" i="2"/>
  <c r="W104" i="2"/>
  <c r="W105" i="2"/>
  <c r="W106" i="2"/>
  <c r="W107" i="2"/>
  <c r="W108" i="2"/>
  <c r="W109" i="2"/>
  <c r="W110" i="2"/>
  <c r="W111" i="2"/>
  <c r="W112" i="2"/>
  <c r="W113" i="2"/>
  <c r="W114" i="2"/>
  <c r="W85" i="2"/>
  <c r="W86" i="2"/>
  <c r="W87" i="2"/>
  <c r="W88" i="2"/>
  <c r="W89" i="2"/>
  <c r="W90" i="2"/>
  <c r="W91" i="2"/>
  <c r="W92" i="2"/>
  <c r="W93" i="2"/>
  <c r="W94" i="2"/>
  <c r="W95" i="2"/>
  <c r="W96" i="2"/>
  <c r="W97" i="2"/>
  <c r="W68" i="2"/>
  <c r="X68" i="2" s="1"/>
  <c r="W67" i="2"/>
  <c r="X67" i="2" s="1"/>
  <c r="W66" i="2"/>
  <c r="X66" i="2" s="1"/>
  <c r="W65" i="2"/>
  <c r="X65" i="2" s="1"/>
  <c r="W64" i="2"/>
  <c r="X64" i="2" s="1"/>
  <c r="W63" i="2"/>
  <c r="X63" i="2" s="1"/>
  <c r="W62" i="2"/>
  <c r="X62" i="2" s="1"/>
  <c r="W61" i="2"/>
  <c r="X61" i="2" s="1"/>
  <c r="B61" i="2"/>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K100" i="4" l="1"/>
  <c r="H100" i="4"/>
  <c r="H101" i="4"/>
  <c r="J100" i="4"/>
  <c r="J55" i="2"/>
  <c r="P72" i="6" s="1"/>
  <c r="I55" i="2"/>
  <c r="O72" i="6" s="1"/>
  <c r="J54" i="2"/>
  <c r="P71" i="6" s="1"/>
  <c r="I54" i="2"/>
  <c r="O71" i="6" s="1"/>
  <c r="J53" i="2"/>
  <c r="P70" i="6" s="1"/>
  <c r="I53" i="2"/>
  <c r="O70" i="6" s="1"/>
  <c r="J52" i="2"/>
  <c r="P69" i="6" s="1"/>
  <c r="I52" i="2"/>
  <c r="O69" i="6" s="1"/>
  <c r="J51" i="2"/>
  <c r="P68" i="6" s="1"/>
  <c r="I51" i="2"/>
  <c r="O68" i="6" s="1"/>
  <c r="E36" i="2"/>
  <c r="P48" i="6" s="1"/>
  <c r="D36" i="2"/>
  <c r="E35" i="2"/>
  <c r="P47" i="6" s="1"/>
  <c r="D35" i="2"/>
  <c r="E34" i="2"/>
  <c r="P46" i="6" s="1"/>
  <c r="D34" i="2"/>
  <c r="E33" i="2"/>
  <c r="D33" i="2"/>
  <c r="E32" i="2"/>
  <c r="P44" i="6" s="1"/>
  <c r="D32" i="2"/>
  <c r="E17" i="2"/>
  <c r="D17" i="2"/>
  <c r="E16" i="2"/>
  <c r="D16" i="2"/>
  <c r="E15" i="2"/>
  <c r="D15" i="2"/>
  <c r="E14" i="2"/>
  <c r="D14" i="2"/>
  <c r="E13" i="2"/>
  <c r="D13" i="2"/>
  <c r="J55" i="1"/>
  <c r="F72" i="6" s="1"/>
  <c r="I55" i="1"/>
  <c r="E72" i="6" s="1"/>
  <c r="J54" i="1"/>
  <c r="F71" i="6" s="1"/>
  <c r="I54" i="1"/>
  <c r="E71" i="6" s="1"/>
  <c r="J53" i="1"/>
  <c r="I53" i="1"/>
  <c r="J52" i="1"/>
  <c r="I52" i="1"/>
  <c r="J51" i="1"/>
  <c r="I51" i="1"/>
  <c r="E36" i="1"/>
  <c r="F48" i="6" s="1"/>
  <c r="D36" i="1"/>
  <c r="E35" i="1"/>
  <c r="F47" i="6" s="1"/>
  <c r="D35" i="1"/>
  <c r="E34" i="1"/>
  <c r="F46" i="6" s="1"/>
  <c r="D34" i="1"/>
  <c r="E33" i="1"/>
  <c r="F45" i="6" s="1"/>
  <c r="D33" i="1"/>
  <c r="E32" i="1"/>
  <c r="D32" i="1"/>
  <c r="E16" i="1"/>
  <c r="E47" i="6" s="1"/>
  <c r="D16" i="1"/>
  <c r="E15" i="1"/>
  <c r="E46" i="6" s="1"/>
  <c r="D15" i="1"/>
  <c r="E14" i="1"/>
  <c r="E45" i="6" s="1"/>
  <c r="D14" i="1"/>
  <c r="F44" i="6" l="1"/>
  <c r="H44" i="6" s="1"/>
  <c r="I14" i="6"/>
  <c r="E69" i="6"/>
  <c r="O45" i="6"/>
  <c r="Q45" i="6" s="1"/>
  <c r="J14" i="6"/>
  <c r="F69" i="6"/>
  <c r="O44" i="6"/>
  <c r="Q44" i="6" s="1"/>
  <c r="O48" i="6"/>
  <c r="Q48" i="6" s="1"/>
  <c r="I13" i="6"/>
  <c r="E68" i="6"/>
  <c r="I15" i="6"/>
  <c r="E70" i="6"/>
  <c r="O47" i="6"/>
  <c r="Q47" i="6" s="1"/>
  <c r="J13" i="6"/>
  <c r="F68" i="6"/>
  <c r="J15" i="6"/>
  <c r="F70" i="6"/>
  <c r="O46" i="6"/>
  <c r="Q46" i="6" s="1"/>
  <c r="P45" i="6"/>
  <c r="R45" i="6" s="1"/>
  <c r="G34" i="2"/>
  <c r="D53" i="1"/>
  <c r="E51" i="2"/>
  <c r="D54" i="2"/>
  <c r="E55" i="2"/>
  <c r="D53" i="2"/>
  <c r="E54" i="2"/>
  <c r="R47" i="6"/>
  <c r="D52" i="2"/>
  <c r="R44" i="6"/>
  <c r="R46" i="6"/>
  <c r="R48" i="6"/>
  <c r="H46" i="6"/>
  <c r="H47" i="6"/>
  <c r="G45" i="6"/>
  <c r="H45" i="6"/>
  <c r="H48" i="6"/>
  <c r="G46" i="6"/>
  <c r="J17" i="6"/>
  <c r="J16" i="6"/>
  <c r="I16" i="6"/>
  <c r="I17" i="6"/>
  <c r="D54" i="1"/>
  <c r="D51" i="2"/>
  <c r="E52" i="2"/>
  <c r="D55" i="2"/>
  <c r="E53" i="2"/>
  <c r="H35" i="2"/>
  <c r="H15" i="2"/>
  <c r="H33" i="2"/>
  <c r="H36" i="2"/>
  <c r="H32" i="2"/>
  <c r="G35" i="2"/>
  <c r="H34" i="2"/>
  <c r="G32" i="2"/>
  <c r="G36" i="2"/>
  <c r="G33" i="2"/>
  <c r="H16" i="2"/>
  <c r="G14" i="2"/>
  <c r="H17" i="2"/>
  <c r="E54" i="1"/>
  <c r="D52" i="1"/>
  <c r="E53" i="1"/>
  <c r="E15" i="6" s="1"/>
  <c r="E52" i="1"/>
  <c r="G15" i="2"/>
  <c r="H13" i="2"/>
  <c r="H14" i="2"/>
  <c r="G16" i="2"/>
  <c r="G13" i="2"/>
  <c r="G17" i="2"/>
  <c r="G35" i="1"/>
  <c r="H15" i="1"/>
  <c r="H33" i="1"/>
  <c r="G34" i="1"/>
  <c r="H32" i="1"/>
  <c r="H34" i="1"/>
  <c r="H35" i="1"/>
  <c r="H36" i="1"/>
  <c r="G36" i="1"/>
  <c r="G32" i="1"/>
  <c r="G33" i="1"/>
  <c r="H16" i="1"/>
  <c r="H14" i="1"/>
  <c r="G14" i="1"/>
  <c r="G15" i="1"/>
  <c r="G16" i="1"/>
  <c r="D15" i="6" l="1"/>
  <c r="H15" i="6" s="1"/>
  <c r="H53" i="1"/>
  <c r="E14" i="6"/>
  <c r="H53" i="2"/>
  <c r="D14" i="6"/>
  <c r="H55" i="2"/>
  <c r="H52" i="2"/>
  <c r="H51" i="2"/>
  <c r="H54" i="2"/>
  <c r="D16" i="6"/>
  <c r="E16" i="6"/>
  <c r="H52" i="1"/>
  <c r="H54" i="1"/>
  <c r="H14" i="6" l="1"/>
  <c r="H16" i="6"/>
  <c r="D24" i="5"/>
  <c r="E24" i="5" s="1"/>
  <c r="D23" i="5"/>
  <c r="E23" i="5" s="1"/>
  <c r="K22" i="5"/>
  <c r="J22" i="5"/>
  <c r="C19" i="5"/>
  <c r="C18" i="5"/>
  <c r="J24" i="5" l="1"/>
  <c r="K24" i="5"/>
  <c r="G23" i="5"/>
  <c r="F24" i="5"/>
  <c r="I24" i="5" s="1"/>
  <c r="J23" i="5"/>
  <c r="G24" i="5"/>
  <c r="K23" i="5"/>
  <c r="H23" i="5"/>
  <c r="H24" i="5"/>
  <c r="C17" i="5" l="1"/>
  <c r="X247" i="1"/>
  <c r="X246" i="1"/>
  <c r="X245" i="1" l="1"/>
  <c r="E30" i="2" l="1"/>
  <c r="D30" i="2"/>
  <c r="E29" i="2"/>
  <c r="D29" i="2"/>
  <c r="E28" i="2"/>
  <c r="D28" i="2"/>
  <c r="E27" i="2"/>
  <c r="D27" i="2"/>
  <c r="E26" i="2"/>
  <c r="D26" i="2"/>
  <c r="E25" i="2"/>
  <c r="D25" i="2"/>
  <c r="E24" i="2"/>
  <c r="D24" i="2"/>
  <c r="E23" i="2"/>
  <c r="P35" i="6" s="1"/>
  <c r="D23" i="2"/>
  <c r="D4" i="2"/>
  <c r="E5" i="2"/>
  <c r="E6" i="2"/>
  <c r="E8" i="2"/>
  <c r="E9" i="2"/>
  <c r="E10" i="2"/>
  <c r="E11" i="2"/>
  <c r="E4" i="2"/>
  <c r="O35" i="6" s="1"/>
  <c r="E18" i="2"/>
  <c r="D18" i="2"/>
  <c r="D12" i="2"/>
  <c r="D11" i="2"/>
  <c r="D10" i="2"/>
  <c r="D9" i="2"/>
  <c r="D8" i="2"/>
  <c r="D7" i="2"/>
  <c r="D6" i="2"/>
  <c r="D5" i="2"/>
  <c r="X244" i="1"/>
  <c r="W293" i="1"/>
  <c r="X293" i="1" s="1"/>
  <c r="F100" i="4" s="1"/>
  <c r="W292" i="1"/>
  <c r="W291" i="1"/>
  <c r="X291" i="1" s="1"/>
  <c r="O39" i="6" l="1"/>
  <c r="Q39" i="6" s="1"/>
  <c r="P38" i="6"/>
  <c r="R38" i="6" s="1"/>
  <c r="P42" i="6"/>
  <c r="R42" i="6" s="1"/>
  <c r="O42" i="6"/>
  <c r="Q42" i="6" s="1"/>
  <c r="P37" i="6"/>
  <c r="R37" i="6" s="1"/>
  <c r="P41" i="6"/>
  <c r="R41" i="6" s="1"/>
  <c r="O37" i="6"/>
  <c r="Q37" i="6" s="1"/>
  <c r="O41" i="6"/>
  <c r="Q41" i="6" s="1"/>
  <c r="O36" i="6"/>
  <c r="Q36" i="6" s="1"/>
  <c r="P36" i="6"/>
  <c r="R36" i="6" s="1"/>
  <c r="P40" i="6"/>
  <c r="R40" i="6" s="1"/>
  <c r="O40" i="6"/>
  <c r="Q40" i="6" s="1"/>
  <c r="P39" i="6"/>
  <c r="R39" i="6" s="1"/>
  <c r="Y293" i="1"/>
  <c r="G100" i="4" s="1"/>
  <c r="E100" i="4"/>
  <c r="I100" i="4" s="1"/>
  <c r="Y291" i="1"/>
  <c r="E101" i="4"/>
  <c r="F23" i="5"/>
  <c r="Y292" i="1"/>
  <c r="X292" i="1"/>
  <c r="F101" i="4" s="1"/>
  <c r="E12" i="2"/>
  <c r="E7" i="2"/>
  <c r="D88" i="4"/>
  <c r="D87" i="4"/>
  <c r="K86" i="4"/>
  <c r="J86" i="4"/>
  <c r="C83" i="4"/>
  <c r="C82" i="4"/>
  <c r="O43" i="6" l="1"/>
  <c r="Q43" i="6" s="1"/>
  <c r="O38" i="6"/>
  <c r="Q38" i="6" s="1"/>
  <c r="I23" i="5"/>
  <c r="C20" i="5"/>
  <c r="G101" i="4"/>
  <c r="C94" i="4" s="1"/>
  <c r="I101" i="4"/>
  <c r="J88" i="4"/>
  <c r="K88" i="4"/>
  <c r="K87" i="4"/>
  <c r="H88" i="4"/>
  <c r="J87" i="4"/>
  <c r="C97" i="4" l="1"/>
  <c r="W210" i="1"/>
  <c r="X210" i="1" s="1"/>
  <c r="W134" i="1" l="1"/>
  <c r="X134" i="1" s="1"/>
  <c r="W242" i="1"/>
  <c r="Y242" i="1" l="1"/>
  <c r="Y134" i="1"/>
  <c r="X242" i="1"/>
  <c r="W290" i="1"/>
  <c r="W289" i="1"/>
  <c r="W288" i="1"/>
  <c r="W287" i="1"/>
  <c r="W286" i="1"/>
  <c r="W285" i="1"/>
  <c r="W284" i="1"/>
  <c r="W283" i="1"/>
  <c r="W282" i="1"/>
  <c r="W281" i="1"/>
  <c r="W280" i="1"/>
  <c r="X280" i="1" s="1"/>
  <c r="W279" i="1"/>
  <c r="X279" i="1" s="1"/>
  <c r="W277" i="1"/>
  <c r="W275" i="1"/>
  <c r="X275" i="1" s="1"/>
  <c r="W274" i="1"/>
  <c r="W273" i="1"/>
  <c r="W271" i="1"/>
  <c r="W270" i="1"/>
  <c r="W269" i="1"/>
  <c r="W268" i="1"/>
  <c r="W267" i="1"/>
  <c r="W265" i="1"/>
  <c r="W263" i="1"/>
  <c r="W262" i="1"/>
  <c r="W260" i="1"/>
  <c r="W259" i="1"/>
  <c r="W258" i="1"/>
  <c r="W257" i="1"/>
  <c r="W256" i="1"/>
  <c r="X217" i="1"/>
  <c r="Y271" i="1" l="1"/>
  <c r="X271" i="1"/>
  <c r="Y274" i="1"/>
  <c r="X274" i="1"/>
  <c r="Y270" i="1"/>
  <c r="X270" i="1"/>
  <c r="Y269" i="1"/>
  <c r="X269" i="1"/>
  <c r="Y273" i="1"/>
  <c r="X273" i="1"/>
  <c r="Y277" i="1"/>
  <c r="X277" i="1"/>
  <c r="Y281" i="1"/>
  <c r="X281" i="1"/>
  <c r="Y282" i="1"/>
  <c r="X282" i="1"/>
  <c r="Y280" i="1"/>
  <c r="Y285" i="1"/>
  <c r="X285" i="1"/>
  <c r="Y286" i="1"/>
  <c r="X286" i="1"/>
  <c r="Y284" i="1"/>
  <c r="X284" i="1"/>
  <c r="Y288" i="1"/>
  <c r="X288" i="1"/>
  <c r="Y289" i="1"/>
  <c r="X289" i="1"/>
  <c r="Y290" i="1"/>
  <c r="X290" i="1"/>
  <c r="Y283" i="1"/>
  <c r="X283" i="1"/>
  <c r="Y287" i="1"/>
  <c r="X287" i="1"/>
  <c r="Y279" i="1"/>
  <c r="Y268" i="1"/>
  <c r="X268" i="1"/>
  <c r="Y276" i="1"/>
  <c r="Y278" i="1"/>
  <c r="Y267" i="1"/>
  <c r="X267" i="1"/>
  <c r="Y275" i="1"/>
  <c r="Y272" i="1"/>
  <c r="Y256" i="1"/>
  <c r="X256" i="1"/>
  <c r="Y261" i="1"/>
  <c r="Y265" i="1"/>
  <c r="X265" i="1"/>
  <c r="Y258" i="1"/>
  <c r="X258" i="1"/>
  <c r="Y262" i="1"/>
  <c r="X262" i="1"/>
  <c r="Y266" i="1"/>
  <c r="Y259" i="1"/>
  <c r="X259" i="1"/>
  <c r="Y263" i="1"/>
  <c r="X263" i="1"/>
  <c r="Y260" i="1"/>
  <c r="X260" i="1"/>
  <c r="Y264" i="1"/>
  <c r="Y257" i="1"/>
  <c r="X257" i="1"/>
  <c r="W255" i="1"/>
  <c r="E88" i="4" s="1"/>
  <c r="W254" i="1"/>
  <c r="W253" i="1"/>
  <c r="W252" i="1"/>
  <c r="W251" i="1"/>
  <c r="W250" i="1"/>
  <c r="W249" i="1"/>
  <c r="W248" i="1"/>
  <c r="Y247" i="1"/>
  <c r="Y246" i="1"/>
  <c r="Y245" i="1"/>
  <c r="Y244" i="1"/>
  <c r="W243" i="1"/>
  <c r="W146" i="1"/>
  <c r="X146" i="1" s="1"/>
  <c r="Y241" i="1"/>
  <c r="E87" i="4" l="1"/>
  <c r="X252" i="1"/>
  <c r="Y252" i="1"/>
  <c r="Y251" i="1"/>
  <c r="X251" i="1"/>
  <c r="Y255" i="1"/>
  <c r="G88" i="4" s="1"/>
  <c r="X255" i="1"/>
  <c r="F88" i="4" s="1"/>
  <c r="I88" i="4" s="1"/>
  <c r="Y254" i="1"/>
  <c r="X254" i="1"/>
  <c r="Y253" i="1"/>
  <c r="X253" i="1"/>
  <c r="Y248" i="1"/>
  <c r="X248" i="1"/>
  <c r="Y249" i="1"/>
  <c r="X249" i="1"/>
  <c r="Y250" i="1"/>
  <c r="X250" i="1"/>
  <c r="X243" i="1"/>
  <c r="Y243" i="1"/>
  <c r="C70" i="4"/>
  <c r="D75" i="4"/>
  <c r="G75" i="4" s="1"/>
  <c r="D74" i="4"/>
  <c r="K73" i="4"/>
  <c r="J73" i="4"/>
  <c r="C69" i="4"/>
  <c r="W239" i="1"/>
  <c r="W238" i="1"/>
  <c r="Y237" i="1"/>
  <c r="W236" i="1"/>
  <c r="W235" i="1"/>
  <c r="X235" i="1" s="1"/>
  <c r="W234" i="1"/>
  <c r="X234" i="1" s="1"/>
  <c r="W233" i="1"/>
  <c r="W232" i="1"/>
  <c r="W231" i="1"/>
  <c r="W230" i="1"/>
  <c r="X230" i="1" s="1"/>
  <c r="W229" i="1"/>
  <c r="X229" i="1" s="1"/>
  <c r="W228" i="1"/>
  <c r="W227" i="1"/>
  <c r="X227" i="1" s="1"/>
  <c r="W226" i="1"/>
  <c r="W225" i="1"/>
  <c r="W224" i="1"/>
  <c r="W223" i="1"/>
  <c r="W222" i="1"/>
  <c r="W221" i="1"/>
  <c r="W220" i="1"/>
  <c r="W219" i="1"/>
  <c r="W218" i="1"/>
  <c r="W216" i="1"/>
  <c r="X216" i="1" s="1"/>
  <c r="W215" i="1"/>
  <c r="X215" i="1" s="1"/>
  <c r="W214" i="1"/>
  <c r="W213" i="1"/>
  <c r="W212" i="1"/>
  <c r="W211" i="1"/>
  <c r="Y210" i="1"/>
  <c r="W209" i="1"/>
  <c r="W208" i="1"/>
  <c r="W207" i="1"/>
  <c r="W206" i="1"/>
  <c r="W205" i="1"/>
  <c r="W204" i="1"/>
  <c r="W203" i="1"/>
  <c r="X203" i="1" s="1"/>
  <c r="X202" i="1"/>
  <c r="W201" i="1"/>
  <c r="X201" i="1" s="1"/>
  <c r="W200" i="1"/>
  <c r="W199" i="1"/>
  <c r="W198" i="1"/>
  <c r="W197" i="1"/>
  <c r="W196" i="1"/>
  <c r="W195" i="1"/>
  <c r="W194" i="1"/>
  <c r="X194" i="1" s="1"/>
  <c r="W193" i="1"/>
  <c r="W192" i="1"/>
  <c r="W191" i="1"/>
  <c r="W190" i="1"/>
  <c r="W189" i="1"/>
  <c r="W188" i="1"/>
  <c r="W187" i="1"/>
  <c r="W186" i="1"/>
  <c r="W185" i="1"/>
  <c r="W184" i="1"/>
  <c r="W183" i="1"/>
  <c r="X116" i="1"/>
  <c r="K75" i="4" l="1"/>
  <c r="Y221" i="1"/>
  <c r="X221" i="1"/>
  <c r="Y222" i="1"/>
  <c r="X222" i="1"/>
  <c r="Y228" i="1"/>
  <c r="X228" i="1"/>
  <c r="Y220" i="1"/>
  <c r="X220" i="1"/>
  <c r="Y214" i="1"/>
  <c r="X214" i="1"/>
  <c r="Y205" i="1"/>
  <c r="X205" i="1"/>
  <c r="Y204" i="1"/>
  <c r="X204" i="1"/>
  <c r="Y232" i="1"/>
  <c r="X232" i="1"/>
  <c r="Y231" i="1"/>
  <c r="X231" i="1"/>
  <c r="Y224" i="1"/>
  <c r="X224" i="1"/>
  <c r="Y223" i="1"/>
  <c r="X223" i="1"/>
  <c r="Y200" i="1"/>
  <c r="X200" i="1"/>
  <c r="Y187" i="1"/>
  <c r="X187" i="1"/>
  <c r="Y190" i="1"/>
  <c r="X190" i="1"/>
  <c r="Y188" i="1"/>
  <c r="X188" i="1"/>
  <c r="Y189" i="1"/>
  <c r="X189" i="1"/>
  <c r="Y238" i="1"/>
  <c r="X238" i="1"/>
  <c r="Y236" i="1"/>
  <c r="X236" i="1"/>
  <c r="Y233" i="1"/>
  <c r="X233" i="1"/>
  <c r="Y199" i="1"/>
  <c r="X199" i="1"/>
  <c r="Y198" i="1"/>
  <c r="X198" i="1"/>
  <c r="Y197" i="1"/>
  <c r="X197" i="1"/>
  <c r="Y196" i="1"/>
  <c r="Z196" i="1" s="1"/>
  <c r="X196" i="1"/>
  <c r="J75" i="4"/>
  <c r="H87" i="4"/>
  <c r="F87" i="4"/>
  <c r="G87" i="4"/>
  <c r="C81" i="4" s="1"/>
  <c r="Y219" i="1"/>
  <c r="X219" i="1"/>
  <c r="Y209" i="1"/>
  <c r="X209" i="1"/>
  <c r="Y213" i="1"/>
  <c r="X213" i="1"/>
  <c r="Y212" i="1"/>
  <c r="X212" i="1"/>
  <c r="Y208" i="1"/>
  <c r="X208" i="1"/>
  <c r="Y207" i="1"/>
  <c r="X207" i="1"/>
  <c r="Y186" i="1"/>
  <c r="X186" i="1"/>
  <c r="Y185" i="1"/>
  <c r="X185" i="1"/>
  <c r="Y184" i="1"/>
  <c r="X184" i="1"/>
  <c r="Y183" i="1"/>
  <c r="X183" i="1"/>
  <c r="Y195" i="1"/>
  <c r="X195" i="1"/>
  <c r="Y211" i="1"/>
  <c r="X211" i="1"/>
  <c r="Y240" i="1"/>
  <c r="Y206" i="1"/>
  <c r="X206" i="1"/>
  <c r="Y239" i="1"/>
  <c r="X239" i="1"/>
  <c r="Y226" i="1"/>
  <c r="X226" i="1"/>
  <c r="Y225" i="1"/>
  <c r="X225" i="1"/>
  <c r="Y218" i="1"/>
  <c r="X218" i="1"/>
  <c r="Y203" i="1"/>
  <c r="Y215" i="1"/>
  <c r="Y227" i="1"/>
  <c r="Y235" i="1"/>
  <c r="Y191" i="1"/>
  <c r="X191" i="1"/>
  <c r="Y192" i="1"/>
  <c r="X192" i="1"/>
  <c r="Y216" i="1"/>
  <c r="Y193" i="1"/>
  <c r="X193" i="1"/>
  <c r="Y201" i="1"/>
  <c r="Y217" i="1"/>
  <c r="Y229" i="1"/>
  <c r="Y194" i="1"/>
  <c r="Y202" i="1"/>
  <c r="Y230" i="1"/>
  <c r="Y234" i="1"/>
  <c r="E74" i="4"/>
  <c r="E75" i="4"/>
  <c r="J74" i="4"/>
  <c r="F75" i="4"/>
  <c r="H75" i="4"/>
  <c r="K74" i="4"/>
  <c r="X120" i="1"/>
  <c r="K19" i="2"/>
  <c r="K17" i="2"/>
  <c r="K19" i="1"/>
  <c r="K17" i="1"/>
  <c r="I87" i="4" l="1"/>
  <c r="C84" i="4"/>
  <c r="G74" i="4"/>
  <c r="C68" i="4" s="1"/>
  <c r="H74" i="4"/>
  <c r="F74" i="4"/>
  <c r="I75" i="4"/>
  <c r="W179" i="1"/>
  <c r="F11" i="1" l="1"/>
  <c r="I74" i="4"/>
  <c r="C71" i="4"/>
  <c r="Y179" i="1"/>
  <c r="X179" i="1"/>
  <c r="W177" i="1"/>
  <c r="W178" i="1"/>
  <c r="W180" i="1"/>
  <c r="W181" i="1"/>
  <c r="W182" i="1"/>
  <c r="W175" i="1"/>
  <c r="W176" i="1"/>
  <c r="Y86" i="1"/>
  <c r="Y181" i="1" l="1"/>
  <c r="X181" i="1"/>
  <c r="Y180" i="1"/>
  <c r="X180" i="1"/>
  <c r="Y178" i="1"/>
  <c r="X178" i="1"/>
  <c r="Y175" i="1"/>
  <c r="X175" i="1"/>
  <c r="Y182" i="1"/>
  <c r="X182" i="1"/>
  <c r="Y177" i="1"/>
  <c r="X177" i="1"/>
  <c r="Y176" i="1"/>
  <c r="X176" i="1"/>
  <c r="E7" i="1"/>
  <c r="E12" i="1"/>
  <c r="E43" i="6" l="1"/>
  <c r="G43" i="6" s="1"/>
  <c r="E38" i="6"/>
  <c r="G38" i="6" s="1"/>
  <c r="B61" i="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D62" i="4" l="1"/>
  <c r="D61" i="4"/>
  <c r="K60" i="4"/>
  <c r="J60" i="4"/>
  <c r="C57" i="4"/>
  <c r="C56" i="4"/>
  <c r="D49" i="4"/>
  <c r="E49" i="4" s="1"/>
  <c r="D48" i="4"/>
  <c r="K47" i="4"/>
  <c r="J47" i="4"/>
  <c r="C44" i="4"/>
  <c r="C43" i="4"/>
  <c r="W136" i="1"/>
  <c r="Y136" i="1" s="1"/>
  <c r="W174" i="1"/>
  <c r="W173" i="1"/>
  <c r="W172" i="1"/>
  <c r="W171" i="1"/>
  <c r="W170" i="1"/>
  <c r="W169" i="1"/>
  <c r="W168" i="1"/>
  <c r="W166" i="1"/>
  <c r="W165" i="1"/>
  <c r="W164" i="1"/>
  <c r="W163" i="1"/>
  <c r="W162" i="1"/>
  <c r="W161" i="1"/>
  <c r="W160" i="1"/>
  <c r="W159" i="1"/>
  <c r="W158" i="1"/>
  <c r="W157" i="1"/>
  <c r="J62" i="4" l="1"/>
  <c r="Y173" i="1"/>
  <c r="X173" i="1"/>
  <c r="Y159" i="1"/>
  <c r="X159" i="1"/>
  <c r="Y160" i="1"/>
  <c r="X160" i="1"/>
  <c r="Y158" i="1"/>
  <c r="X158" i="1"/>
  <c r="Y157" i="1"/>
  <c r="X157" i="1"/>
  <c r="Y166" i="1"/>
  <c r="X166" i="1"/>
  <c r="Y163" i="1"/>
  <c r="X163" i="1"/>
  <c r="Y172" i="1"/>
  <c r="X172" i="1"/>
  <c r="Y174" i="1"/>
  <c r="X174" i="1"/>
  <c r="Y164" i="1"/>
  <c r="X164" i="1"/>
  <c r="Y165" i="1"/>
  <c r="X165" i="1"/>
  <c r="Y170" i="1"/>
  <c r="X170" i="1"/>
  <c r="Y171" i="1"/>
  <c r="X171" i="1"/>
  <c r="Y167" i="1"/>
  <c r="Y162" i="1"/>
  <c r="X162" i="1"/>
  <c r="Y168" i="1"/>
  <c r="X168" i="1"/>
  <c r="Y161" i="1"/>
  <c r="G62" i="4" s="1"/>
  <c r="X161" i="1"/>
  <c r="F62" i="4" s="1"/>
  <c r="Y169" i="1"/>
  <c r="X169" i="1"/>
  <c r="J49" i="4"/>
  <c r="F49" i="4"/>
  <c r="I49" i="4" s="1"/>
  <c r="K48" i="4"/>
  <c r="G49" i="4"/>
  <c r="K61" i="4"/>
  <c r="E62" i="4"/>
  <c r="E61" i="4"/>
  <c r="J61" i="4"/>
  <c r="K62" i="4"/>
  <c r="H61" i="4"/>
  <c r="H62" i="4"/>
  <c r="J48" i="4"/>
  <c r="K49" i="4"/>
  <c r="H48" i="4"/>
  <c r="H49" i="4"/>
  <c r="X136" i="1"/>
  <c r="G61" i="4" l="1"/>
  <c r="C55" i="4" s="1"/>
  <c r="F61" i="4"/>
  <c r="I62" i="4"/>
  <c r="K8" i="5"/>
  <c r="J8" i="5"/>
  <c r="I61" i="4" l="1"/>
  <c r="C58" i="4"/>
  <c r="X119" i="1"/>
  <c r="W124" i="1" l="1"/>
  <c r="Y124" i="1" s="1"/>
  <c r="X124" i="1" l="1"/>
  <c r="X149" i="1"/>
  <c r="E4" i="1" s="1"/>
  <c r="E35" i="6" s="1"/>
  <c r="Y137" i="1" l="1"/>
  <c r="X84" i="1"/>
  <c r="W156" i="1"/>
  <c r="W154" i="1"/>
  <c r="W153" i="1"/>
  <c r="Q10" i="4"/>
  <c r="R10" i="4" s="1"/>
  <c r="Q9" i="4"/>
  <c r="X8" i="4"/>
  <c r="W8" i="4"/>
  <c r="D36" i="4"/>
  <c r="F36" i="4" s="1"/>
  <c r="D35" i="4"/>
  <c r="K34" i="4"/>
  <c r="J34" i="4"/>
  <c r="D23" i="4"/>
  <c r="H23" i="4" s="1"/>
  <c r="D22" i="4"/>
  <c r="K21" i="4"/>
  <c r="J21" i="4"/>
  <c r="D10" i="4"/>
  <c r="H10" i="4" s="1"/>
  <c r="D9" i="4"/>
  <c r="K8" i="4"/>
  <c r="J8" i="4"/>
  <c r="D10" i="5"/>
  <c r="D9" i="5"/>
  <c r="W90" i="1"/>
  <c r="X90" i="1" s="1"/>
  <c r="W89" i="1"/>
  <c r="X89" i="1" s="1"/>
  <c r="W88" i="1"/>
  <c r="X88" i="1" s="1"/>
  <c r="W87" i="1"/>
  <c r="X87" i="1" s="1"/>
  <c r="G10" i="5" l="1"/>
  <c r="H10" i="5"/>
  <c r="J10" i="5"/>
  <c r="K10" i="5"/>
  <c r="J23" i="4"/>
  <c r="J36" i="4"/>
  <c r="E36" i="4"/>
  <c r="I36" i="4" s="1"/>
  <c r="S10" i="4"/>
  <c r="V10" i="4" s="1"/>
  <c r="E9" i="5"/>
  <c r="G9" i="5"/>
  <c r="F9" i="5"/>
  <c r="H9" i="5"/>
  <c r="J9" i="5"/>
  <c r="K9" i="5"/>
  <c r="X10" i="4"/>
  <c r="G10" i="4"/>
  <c r="J10" i="4"/>
  <c r="E10" i="4"/>
  <c r="K23" i="4"/>
  <c r="K36" i="4"/>
  <c r="G36" i="4"/>
  <c r="U10" i="4"/>
  <c r="K10" i="4"/>
  <c r="F10" i="4"/>
  <c r="W10" i="4"/>
  <c r="W9" i="4"/>
  <c r="X9" i="4"/>
  <c r="E48" i="4"/>
  <c r="Y155" i="1"/>
  <c r="Y156" i="1"/>
  <c r="X156" i="1"/>
  <c r="Y153" i="1"/>
  <c r="X153" i="1"/>
  <c r="Y154" i="1"/>
  <c r="X154" i="1"/>
  <c r="X137" i="1"/>
  <c r="K9" i="4"/>
  <c r="K35" i="4"/>
  <c r="J22" i="4"/>
  <c r="H36" i="4"/>
  <c r="T10" i="4"/>
  <c r="K22" i="4"/>
  <c r="J9" i="4"/>
  <c r="J35" i="4"/>
  <c r="I10" i="4" l="1"/>
  <c r="F48" i="4"/>
  <c r="G48" i="4"/>
  <c r="X86" i="1"/>
  <c r="I48" i="4" l="1"/>
  <c r="C45" i="4"/>
  <c r="C42" i="4"/>
  <c r="W151" i="1"/>
  <c r="W150" i="1"/>
  <c r="C31" i="4"/>
  <c r="C30" i="4"/>
  <c r="Y150" i="1" l="1"/>
  <c r="X150" i="1"/>
  <c r="Y151" i="1"/>
  <c r="X151" i="1"/>
  <c r="Y152" i="1"/>
  <c r="X152" i="1"/>
  <c r="Y149" i="1"/>
  <c r="W148" i="1"/>
  <c r="W147" i="1"/>
  <c r="W144" i="1"/>
  <c r="W143" i="1"/>
  <c r="W142" i="1"/>
  <c r="W141" i="1"/>
  <c r="X83" i="1"/>
  <c r="W63" i="1"/>
  <c r="Y63" i="1" s="1"/>
  <c r="W65" i="1"/>
  <c r="X65" i="1" s="1"/>
  <c r="Y148" i="1" l="1"/>
  <c r="X148" i="1"/>
  <c r="Y147" i="1"/>
  <c r="X147" i="1"/>
  <c r="Y142" i="1"/>
  <c r="X142" i="1"/>
  <c r="Y141" i="1"/>
  <c r="X141" i="1"/>
  <c r="Y143" i="1"/>
  <c r="X143" i="1"/>
  <c r="Y144" i="1"/>
  <c r="X144" i="1"/>
  <c r="X63" i="1"/>
  <c r="Y65" i="1"/>
  <c r="W67" i="1"/>
  <c r="X67" i="1" s="1"/>
  <c r="Y146" i="1"/>
  <c r="W145" i="1"/>
  <c r="W140" i="1"/>
  <c r="W139" i="1"/>
  <c r="W138" i="1"/>
  <c r="W135" i="1"/>
  <c r="W133" i="1"/>
  <c r="W132" i="1"/>
  <c r="W131" i="1"/>
  <c r="W130" i="1"/>
  <c r="W129" i="1"/>
  <c r="Y129" i="1" s="1"/>
  <c r="W128" i="1"/>
  <c r="W127" i="1"/>
  <c r="Y145" i="1" l="1"/>
  <c r="X145" i="1"/>
  <c r="Y131" i="1"/>
  <c r="X131" i="1"/>
  <c r="Y128" i="1"/>
  <c r="X128" i="1"/>
  <c r="Y135" i="1"/>
  <c r="X135" i="1"/>
  <c r="E5" i="1"/>
  <c r="E35" i="4"/>
  <c r="Y133" i="1"/>
  <c r="X133" i="1"/>
  <c r="Y140" i="1"/>
  <c r="X140" i="1"/>
  <c r="Y130" i="1"/>
  <c r="X130" i="1"/>
  <c r="Y127" i="1"/>
  <c r="Y138" i="1"/>
  <c r="X138" i="1"/>
  <c r="Y139" i="1"/>
  <c r="X139" i="1"/>
  <c r="Y132" i="1"/>
  <c r="X132" i="1"/>
  <c r="Y67" i="1"/>
  <c r="C17" i="4"/>
  <c r="E36" i="6" l="1"/>
  <c r="G36" i="6" s="1"/>
  <c r="H35" i="4"/>
  <c r="G35" i="4"/>
  <c r="F35" i="4"/>
  <c r="C18" i="4"/>
  <c r="W126" i="1"/>
  <c r="W125" i="1"/>
  <c r="W123" i="1"/>
  <c r="X123" i="1" s="1"/>
  <c r="W122" i="1"/>
  <c r="W121" i="1"/>
  <c r="Y120" i="1"/>
  <c r="Y119" i="1"/>
  <c r="W118" i="1"/>
  <c r="W117" i="1"/>
  <c r="Y116" i="1"/>
  <c r="W115" i="1"/>
  <c r="W114" i="1"/>
  <c r="W113" i="1"/>
  <c r="W112" i="1"/>
  <c r="W111" i="1"/>
  <c r="W110" i="1"/>
  <c r="W109" i="1"/>
  <c r="W108" i="1"/>
  <c r="W107" i="1"/>
  <c r="W106" i="1"/>
  <c r="W105" i="1"/>
  <c r="W104" i="1"/>
  <c r="W103" i="1"/>
  <c r="W102" i="1"/>
  <c r="I35" i="4" l="1"/>
  <c r="C32" i="4"/>
  <c r="Y106" i="1"/>
  <c r="X106" i="1"/>
  <c r="E22" i="4"/>
  <c r="R9" i="4"/>
  <c r="E23" i="4"/>
  <c r="Y123" i="1"/>
  <c r="C29" i="4"/>
  <c r="Y125" i="1"/>
  <c r="X125" i="1"/>
  <c r="Y114" i="1"/>
  <c r="X114" i="1"/>
  <c r="Y121" i="1"/>
  <c r="X121" i="1"/>
  <c r="Y126" i="1"/>
  <c r="X126" i="1"/>
  <c r="Y115" i="1"/>
  <c r="X115" i="1"/>
  <c r="Y118" i="1"/>
  <c r="X118" i="1"/>
  <c r="Y122" i="1"/>
  <c r="X122" i="1"/>
  <c r="Y117" i="1"/>
  <c r="X117" i="1"/>
  <c r="Y108" i="1"/>
  <c r="X108" i="1"/>
  <c r="Y112" i="1"/>
  <c r="X112" i="1"/>
  <c r="Y109" i="1"/>
  <c r="X109" i="1"/>
  <c r="Y113" i="1"/>
  <c r="X113" i="1"/>
  <c r="Y104" i="1"/>
  <c r="X104" i="1"/>
  <c r="Y110" i="1"/>
  <c r="X110" i="1"/>
  <c r="Y107" i="1"/>
  <c r="X107" i="1"/>
  <c r="Y111" i="1"/>
  <c r="X111" i="1"/>
  <c r="Y103" i="1"/>
  <c r="X103" i="1"/>
  <c r="Y105" i="1"/>
  <c r="X105" i="1"/>
  <c r="Y102" i="1"/>
  <c r="X102" i="1"/>
  <c r="W60" i="2"/>
  <c r="E10" i="5" s="1"/>
  <c r="C5" i="4"/>
  <c r="C4" i="4"/>
  <c r="D31" i="2" l="1"/>
  <c r="X60" i="2"/>
  <c r="E37" i="2"/>
  <c r="D37" i="2"/>
  <c r="F22" i="4"/>
  <c r="G23" i="4"/>
  <c r="F23" i="4"/>
  <c r="I23" i="4" s="1"/>
  <c r="G22" i="4"/>
  <c r="S9" i="4"/>
  <c r="V9" i="4" s="1"/>
  <c r="Z114" i="1"/>
  <c r="T9" i="4"/>
  <c r="W101" i="1"/>
  <c r="W100" i="1"/>
  <c r="W99" i="1"/>
  <c r="W98" i="1"/>
  <c r="W97" i="1"/>
  <c r="D13" i="1" s="1"/>
  <c r="D51" i="1" s="1"/>
  <c r="D13" i="6" s="1"/>
  <c r="U9" i="4" l="1"/>
  <c r="F9" i="1"/>
  <c r="I22" i="4"/>
  <c r="E31" i="2"/>
  <c r="F10" i="5"/>
  <c r="C6" i="5" s="1"/>
  <c r="H22" i="4"/>
  <c r="C19" i="4" s="1"/>
  <c r="C16" i="4"/>
  <c r="Y101" i="1"/>
  <c r="X101" i="1"/>
  <c r="Y100" i="1"/>
  <c r="X100" i="1"/>
  <c r="Y98" i="1"/>
  <c r="X98" i="1"/>
  <c r="Y99" i="1"/>
  <c r="X99" i="1"/>
  <c r="Y97" i="1"/>
  <c r="X97" i="1"/>
  <c r="W60" i="1"/>
  <c r="W61" i="1"/>
  <c r="W62" i="1"/>
  <c r="W64" i="1"/>
  <c r="W66" i="1"/>
  <c r="W68" i="1"/>
  <c r="W69" i="1"/>
  <c r="W70" i="1"/>
  <c r="W71" i="1"/>
  <c r="W72" i="1"/>
  <c r="W73" i="1"/>
  <c r="W74" i="1"/>
  <c r="W75" i="1"/>
  <c r="W76" i="1"/>
  <c r="W77" i="1"/>
  <c r="W78" i="1"/>
  <c r="W79" i="1"/>
  <c r="W80" i="1"/>
  <c r="W81" i="1"/>
  <c r="W82" i="1"/>
  <c r="Y83" i="1"/>
  <c r="Y84" i="1"/>
  <c r="Y85" i="1"/>
  <c r="Y87" i="1"/>
  <c r="Y88" i="1"/>
  <c r="Y89" i="1"/>
  <c r="Y90" i="1"/>
  <c r="W91" i="1"/>
  <c r="W92" i="1"/>
  <c r="W93" i="1"/>
  <c r="W94" i="1"/>
  <c r="W95" i="1"/>
  <c r="W96" i="1"/>
  <c r="P43" i="6" l="1"/>
  <c r="R43" i="6" s="1"/>
  <c r="E17" i="1"/>
  <c r="E13" i="1"/>
  <c r="E44" i="6" s="1"/>
  <c r="E6" i="1"/>
  <c r="E9" i="4"/>
  <c r="Y91" i="1"/>
  <c r="X91" i="1"/>
  <c r="Y61" i="1"/>
  <c r="X61" i="1"/>
  <c r="Y60" i="1"/>
  <c r="X60" i="1"/>
  <c r="Y70" i="1"/>
  <c r="X70" i="1"/>
  <c r="Y79" i="1"/>
  <c r="X79" i="1"/>
  <c r="Y71" i="1"/>
  <c r="X71" i="1"/>
  <c r="Y76" i="1"/>
  <c r="X76" i="1"/>
  <c r="Y78" i="1"/>
  <c r="X78" i="1"/>
  <c r="Y80" i="1"/>
  <c r="X80" i="1"/>
  <c r="Y82" i="1"/>
  <c r="X82" i="1"/>
  <c r="Y64" i="1"/>
  <c r="X64" i="1"/>
  <c r="Y94" i="1"/>
  <c r="X94" i="1"/>
  <c r="Y92" i="1"/>
  <c r="X92" i="1"/>
  <c r="Y93" i="1"/>
  <c r="X93" i="1"/>
  <c r="Y96" i="1"/>
  <c r="X96" i="1"/>
  <c r="Y95" i="1"/>
  <c r="X95" i="1"/>
  <c r="Y77" i="1"/>
  <c r="X77" i="1"/>
  <c r="Y74" i="1"/>
  <c r="X74" i="1"/>
  <c r="Y68" i="1"/>
  <c r="X68" i="1"/>
  <c r="Y69" i="1"/>
  <c r="X69" i="1"/>
  <c r="Y75" i="1"/>
  <c r="X75" i="1"/>
  <c r="Y66" i="1"/>
  <c r="X66" i="1"/>
  <c r="Y62" i="1"/>
  <c r="X62" i="1"/>
  <c r="Y81" i="1"/>
  <c r="X81" i="1"/>
  <c r="Y73" i="1"/>
  <c r="X73" i="1"/>
  <c r="Y72" i="1"/>
  <c r="X72" i="1"/>
  <c r="F8" i="1" l="1"/>
  <c r="F18" i="1"/>
  <c r="E48" i="6"/>
  <c r="G48" i="6" s="1"/>
  <c r="E37" i="6"/>
  <c r="G37" i="6" s="1"/>
  <c r="E51" i="1"/>
  <c r="E13" i="6" s="1"/>
  <c r="G44" i="6"/>
  <c r="E55" i="1"/>
  <c r="E17" i="6" s="1"/>
  <c r="G47" i="6"/>
  <c r="H13" i="1"/>
  <c r="G13" i="1"/>
  <c r="E8" i="1"/>
  <c r="E9" i="1"/>
  <c r="E11" i="1"/>
  <c r="E10" i="1"/>
  <c r="H9" i="4"/>
  <c r="G9" i="4"/>
  <c r="C3" i="4" s="1"/>
  <c r="F9" i="4"/>
  <c r="H13" i="6" l="1"/>
  <c r="E40" i="6"/>
  <c r="G40" i="6" s="1"/>
  <c r="E39" i="6"/>
  <c r="G39" i="6" s="1"/>
  <c r="E41" i="6"/>
  <c r="G41" i="6" s="1"/>
  <c r="E42" i="6"/>
  <c r="G42" i="6" s="1"/>
  <c r="I9" i="4"/>
  <c r="C6" i="4"/>
  <c r="H51" i="1"/>
  <c r="C5" i="5" l="1"/>
  <c r="C4" i="5"/>
  <c r="I9" i="5" l="1"/>
  <c r="D4" i="1" l="1"/>
  <c r="L25" i="6" l="1"/>
  <c r="L23" i="6"/>
  <c r="I42" i="1"/>
  <c r="E59" i="6" s="1"/>
  <c r="J43" i="1"/>
  <c r="F60" i="6" s="1"/>
  <c r="J50" i="2" l="1"/>
  <c r="P67" i="6" s="1"/>
  <c r="I50" i="2"/>
  <c r="O67" i="6" s="1"/>
  <c r="J49" i="2"/>
  <c r="P66" i="6" s="1"/>
  <c r="I49" i="2"/>
  <c r="O66" i="6" s="1"/>
  <c r="J48" i="2"/>
  <c r="P65" i="6" s="1"/>
  <c r="I48" i="2"/>
  <c r="O65" i="6" s="1"/>
  <c r="J47" i="2"/>
  <c r="P64" i="6" s="1"/>
  <c r="I47" i="2"/>
  <c r="O64" i="6" s="1"/>
  <c r="J46" i="2"/>
  <c r="P63" i="6" s="1"/>
  <c r="I46" i="2"/>
  <c r="O63" i="6" s="1"/>
  <c r="J45" i="2"/>
  <c r="P62" i="6" s="1"/>
  <c r="I45" i="2"/>
  <c r="O62" i="6" s="1"/>
  <c r="J44" i="2"/>
  <c r="P61" i="6" s="1"/>
  <c r="I44" i="2"/>
  <c r="O61" i="6" s="1"/>
  <c r="J43" i="2"/>
  <c r="P60" i="6" s="1"/>
  <c r="I43" i="2"/>
  <c r="O60" i="6" s="1"/>
  <c r="J42" i="2"/>
  <c r="P59" i="6" s="1"/>
  <c r="I42" i="2"/>
  <c r="O59" i="6" s="1"/>
  <c r="J50" i="1"/>
  <c r="J49" i="1"/>
  <c r="F66" i="6" s="1"/>
  <c r="J48" i="1"/>
  <c r="J47" i="1"/>
  <c r="F64" i="6" s="1"/>
  <c r="J46" i="1"/>
  <c r="F63" i="6" s="1"/>
  <c r="J45" i="1"/>
  <c r="F62" i="6" s="1"/>
  <c r="J44" i="1"/>
  <c r="F61" i="6" s="1"/>
  <c r="J42" i="1"/>
  <c r="F59" i="6" s="1"/>
  <c r="I43" i="1"/>
  <c r="E60" i="6" s="1"/>
  <c r="I44" i="1"/>
  <c r="E61" i="6" s="1"/>
  <c r="I45" i="1"/>
  <c r="E62" i="6" s="1"/>
  <c r="I46" i="1"/>
  <c r="E63" i="6" s="1"/>
  <c r="I47" i="1"/>
  <c r="E64" i="6" s="1"/>
  <c r="I48" i="1"/>
  <c r="E65" i="6" s="1"/>
  <c r="I49" i="1"/>
  <c r="I50" i="1"/>
  <c r="R35" i="6"/>
  <c r="J12" i="6" l="1"/>
  <c r="F67" i="6"/>
  <c r="I12" i="6"/>
  <c r="E67" i="6"/>
  <c r="I11" i="6"/>
  <c r="E66" i="6"/>
  <c r="J10" i="6"/>
  <c r="F65" i="6"/>
  <c r="I9" i="6"/>
  <c r="I5" i="6"/>
  <c r="I7" i="6"/>
  <c r="I8" i="6"/>
  <c r="J8" i="6"/>
  <c r="J9" i="6"/>
  <c r="J7" i="6"/>
  <c r="J11" i="6"/>
  <c r="I6" i="6"/>
  <c r="J6" i="6"/>
  <c r="I10" i="6"/>
  <c r="J5" i="6"/>
  <c r="Q35" i="6"/>
  <c r="D42" i="2"/>
  <c r="D50" i="2"/>
  <c r="J4" i="6"/>
  <c r="I4" i="6"/>
  <c r="J56" i="1"/>
  <c r="I56" i="1"/>
  <c r="J56" i="2"/>
  <c r="I56" i="2"/>
  <c r="H31" i="2"/>
  <c r="D47" i="2"/>
  <c r="G10" i="2"/>
  <c r="H23" i="2"/>
  <c r="E43" i="2"/>
  <c r="D49" i="2"/>
  <c r="G31" i="2"/>
  <c r="H6" i="2"/>
  <c r="G9" i="2"/>
  <c r="G23" i="2"/>
  <c r="G30" i="2"/>
  <c r="G28" i="2"/>
  <c r="O31" i="6"/>
  <c r="Q31" i="6" s="1"/>
  <c r="G27" i="2"/>
  <c r="D48" i="2"/>
  <c r="D43" i="2"/>
  <c r="G6" i="2"/>
  <c r="H11" i="2"/>
  <c r="D44" i="2"/>
  <c r="G11" i="2"/>
  <c r="H27" i="2"/>
  <c r="E49" i="2"/>
  <c r="H10" i="2"/>
  <c r="G24" i="2"/>
  <c r="E47" i="2"/>
  <c r="H30" i="2"/>
  <c r="D46" i="2"/>
  <c r="G5" i="2"/>
  <c r="E48" i="2"/>
  <c r="H29" i="2"/>
  <c r="G29" i="2"/>
  <c r="H8" i="2"/>
  <c r="G8" i="2"/>
  <c r="E46" i="2"/>
  <c r="H9" i="2"/>
  <c r="E44" i="2"/>
  <c r="H25" i="2"/>
  <c r="G25" i="2"/>
  <c r="H5" i="2"/>
  <c r="O30" i="6"/>
  <c r="Q30" i="6" s="1"/>
  <c r="H24" i="2"/>
  <c r="H28" i="2"/>
  <c r="E45" i="2" l="1"/>
  <c r="E42" i="2"/>
  <c r="H42" i="2" s="1"/>
  <c r="G4" i="2"/>
  <c r="H4" i="2"/>
  <c r="H12" i="2"/>
  <c r="E50" i="2"/>
  <c r="H50" i="2" s="1"/>
  <c r="G12" i="2"/>
  <c r="J18" i="6"/>
  <c r="I18" i="6"/>
  <c r="H47" i="2"/>
  <c r="H49" i="2"/>
  <c r="H37" i="2"/>
  <c r="H43" i="2"/>
  <c r="D45" i="2"/>
  <c r="D56" i="2" s="1"/>
  <c r="G18" i="2"/>
  <c r="P30" i="6"/>
  <c r="R30" i="6" s="1"/>
  <c r="G37" i="2"/>
  <c r="P31" i="6"/>
  <c r="R31" i="6" s="1"/>
  <c r="G7" i="2"/>
  <c r="H7" i="2"/>
  <c r="H18" i="2"/>
  <c r="H44" i="2"/>
  <c r="H46" i="2"/>
  <c r="H48" i="2"/>
  <c r="H26" i="2" l="1"/>
  <c r="G26" i="2"/>
  <c r="H45" i="2"/>
  <c r="E56" i="2"/>
  <c r="H56" i="2" l="1"/>
  <c r="D18" i="1"/>
  <c r="P4" i="4" l="1"/>
  <c r="P5" i="4"/>
  <c r="P3" i="4" l="1"/>
  <c r="E31" i="1" l="1"/>
  <c r="D31" i="1"/>
  <c r="E30" i="1"/>
  <c r="D30" i="1"/>
  <c r="E29" i="1"/>
  <c r="D29" i="1"/>
  <c r="E28" i="1"/>
  <c r="D28" i="1"/>
  <c r="E27" i="1"/>
  <c r="D27" i="1"/>
  <c r="D11" i="1"/>
  <c r="D10" i="1"/>
  <c r="D9" i="1"/>
  <c r="D8" i="1"/>
  <c r="F41" i="6" l="1"/>
  <c r="H41" i="6" s="1"/>
  <c r="F40" i="6"/>
  <c r="H40" i="6" s="1"/>
  <c r="F39" i="6"/>
  <c r="H39" i="6" s="1"/>
  <c r="F43" i="6"/>
  <c r="H43" i="6" s="1"/>
  <c r="F42" i="6"/>
  <c r="H42" i="6" s="1"/>
  <c r="H8" i="1"/>
  <c r="G10" i="1"/>
  <c r="G29" i="1"/>
  <c r="D47" i="1"/>
  <c r="D9" i="6" s="1"/>
  <c r="D46" i="1"/>
  <c r="D8" i="6" s="1"/>
  <c r="E46" i="1"/>
  <c r="E8" i="6" s="1"/>
  <c r="D49" i="1"/>
  <c r="D11" i="6" s="1"/>
  <c r="H31" i="1"/>
  <c r="H10" i="1"/>
  <c r="G11" i="1"/>
  <c r="H30" i="1"/>
  <c r="H29" i="1"/>
  <c r="D48" i="1"/>
  <c r="D10" i="6" s="1"/>
  <c r="E48" i="1"/>
  <c r="E10" i="6" s="1"/>
  <c r="H11" i="1"/>
  <c r="H28" i="1"/>
  <c r="H9" i="1"/>
  <c r="H27" i="1"/>
  <c r="G30" i="1"/>
  <c r="E47" i="1"/>
  <c r="E9" i="6" s="1"/>
  <c r="E49" i="1"/>
  <c r="E11" i="6" s="1"/>
  <c r="G27" i="1"/>
  <c r="G31" i="1"/>
  <c r="G28" i="1"/>
  <c r="G8" i="1"/>
  <c r="G9" i="1"/>
  <c r="H9" i="6" l="1"/>
  <c r="H11" i="6"/>
  <c r="H10" i="6"/>
  <c r="H8" i="6"/>
  <c r="H46" i="1"/>
  <c r="H49" i="1"/>
  <c r="H47" i="1"/>
  <c r="H48" i="1"/>
  <c r="D17" i="1" l="1"/>
  <c r="D12" i="1"/>
  <c r="D50" i="1" s="1"/>
  <c r="D12" i="6" s="1"/>
  <c r="D55" i="1" l="1"/>
  <c r="D17" i="6" s="1"/>
  <c r="H17" i="6" s="1"/>
  <c r="H12" i="1"/>
  <c r="G12" i="1"/>
  <c r="E50" i="1"/>
  <c r="E12" i="6" s="1"/>
  <c r="H17" i="1"/>
  <c r="G17" i="1"/>
  <c r="M17" i="2"/>
  <c r="H12" i="6" l="1"/>
  <c r="H55" i="1"/>
  <c r="B26" i="6"/>
  <c r="M17" i="1"/>
  <c r="H50" i="1"/>
  <c r="N23" i="6"/>
  <c r="B24" i="6"/>
  <c r="K18" i="2" s="1"/>
  <c r="F17" i="6" l="1"/>
  <c r="G17" i="6" s="1"/>
  <c r="F16" i="6"/>
  <c r="G16" i="6" s="1"/>
  <c r="F15" i="6"/>
  <c r="G15" i="6" s="1"/>
  <c r="F14" i="6"/>
  <c r="G14" i="6" s="1"/>
  <c r="F11" i="6"/>
  <c r="G11" i="6" s="1"/>
  <c r="F13" i="6"/>
  <c r="G13" i="6" s="1"/>
  <c r="F5" i="6"/>
  <c r="F6" i="6"/>
  <c r="F7" i="6"/>
  <c r="F12" i="6"/>
  <c r="G12" i="6" s="1"/>
  <c r="F8" i="6"/>
  <c r="G8" i="6" s="1"/>
  <c r="F9" i="6"/>
  <c r="G9" i="6" s="1"/>
  <c r="F10" i="6"/>
  <c r="G10" i="6" s="1"/>
  <c r="K20" i="2"/>
  <c r="K20" i="1"/>
  <c r="F47" i="1" s="1"/>
  <c r="F4" i="6"/>
  <c r="L24" i="6"/>
  <c r="K18" i="1"/>
  <c r="L26" i="6"/>
  <c r="F18" i="6" l="1"/>
  <c r="K18" i="6" s="1"/>
  <c r="F51" i="2"/>
  <c r="G51" i="2" s="1"/>
  <c r="F56" i="2"/>
  <c r="G56" i="2" s="1"/>
  <c r="F43" i="2"/>
  <c r="G43" i="2" s="1"/>
  <c r="F49" i="2"/>
  <c r="G49" i="2" s="1"/>
  <c r="F53" i="2"/>
  <c r="G53" i="2" s="1"/>
  <c r="F47" i="2"/>
  <c r="G47" i="2" s="1"/>
  <c r="F55" i="2"/>
  <c r="G55" i="2" s="1"/>
  <c r="F46" i="2"/>
  <c r="G46" i="2" s="1"/>
  <c r="F54" i="2"/>
  <c r="G54" i="2" s="1"/>
  <c r="F44" i="2"/>
  <c r="G44" i="2" s="1"/>
  <c r="F45" i="2"/>
  <c r="G45" i="2" s="1"/>
  <c r="F50" i="2"/>
  <c r="G50" i="2" s="1"/>
  <c r="F52" i="2"/>
  <c r="G52" i="2" s="1"/>
  <c r="F48" i="2"/>
  <c r="G48" i="2" s="1"/>
  <c r="F42" i="2"/>
  <c r="G42" i="2" s="1"/>
  <c r="F55" i="1"/>
  <c r="G55" i="1" s="1"/>
  <c r="F51" i="1"/>
  <c r="G51" i="1" s="1"/>
  <c r="F52" i="1"/>
  <c r="G52" i="1" s="1"/>
  <c r="F53" i="1"/>
  <c r="G53" i="1" s="1"/>
  <c r="F54" i="1"/>
  <c r="G54" i="1" s="1"/>
  <c r="F56" i="1"/>
  <c r="F48" i="1"/>
  <c r="G48" i="1" s="1"/>
  <c r="F42" i="1"/>
  <c r="F46" i="1"/>
  <c r="G46" i="1" s="1"/>
  <c r="F44" i="1"/>
  <c r="F43" i="1"/>
  <c r="F50" i="1"/>
  <c r="G50" i="1" s="1"/>
  <c r="G47" i="1"/>
  <c r="F45" i="1"/>
  <c r="F49" i="1"/>
  <c r="G49" i="1" s="1"/>
  <c r="D7" i="1" l="1"/>
  <c r="E25" i="1"/>
  <c r="D25" i="1"/>
  <c r="D26" i="1"/>
  <c r="D5" i="1"/>
  <c r="D6" i="1"/>
  <c r="E30" i="6"/>
  <c r="E37" i="1"/>
  <c r="F31" i="6" s="1"/>
  <c r="D24" i="1"/>
  <c r="E18" i="1"/>
  <c r="F30" i="6" s="1"/>
  <c r="D23" i="1"/>
  <c r="D37" i="1"/>
  <c r="E31" i="6" s="1"/>
  <c r="F37" i="6" l="1"/>
  <c r="H37" i="6" s="1"/>
  <c r="G35" i="6"/>
  <c r="G31" i="6"/>
  <c r="G30" i="6"/>
  <c r="D45" i="1"/>
  <c r="D7" i="6" s="1"/>
  <c r="E44" i="1"/>
  <c r="E6" i="6" s="1"/>
  <c r="G25" i="1"/>
  <c r="E26" i="1"/>
  <c r="H7" i="1"/>
  <c r="G7" i="1"/>
  <c r="H25" i="1"/>
  <c r="D44" i="1"/>
  <c r="D6" i="6" s="1"/>
  <c r="G5" i="1"/>
  <c r="E23" i="1"/>
  <c r="F35" i="6" s="1"/>
  <c r="D43" i="1"/>
  <c r="D5" i="6" s="1"/>
  <c r="D42" i="1"/>
  <c r="D4" i="6" s="1"/>
  <c r="H37" i="1"/>
  <c r="G37" i="1"/>
  <c r="E24" i="1"/>
  <c r="G4" i="1"/>
  <c r="H4" i="1"/>
  <c r="H5" i="1"/>
  <c r="G18" i="1"/>
  <c r="H18" i="1"/>
  <c r="G6" i="1"/>
  <c r="H6" i="1"/>
  <c r="G6" i="6" l="1"/>
  <c r="F36" i="6"/>
  <c r="H36" i="6" s="1"/>
  <c r="F38" i="6"/>
  <c r="H38" i="6" s="1"/>
  <c r="H6" i="6"/>
  <c r="E42" i="1"/>
  <c r="E4" i="6" s="1"/>
  <c r="D18" i="6"/>
  <c r="G44" i="1"/>
  <c r="H35" i="6"/>
  <c r="H30" i="6"/>
  <c r="H31" i="6"/>
  <c r="H44" i="1"/>
  <c r="H26" i="1"/>
  <c r="E45" i="1"/>
  <c r="E7" i="6" s="1"/>
  <c r="G26" i="1"/>
  <c r="H23" i="1"/>
  <c r="G23" i="1"/>
  <c r="D56" i="1"/>
  <c r="H24" i="1"/>
  <c r="E43" i="1"/>
  <c r="E5" i="6" s="1"/>
  <c r="G24" i="1"/>
  <c r="K5" i="6" l="1"/>
  <c r="G7" i="6"/>
  <c r="K7" i="6"/>
  <c r="K4" i="6"/>
  <c r="K15" i="6"/>
  <c r="K16" i="6"/>
  <c r="K14" i="6"/>
  <c r="K13" i="6"/>
  <c r="K17" i="6"/>
  <c r="K8" i="6"/>
  <c r="K10" i="6"/>
  <c r="K9" i="6"/>
  <c r="K11" i="6"/>
  <c r="K12" i="6"/>
  <c r="K6" i="6"/>
  <c r="H5" i="6"/>
  <c r="G5" i="6"/>
  <c r="H7" i="6"/>
  <c r="E56" i="1"/>
  <c r="H56" i="1" s="1"/>
  <c r="H42" i="1"/>
  <c r="H43" i="1"/>
  <c r="H45" i="1"/>
  <c r="G45" i="1"/>
  <c r="H4" i="6" l="1"/>
  <c r="E18" i="6"/>
  <c r="L18" i="6" s="1"/>
  <c r="N18" i="6" s="1"/>
  <c r="G4" i="6"/>
  <c r="L7" i="6" s="1"/>
  <c r="G43" i="1"/>
  <c r="G56" i="1"/>
  <c r="G42" i="1"/>
  <c r="L4" i="6" l="1"/>
  <c r="L16" i="6"/>
  <c r="L10" i="6"/>
  <c r="L9" i="6"/>
  <c r="L12" i="6"/>
  <c r="L14" i="6"/>
  <c r="L15" i="6"/>
  <c r="L13" i="6"/>
  <c r="L11" i="6"/>
  <c r="L17" i="6"/>
  <c r="L8" i="6"/>
  <c r="L6" i="6"/>
  <c r="L5" i="6"/>
  <c r="G18" i="6"/>
  <c r="H18" i="6"/>
  <c r="I10" i="5"/>
  <c r="C3" i="5"/>
  <c r="B85" i="2"/>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alcChain>
</file>

<file path=xl/comments1.xml><?xml version="1.0" encoding="utf-8"?>
<comments xmlns="http://schemas.openxmlformats.org/spreadsheetml/2006/main">
  <authors>
    <author>EXTERNAL Nguyen Trung Hieu (Ban Vien, RBVH/EPS45)</author>
    <author>EXTERNAL Nguyen Tuan Duong (Ban Vien, RBVH/EPS45)</author>
  </authors>
  <commentList>
    <comment ref="N98" authorId="0" shapeId="0">
      <text>
        <r>
          <rPr>
            <b/>
            <sz val="9"/>
            <color indexed="81"/>
            <rFont val="Tahoma"/>
            <family val="2"/>
          </rPr>
          <t>EXTERNAL Nguyen Trung Hieu (Ban Vien, RBVH/EPS45):</t>
        </r>
        <r>
          <rPr>
            <sz val="9"/>
            <color indexed="81"/>
            <rFont val="Tahoma"/>
            <family val="2"/>
          </rPr>
          <t xml:space="preserve">
Wrong database =&gt; Fixed
</t>
        </r>
      </text>
    </comment>
    <comment ref="E127" authorId="0" shapeId="0">
      <text>
        <r>
          <rPr>
            <b/>
            <sz val="9"/>
            <color indexed="81"/>
            <rFont val="Tahoma"/>
            <family val="2"/>
          </rPr>
          <t>EXTERNAL Nguyen Trung Hieu (Ban Vien, RBVH/EPS45):</t>
        </r>
        <r>
          <rPr>
            <sz val="9"/>
            <color indexed="81"/>
            <rFont val="Tahoma"/>
            <family val="2"/>
          </rPr>
          <t xml:space="preserve">
Please comment follow ASPICE Standard 
</t>
        </r>
      </text>
    </comment>
    <comment ref="AD291" authorId="0"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D292" authorId="0"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294" authorId="1" shapeId="0">
      <text>
        <r>
          <rPr>
            <b/>
            <sz val="9"/>
            <color indexed="81"/>
            <rFont val="Tahoma"/>
            <family val="2"/>
          </rPr>
          <t>EXTERNAL Nguyen Tuan Duong (Ban Vien, RBVH/EPS45):</t>
        </r>
        <r>
          <rPr>
            <sz val="9"/>
            <color indexed="81"/>
            <rFont val="Tahoma"/>
            <family val="2"/>
          </rPr>
          <t xml:space="preserve">
Duong assign 
</t>
        </r>
      </text>
    </comment>
    <comment ref="A296" authorId="1" shapeId="0">
      <text>
        <r>
          <rPr>
            <b/>
            <sz val="9"/>
            <color indexed="81"/>
            <rFont val="Tahoma"/>
            <family val="2"/>
          </rPr>
          <t>EXTERNAL Nguyen Tuan Duong (Ban Vien, RBVH/EPS45):</t>
        </r>
        <r>
          <rPr>
            <sz val="9"/>
            <color indexed="81"/>
            <rFont val="Tahoma"/>
            <family val="2"/>
          </rPr>
          <t xml:space="preserve">
Duong assign 
</t>
        </r>
      </text>
    </comment>
    <comment ref="A300" authorId="1" shapeId="0">
      <text>
        <r>
          <rPr>
            <b/>
            <sz val="9"/>
            <color indexed="81"/>
            <rFont val="Tahoma"/>
            <family val="2"/>
          </rPr>
          <t>EXTERNAL Nguyen Tuan Duong (Ban Vien, RBVH/EPS45):</t>
        </r>
        <r>
          <rPr>
            <sz val="9"/>
            <color indexed="81"/>
            <rFont val="Tahoma"/>
            <family val="2"/>
          </rPr>
          <t xml:space="preserve">
Duong assign 
</t>
        </r>
      </text>
    </comment>
    <comment ref="N330" authorId="0" shapeId="0">
      <text>
        <r>
          <rPr>
            <b/>
            <sz val="9"/>
            <color indexed="81"/>
            <rFont val="Tahoma"/>
            <family val="2"/>
          </rPr>
          <t>EXTERNAL Nguyen Trung Hieu (Ban Vien, RBVH/EPS45):</t>
        </r>
        <r>
          <rPr>
            <sz val="9"/>
            <color indexed="81"/>
            <rFont val="Tahoma"/>
            <family val="2"/>
          </rPr>
          <t xml:space="preserve">
Wrong database =&gt; GAC_ESPHevX_HADHAP =&gt; GAC_ESPHevX_HADHAP_Int
</t>
        </r>
      </text>
    </comment>
    <comment ref="A336" authorId="1" shapeId="0">
      <text>
        <r>
          <rPr>
            <b/>
            <sz val="9"/>
            <color indexed="81"/>
            <rFont val="Tahoma"/>
            <family val="2"/>
          </rPr>
          <t>EXTERNAL Nguyen Tuan Duong (Ban Vien, RBVH/EPS45):</t>
        </r>
        <r>
          <rPr>
            <sz val="9"/>
            <color indexed="81"/>
            <rFont val="Tahoma"/>
            <family val="2"/>
          </rPr>
          <t xml:space="preserve">
Duong assign 
</t>
        </r>
      </text>
    </comment>
    <comment ref="A363" authorId="1" shapeId="0">
      <text>
        <r>
          <rPr>
            <b/>
            <sz val="9"/>
            <color indexed="81"/>
            <rFont val="Tahoma"/>
            <family val="2"/>
          </rPr>
          <t>EXTERNAL Nguyen Tuan Duong (Ban Vien, RBVH/EPS45):</t>
        </r>
        <r>
          <rPr>
            <sz val="9"/>
            <color indexed="81"/>
            <rFont val="Tahoma"/>
            <family val="2"/>
          </rPr>
          <t xml:space="preserve">
Duong assign 
</t>
        </r>
      </text>
    </comment>
    <comment ref="A406" authorId="1" shapeId="0">
      <text>
        <r>
          <rPr>
            <b/>
            <sz val="9"/>
            <color indexed="81"/>
            <rFont val="Tahoma"/>
            <family val="2"/>
          </rPr>
          <t>EXTERNAL Nguyen Tuan Duong (Ban Vien, RBVH/EPS45):</t>
        </r>
        <r>
          <rPr>
            <sz val="9"/>
            <color indexed="81"/>
            <rFont val="Tahoma"/>
            <family val="2"/>
          </rPr>
          <t xml:space="preserve">
Duong assign 
</t>
        </r>
      </text>
    </comment>
    <comment ref="A412" authorId="1" shapeId="0">
      <text>
        <r>
          <rPr>
            <b/>
            <sz val="9"/>
            <color indexed="81"/>
            <rFont val="Tahoma"/>
            <family val="2"/>
          </rPr>
          <t>EXTERNAL Nguyen Tuan Duong (Ban Vien, RBVH/EPS45):</t>
        </r>
        <r>
          <rPr>
            <sz val="9"/>
            <color indexed="81"/>
            <rFont val="Tahoma"/>
            <family val="2"/>
          </rPr>
          <t xml:space="preserve">
Duong assign 
</t>
        </r>
      </text>
    </comment>
    <comment ref="V441" authorId="1" shapeId="0">
      <text>
        <r>
          <rPr>
            <b/>
            <sz val="9"/>
            <color indexed="81"/>
            <rFont val="Tahoma"/>
            <family val="2"/>
          </rPr>
          <t>EXTERNAL Nguyen Tuan Duong (Ban Vien, RBVH/EPS45):</t>
        </r>
        <r>
          <rPr>
            <sz val="9"/>
            <color indexed="81"/>
            <rFont val="Tahoma"/>
            <family val="2"/>
          </rPr>
          <t xml:space="preserve">
Re-use old result, don't need to test
</t>
        </r>
      </text>
    </comment>
    <comment ref="V442" authorId="1" shapeId="0">
      <text>
        <r>
          <rPr>
            <b/>
            <sz val="9"/>
            <color indexed="81"/>
            <rFont val="Tahoma"/>
            <family val="2"/>
          </rPr>
          <t>EXTERNAL Nguyen Tuan Duong (Ban Vien, RBVH/EPS45):</t>
        </r>
        <r>
          <rPr>
            <sz val="9"/>
            <color indexed="81"/>
            <rFont val="Tahoma"/>
            <family val="2"/>
          </rPr>
          <t xml:space="preserve">
Re-use old result, don't need to test
</t>
        </r>
      </text>
    </comment>
    <comment ref="AD443" authorId="1" shapeId="0">
      <text>
        <r>
          <rPr>
            <b/>
            <sz val="9"/>
            <color indexed="81"/>
            <rFont val="Tahoma"/>
            <family val="2"/>
          </rPr>
          <t>EXTERNAL Nguyen Tuan Duong (Ban Vien, RBVH/EPS45):</t>
        </r>
        <r>
          <rPr>
            <sz val="9"/>
            <color indexed="81"/>
            <rFont val="Tahoma"/>
            <family val="2"/>
          </rPr>
          <t xml:space="preserve">
Remain test spec
</t>
        </r>
      </text>
    </comment>
    <comment ref="AD444" authorId="1" shapeId="0">
      <text>
        <r>
          <rPr>
            <b/>
            <sz val="9"/>
            <color indexed="81"/>
            <rFont val="Tahoma"/>
            <family val="2"/>
          </rPr>
          <t>EXTERNAL Nguyen Tuan Duong (Ban Vien, RBVH/EPS45):</t>
        </r>
        <r>
          <rPr>
            <sz val="9"/>
            <color indexed="81"/>
            <rFont val="Tahoma"/>
            <family val="2"/>
          </rPr>
          <t xml:space="preserve">
Remain test spec
</t>
        </r>
      </text>
    </comment>
    <comment ref="AD445" authorId="1" shapeId="0">
      <text>
        <r>
          <rPr>
            <b/>
            <sz val="9"/>
            <color indexed="81"/>
            <rFont val="Tahoma"/>
            <family val="2"/>
          </rPr>
          <t>EXTERNAL Nguyen Tuan Duong (Ban Vien, RBVH/EPS45):</t>
        </r>
        <r>
          <rPr>
            <sz val="9"/>
            <color indexed="81"/>
            <rFont val="Tahoma"/>
            <family val="2"/>
          </rPr>
          <t xml:space="preserve">
Remain test spec
</t>
        </r>
      </text>
    </comment>
    <comment ref="AD446" authorId="1" shapeId="0">
      <text>
        <r>
          <rPr>
            <b/>
            <sz val="9"/>
            <color indexed="81"/>
            <rFont val="Tahoma"/>
            <family val="2"/>
          </rPr>
          <t>EXTERNAL Nguyen Tuan Duong (Ban Vien, RBVH/EPS45):</t>
        </r>
        <r>
          <rPr>
            <sz val="9"/>
            <color indexed="81"/>
            <rFont val="Tahoma"/>
            <family val="2"/>
          </rPr>
          <t xml:space="preserve">
Remain test spec
</t>
        </r>
      </text>
    </comment>
    <comment ref="AD447" authorId="1" shapeId="0">
      <text>
        <r>
          <rPr>
            <b/>
            <sz val="9"/>
            <color indexed="81"/>
            <rFont val="Tahoma"/>
            <family val="2"/>
          </rPr>
          <t>EXTERNAL Nguyen Tuan Duong (Ban Vien, RBVH/EPS45):</t>
        </r>
        <r>
          <rPr>
            <sz val="9"/>
            <color indexed="81"/>
            <rFont val="Tahoma"/>
            <family val="2"/>
          </rPr>
          <t xml:space="preserve">
Remain test spec
</t>
        </r>
      </text>
    </comment>
    <comment ref="AD448" authorId="1" shapeId="0">
      <text>
        <r>
          <rPr>
            <b/>
            <sz val="9"/>
            <color indexed="81"/>
            <rFont val="Tahoma"/>
            <family val="2"/>
          </rPr>
          <t>EXTERNAL Nguyen Tuan Duong (Ban Vien, RBVH/EPS45):</t>
        </r>
        <r>
          <rPr>
            <sz val="9"/>
            <color indexed="81"/>
            <rFont val="Tahoma"/>
            <family val="2"/>
          </rPr>
          <t xml:space="preserve">
Remain test spec
</t>
        </r>
      </text>
    </comment>
    <comment ref="AD449" authorId="1" shapeId="0">
      <text>
        <r>
          <rPr>
            <b/>
            <sz val="9"/>
            <color indexed="81"/>
            <rFont val="Tahoma"/>
            <family val="2"/>
          </rPr>
          <t>EXTERNAL Nguyen Tuan Duong (Ban Vien, RBVH/EPS45):</t>
        </r>
        <r>
          <rPr>
            <sz val="9"/>
            <color indexed="81"/>
            <rFont val="Tahoma"/>
            <family val="2"/>
          </rPr>
          <t xml:space="preserve">
Remain test spec
</t>
        </r>
      </text>
    </comment>
    <comment ref="AD450" authorId="1" shapeId="0">
      <text>
        <r>
          <rPr>
            <b/>
            <sz val="9"/>
            <color indexed="81"/>
            <rFont val="Tahoma"/>
            <family val="2"/>
          </rPr>
          <t>EXTERNAL Nguyen Tuan Duong (Ban Vien, RBVH/EPS45):</t>
        </r>
        <r>
          <rPr>
            <sz val="9"/>
            <color indexed="81"/>
            <rFont val="Tahoma"/>
            <family val="2"/>
          </rPr>
          <t xml:space="preserve">
Remain test spec
</t>
        </r>
      </text>
    </comment>
    <comment ref="AD451" authorId="1" shapeId="0">
      <text>
        <r>
          <rPr>
            <b/>
            <sz val="9"/>
            <color indexed="81"/>
            <rFont val="Tahoma"/>
            <family val="2"/>
          </rPr>
          <t>EXTERNAL Nguyen Tuan Duong (Ban Vien, RBVH/EPS45):</t>
        </r>
        <r>
          <rPr>
            <sz val="9"/>
            <color indexed="81"/>
            <rFont val="Tahoma"/>
            <family val="2"/>
          </rPr>
          <t xml:space="preserve">
Remain test spec
</t>
        </r>
      </text>
    </comment>
    <comment ref="AD452" authorId="1" shapeId="0">
      <text>
        <r>
          <rPr>
            <b/>
            <sz val="9"/>
            <color indexed="81"/>
            <rFont val="Tahoma"/>
            <family val="2"/>
          </rPr>
          <t>EXTERNAL Nguyen Tuan Duong (Ban Vien, RBVH/EPS45):</t>
        </r>
        <r>
          <rPr>
            <sz val="9"/>
            <color indexed="81"/>
            <rFont val="Tahoma"/>
            <family val="2"/>
          </rPr>
          <t xml:space="preserve">
Remain test spec
</t>
        </r>
      </text>
    </comment>
    <comment ref="AD453" authorId="1" shapeId="0">
      <text>
        <r>
          <rPr>
            <b/>
            <sz val="9"/>
            <color indexed="81"/>
            <rFont val="Tahoma"/>
            <family val="2"/>
          </rPr>
          <t>EXTERNAL Nguyen Tuan Duong (Ban Vien, RBVH/EPS45):</t>
        </r>
        <r>
          <rPr>
            <sz val="9"/>
            <color indexed="81"/>
            <rFont val="Tahoma"/>
            <family val="2"/>
          </rPr>
          <t xml:space="preserve">
Remain test spec
</t>
        </r>
      </text>
    </comment>
    <comment ref="AD478" authorId="1" shapeId="0">
      <text>
        <r>
          <rPr>
            <b/>
            <sz val="9"/>
            <color indexed="81"/>
            <rFont val="Tahoma"/>
            <family val="2"/>
          </rPr>
          <t>EXTERNAL Nguyen Tuan Duong (Ban Vien, RBVH/EPS45):</t>
        </r>
        <r>
          <rPr>
            <sz val="9"/>
            <color indexed="81"/>
            <rFont val="Tahoma"/>
            <family val="2"/>
          </rPr>
          <t xml:space="preserve">
Remain test spec
</t>
        </r>
      </text>
    </comment>
    <comment ref="AD479" authorId="1" shapeId="0">
      <text>
        <r>
          <rPr>
            <b/>
            <sz val="9"/>
            <color indexed="81"/>
            <rFont val="Tahoma"/>
            <family val="2"/>
          </rPr>
          <t>EXTERNAL Nguyen Tuan Duong (Ban Vien, RBVH/EPS45):</t>
        </r>
        <r>
          <rPr>
            <sz val="9"/>
            <color indexed="81"/>
            <rFont val="Tahoma"/>
            <family val="2"/>
          </rPr>
          <t xml:space="preserve">
Remain test spec
</t>
        </r>
      </text>
    </comment>
    <comment ref="AD480" authorId="1" shapeId="0">
      <text>
        <r>
          <rPr>
            <b/>
            <sz val="9"/>
            <color indexed="81"/>
            <rFont val="Tahoma"/>
            <family val="2"/>
          </rPr>
          <t>EXTERNAL Nguyen Tuan Duong (Ban Vien, RBVH/EPS45):</t>
        </r>
        <r>
          <rPr>
            <sz val="9"/>
            <color indexed="81"/>
            <rFont val="Tahoma"/>
            <family val="2"/>
          </rPr>
          <t xml:space="preserve">
Remain test spec
</t>
        </r>
      </text>
    </comment>
    <comment ref="AD482" authorId="1" shapeId="0">
      <text>
        <r>
          <rPr>
            <b/>
            <sz val="9"/>
            <color indexed="81"/>
            <rFont val="Tahoma"/>
            <family val="2"/>
          </rPr>
          <t>EXTERNAL Nguyen Tuan Duong (Ban Vien, RBVH/EPS45):</t>
        </r>
        <r>
          <rPr>
            <sz val="9"/>
            <color indexed="81"/>
            <rFont val="Tahoma"/>
            <family val="2"/>
          </rPr>
          <t xml:space="preserve">
Remain test spec
</t>
        </r>
      </text>
    </comment>
    <comment ref="AD483" authorId="1" shapeId="0">
      <text>
        <r>
          <rPr>
            <b/>
            <sz val="9"/>
            <color indexed="81"/>
            <rFont val="Tahoma"/>
            <family val="2"/>
          </rPr>
          <t>EXTERNAL Nguyen Tuan Duong (Ban Vien, RBVH/EPS45):</t>
        </r>
        <r>
          <rPr>
            <sz val="9"/>
            <color indexed="81"/>
            <rFont val="Tahoma"/>
            <family val="2"/>
          </rPr>
          <t xml:space="preserve">
Remain test spec
</t>
        </r>
      </text>
    </comment>
    <comment ref="AD484" authorId="1" shapeId="0">
      <text>
        <r>
          <rPr>
            <b/>
            <sz val="9"/>
            <color indexed="81"/>
            <rFont val="Tahoma"/>
            <family val="2"/>
          </rPr>
          <t>EXTERNAL Nguyen Tuan Duong (Ban Vien, RBVH/EPS45):</t>
        </r>
        <r>
          <rPr>
            <sz val="9"/>
            <color indexed="81"/>
            <rFont val="Tahoma"/>
            <family val="2"/>
          </rPr>
          <t xml:space="preserve">
Remain test spec
</t>
        </r>
      </text>
    </comment>
    <comment ref="AD485" authorId="1" shapeId="0">
      <text>
        <r>
          <rPr>
            <b/>
            <sz val="9"/>
            <color indexed="81"/>
            <rFont val="Tahoma"/>
            <family val="2"/>
          </rPr>
          <t>EXTERNAL Nguyen Tuan Duong (Ban Vien, RBVH/EPS45):</t>
        </r>
        <r>
          <rPr>
            <sz val="9"/>
            <color indexed="81"/>
            <rFont val="Tahoma"/>
            <family val="2"/>
          </rPr>
          <t xml:space="preserve">
Remain test spec
</t>
        </r>
      </text>
    </comment>
    <comment ref="AD486" authorId="1" shapeId="0">
      <text>
        <r>
          <rPr>
            <b/>
            <sz val="9"/>
            <color indexed="81"/>
            <rFont val="Tahoma"/>
            <family val="2"/>
          </rPr>
          <t>EXTERNAL Nguyen Tuan Duong (Ban Vien, RBVH/EPS45):</t>
        </r>
        <r>
          <rPr>
            <sz val="9"/>
            <color indexed="81"/>
            <rFont val="Tahoma"/>
            <family val="2"/>
          </rPr>
          <t xml:space="preserve">
Remain test spec
</t>
        </r>
      </text>
    </comment>
    <comment ref="AD487" authorId="1" shapeId="0">
      <text>
        <r>
          <rPr>
            <b/>
            <sz val="9"/>
            <color indexed="81"/>
            <rFont val="Tahoma"/>
            <family val="2"/>
          </rPr>
          <t>EXTERNAL Nguyen Tuan Duong (Ban Vien, RBVH/EPS45):</t>
        </r>
        <r>
          <rPr>
            <sz val="9"/>
            <color indexed="81"/>
            <rFont val="Tahoma"/>
            <family val="2"/>
          </rPr>
          <t xml:space="preserve">
Remain test spec
</t>
        </r>
      </text>
    </comment>
    <comment ref="AD488" authorId="1" shapeId="0">
      <text>
        <r>
          <rPr>
            <b/>
            <sz val="9"/>
            <color indexed="81"/>
            <rFont val="Tahoma"/>
            <family val="2"/>
          </rPr>
          <t>EXTERNAL Nguyen Tuan Duong (Ban Vien, RBVH/EPS45):</t>
        </r>
        <r>
          <rPr>
            <sz val="9"/>
            <color indexed="81"/>
            <rFont val="Tahoma"/>
            <family val="2"/>
          </rPr>
          <t xml:space="preserve">
Remain test spec
</t>
        </r>
      </text>
    </comment>
    <comment ref="AD489" authorId="1" shapeId="0">
      <text>
        <r>
          <rPr>
            <b/>
            <sz val="9"/>
            <color indexed="81"/>
            <rFont val="Tahoma"/>
            <family val="2"/>
          </rPr>
          <t>EXTERNAL Nguyen Tuan Duong (Ban Vien, RBVH/EPS45):</t>
        </r>
        <r>
          <rPr>
            <sz val="9"/>
            <color indexed="81"/>
            <rFont val="Tahoma"/>
            <family val="2"/>
          </rPr>
          <t xml:space="preserve">
Remain test spec
</t>
        </r>
      </text>
    </comment>
    <comment ref="AD490" authorId="1" shapeId="0">
      <text>
        <r>
          <rPr>
            <b/>
            <sz val="9"/>
            <color indexed="81"/>
            <rFont val="Tahoma"/>
            <family val="2"/>
          </rPr>
          <t>EXTERNAL Nguyen Tuan Duong (Ban Vien, RBVH/EPS45):</t>
        </r>
        <r>
          <rPr>
            <sz val="9"/>
            <color indexed="81"/>
            <rFont val="Tahoma"/>
            <family val="2"/>
          </rPr>
          <t xml:space="preserve">
Remain test spec
</t>
        </r>
      </text>
    </comment>
    <comment ref="S510" authorId="1" shapeId="0">
      <text>
        <r>
          <rPr>
            <b/>
            <sz val="9"/>
            <color indexed="81"/>
            <rFont val="Tahoma"/>
            <family val="2"/>
          </rPr>
          <t>EXTERNAL Nguyen Tuan Duong (Ban Vien, RBVH/EPS45):</t>
        </r>
        <r>
          <rPr>
            <sz val="9"/>
            <color indexed="81"/>
            <rFont val="Tahoma"/>
            <family val="2"/>
          </rPr>
          <t xml:space="preserve">
Raise OPl
</t>
        </r>
      </text>
    </comment>
    <comment ref="S511" authorId="1" shapeId="0">
      <text>
        <r>
          <rPr>
            <b/>
            <sz val="9"/>
            <color indexed="81"/>
            <rFont val="Tahoma"/>
            <family val="2"/>
          </rPr>
          <t>EXTERNAL Nguyen Tuan Duong (Ban Vien, RBVH/EPS45):</t>
        </r>
        <r>
          <rPr>
            <sz val="9"/>
            <color indexed="81"/>
            <rFont val="Tahoma"/>
            <family val="2"/>
          </rPr>
          <t xml:space="preserve">
Duong support make and fill color PLT + WT
</t>
        </r>
      </text>
    </comment>
  </commentList>
</comments>
</file>

<file path=xl/sharedStrings.xml><?xml version="1.0" encoding="utf-8"?>
<sst xmlns="http://schemas.openxmlformats.org/spreadsheetml/2006/main" count="14542" uniqueCount="1855">
  <si>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</si>
  <si>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</si>
  <si>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</si>
  <si>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</si>
  <si>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</si>
  <si>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</si>
  <si>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</si>
  <si>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</si>
  <si>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</si>
  <si>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</si>
  <si>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</si>
  <si>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</si>
  <si>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</si>
  <si>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</si>
  <si>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</si>
  <si>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</si>
  <si>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</si>
  <si>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</si>
  <si>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</si>
  <si>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</si>
  <si>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</si>
  <si>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</si>
  <si>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</si>
  <si>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</si>
  <si>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</si>
  <si>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</si>
  <si>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</si>
  <si>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</si>
  <si>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</si>
  <si>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</si>
  <si>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</si>
  <si>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</si>
  <si>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</si>
  <si>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</si>
  <si>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</si>
  <si>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</si>
  <si>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</si>
  <si>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</si>
  <si>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</si>
  <si>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</si>
  <si>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</si>
  <si>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</si>
  <si>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</si>
  <si>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</si>
  <si>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</si>
  <si>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</si>
  <si>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</si>
  <si>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</si>
  <si>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</si>
  <si>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</si>
  <si>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</si>
  <si>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</si>
  <si>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</si>
  <si>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</si>
  <si>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</si>
  <si>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</si>
  <si>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</si>
  <si>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</si>
  <si>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</si>
  <si>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</si>
  <si>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</si>
  <si>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</si>
  <si>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</si>
  <si>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</si>
  <si>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</si>
  <si>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</si>
  <si>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</si>
  <si>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</si>
  <si>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</si>
  <si>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</si>
  <si>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</si>
  <si>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</si>
  <si>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</si>
  <si>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</si>
  <si>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</si>
  <si>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</si>
  <si>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</si>
  <si>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</si>
  <si>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</si>
  <si>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</si>
  <si>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</si>
  <si>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</si>
  <si>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</si>
  <si>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</si>
  <si>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</si>
  <si>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</si>
  <si>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</si>
  <si>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</si>
  <si>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</si>
  <si>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</si>
  <si>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</si>
  <si>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</si>
  <si>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</si>
  <si>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</si>
  <si>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</si>
  <si>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</si>
  <si>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</si>
  <si>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</si>
  <si>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</si>
  <si>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</si>
  <si>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</si>
  <si>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</si>
  <si>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</si>
  <si>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</si>
  <si>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</si>
  <si>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</si>
  <si>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</si>
  <si>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</si>
  <si>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</si>
  <si>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</si>
  <si>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</si>
  <si>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</si>
  <si>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</si>
  <si>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</si>
  <si>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</si>
  <si>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</si>
  <si>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</si>
  <si>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</si>
  <si>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17h00</t>
  </si>
  <si>
    <t>Time</t>
  </si>
  <si>
    <t>days</t>
  </si>
  <si>
    <t>Assigned
ELOCs</t>
  </si>
  <si>
    <t>Completed
ELOCs</t>
  </si>
  <si>
    <t>Effort
(days)</t>
  </si>
  <si>
    <t>Actual Effort
(days)</t>
  </si>
  <si>
    <t>Brief Description:</t>
  </si>
  <si>
    <t>12h00</t>
  </si>
  <si>
    <t>Duration (Plan)</t>
  </si>
  <si>
    <t>Duration (Actual)</t>
  </si>
  <si>
    <t>- No comment</t>
  </si>
  <si>
    <t>Actual Effort (days)</t>
  </si>
  <si>
    <t>Num of OPLs</t>
  </si>
  <si>
    <t>Num of Defects</t>
  </si>
  <si>
    <t>Effort PSW (days)</t>
  </si>
  <si>
    <t>Effort ASW
(days)</t>
  </si>
  <si>
    <t>T503</t>
  </si>
  <si>
    <t>Holidays</t>
  </si>
  <si>
    <t>Reason for Fail Testcase</t>
  </si>
  <si>
    <t>Reason For code coverage</t>
  </si>
  <si>
    <t>OPL</t>
  </si>
  <si>
    <t>Summary</t>
  </si>
  <si>
    <t>huy.do-anh</t>
  </si>
  <si>
    <t>phuong.nguyen-thanh</t>
  </si>
  <si>
    <t>TaskID</t>
  </si>
  <si>
    <t>Type of Comment</t>
  </si>
  <si>
    <t>OPL/Defect</t>
  </si>
  <si>
    <t>Auto</t>
  </si>
  <si>
    <t>Baseline</t>
  </si>
  <si>
    <t>Type of OPL/Defect</t>
  </si>
  <si>
    <t>Defect</t>
  </si>
  <si>
    <t>None</t>
  </si>
  <si>
    <t>10h00</t>
  </si>
  <si>
    <t>MA Python (CC-AS/EVA-SW31-CN)</t>
  </si>
  <si>
    <t>RBVAR_VarCode_PROJECT.c</t>
  </si>
  <si>
    <t>rba_BldrCmp_Cfg_FlashIf.c</t>
  </si>
  <si>
    <t>rba_BldrCmp_Cfg_SecA.c</t>
  </si>
  <si>
    <t>rba_BldrCmp_Cfg_CheckMem.c</t>
  </si>
  <si>
    <t>Nguyen Thanh Phuong</t>
  </si>
  <si>
    <t>Do Anh Huy</t>
  </si>
  <si>
    <t>RBVAR_OutputDriver_PROJECT.c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</si>
  <si>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</si>
  <si>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</si>
  <si>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</si>
  <si>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</si>
  <si>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</si>
  <si>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</si>
  <si>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</si>
  <si>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</si>
  <si>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</si>
  <si>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</si>
  <si>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</si>
  <si>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rb.as.core.app.asw.ldm.lfc</t>
  </si>
  <si>
    <t>1st May</t>
  </si>
  <si>
    <t>BB80912</t>
  </si>
  <si>
    <t>BYD_ESP93_Int</t>
  </si>
  <si>
    <t>Team size</t>
  </si>
  <si>
    <t>OK</t>
  </si>
  <si>
    <t>NG</t>
  </si>
  <si>
    <t>Team:</t>
  </si>
  <si>
    <t>BAO Eric (CC-AS/EVA-SW32-CN)</t>
  </si>
  <si>
    <t>BB81377</t>
  </si>
  <si>
    <t>SGMW_ESP93_Carbon_Int</t>
  </si>
  <si>
    <t>NET_SCL_Rx_SGMW_RemoteControl.c</t>
  </si>
  <si>
    <t>RBNET_ESPiB_Monitoring.c</t>
  </si>
  <si>
    <t>Manual</t>
  </si>
  <si>
    <t>CubasAdapter.c</t>
  </si>
  <si>
    <t>rba_Bldr_main.c</t>
  </si>
  <si>
    <t>rba_BldrFlsDrv_Cfg.c</t>
  </si>
  <si>
    <t>rba_Bmgr_main.c</t>
  </si>
  <si>
    <t>1. Completed ELOCs of the team from the beginning of Month till Now:</t>
  </si>
  <si>
    <t>2. Completed ELOCs of each member from the beginning of Month till Now:</t>
  </si>
  <si>
    <t>4. Found Defects/ OPLs in Month:</t>
  </si>
  <si>
    <t>5. Leave Plan:</t>
  </si>
  <si>
    <t>Refer</t>
  </si>
  <si>
    <t>No function to test</t>
  </si>
  <si>
    <t>CNMS_ESP_Carbon_Int</t>
  </si>
  <si>
    <t>BYD_ESP93_Int\MainstreamF30\rb\as\BYD\Mainstream151\app\dsm\RBVAR\src\RBVAR_VarCode_PROJECT.c</t>
  </si>
  <si>
    <t>RBAPLCUST_RBDI_NVMData.c</t>
  </si>
  <si>
    <t>RBAPLCUST_WDBI_NVMData.c</t>
  </si>
  <si>
    <t>NET_CheckSumLib_CNMS.c</t>
  </si>
  <si>
    <t>NET_MonitoringClasses_F30.c</t>
  </si>
  <si>
    <t>RBPduHandler_Callouts.c</t>
  </si>
  <si>
    <t>Thangamani Shanmugam (RBEI/EBB7)</t>
  </si>
  <si>
    <t>ZHANG Guorong (CC-AS/EVA-SW32-CN)</t>
  </si>
  <si>
    <t>Geely_Beryllium2_Int</t>
  </si>
  <si>
    <t>EXTERNAL Do Anh Huy (Ban Vien, RBVH/EPS45)</t>
  </si>
  <si>
    <t>RBA_NDS_SystemInfo.c</t>
  </si>
  <si>
    <t>SAS_LWS_Standard.c</t>
  </si>
  <si>
    <t>CAI Tantan (CC-AS/EVA-SW31-CN)</t>
  </si>
  <si>
    <t>rba_SCL_Settings.c</t>
  </si>
  <si>
    <t>HONDA_CMP_BL11sp02_snapshot05</t>
  </si>
  <si>
    <t>Delta &gt; New</t>
  </si>
  <si>
    <t>Contact point: Iwase Megumi (CC-AS/ESJ2-JP) ; EXTERNAL Motoyoshi Kazuyuki (VSN, CC-AS/ESJ2-JP)</t>
  </si>
  <si>
    <t>11h00</t>
  </si>
  <si>
    <t>RBAPLCUST_DiagnosticSessionControl.c</t>
  </si>
  <si>
    <t>RBA_NDS_YAWRATE_Callout.c</t>
  </si>
  <si>
    <t>BJEV_N60_2WD_4WD</t>
  </si>
  <si>
    <t>BL73_SP02</t>
  </si>
  <si>
    <t>rba_BldrBCLSigChk.c</t>
  </si>
  <si>
    <t>rba_BldrFlsDrv.c</t>
  </si>
  <si>
    <t>BAIC_MainPath_HevX_Int</t>
  </si>
  <si>
    <t>CSMosarASWMainstream93_Honda</t>
  </si>
  <si>
    <t>RBAPLCUST_VariandCode.c</t>
  </si>
  <si>
    <t>RBHMI_ConfigOutputDriver_PRJ.c</t>
  </si>
  <si>
    <t>RBHMI_ExtStateCalculation_PRJ.c</t>
  </si>
  <si>
    <t>RBAPLCUST_RDBI_IOCtrlState.c</t>
  </si>
  <si>
    <t>ComScl_Scl_Complex_proc.c</t>
  </si>
  <si>
    <t>NET_Monitoring.c</t>
  </si>
  <si>
    <t>GWM_AB30_CP_Int</t>
  </si>
  <si>
    <t>LI Chengcheng (CC-AS/EVA-SW33-CN)</t>
  </si>
  <si>
    <t>BYD_IPB_BL05_Int</t>
  </si>
  <si>
    <t>GUO Sasa (CC-AS/EVA-SW3-CN)</t>
  </si>
  <si>
    <t>NET_AliveCounterLib_BAIC.c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</si>
  <si>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</si>
  <si>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</si>
  <si>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</si>
  <si>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</si>
  <si>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</si>
  <si>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</si>
  <si>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</si>
  <si>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</si>
  <si>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</si>
  <si>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</si>
  <si>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</si>
  <si>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</si>
  <si>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</si>
  <si>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</si>
  <si>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</si>
  <si>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</si>
  <si>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</si>
  <si>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</si>
  <si>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</si>
  <si>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</si>
  <si>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</si>
  <si>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</si>
  <si>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RBAPLCUST_RBDI_SWVersionNumber.c</t>
  </si>
  <si>
    <t>RBAPLCUST_RoutineControl_ConditionCheck.c</t>
  </si>
  <si>
    <t>RBAPLCUST_SpeedLimitForServices_BAIC_ESP.c</t>
  </si>
  <si>
    <t>RBAPLCUST_SnapshotChecksumAlivecounter_ESP.c</t>
  </si>
  <si>
    <t>HU Evan (CC-AS/EVA-SW33-CN)</t>
  </si>
  <si>
    <t>SUN Nan (CC-AS/EVA-SW1-CN)</t>
  </si>
  <si>
    <t>ZHU Anlin (CC-AS/EVA-SW2-CN)</t>
  </si>
  <si>
    <t>LIANG Xin (CC-AS/EVA-SW33-CN)</t>
  </si>
  <si>
    <t>BB98378</t>
  </si>
  <si>
    <t>GEELY_FS11_ESP9.3HD_BSS05_SP05</t>
  </si>
  <si>
    <t>SGMW CN202M 208T CPi ACC 242139 BB81871</t>
  </si>
  <si>
    <t>NET_SCL_Rx_SGMW.c</t>
  </si>
  <si>
    <t>NET_SCL_Tx_SGMW.c</t>
  </si>
  <si>
    <t>MIAO Huafeng (CC-AS/EVA-SW32-CN)</t>
  </si>
  <si>
    <t>To Trong Khoa (RBVH/EAS11)</t>
  </si>
  <si>
    <t>BB98153 &amp; BB97958 &amp; BB80790 &amp; BB80795</t>
  </si>
  <si>
    <t>BB81871</t>
  </si>
  <si>
    <t>Geely_ESP93_Carbon_Int</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</si>
  <si>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</si>
  <si>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</si>
  <si>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</si>
  <si>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</si>
  <si>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</si>
  <si>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</si>
  <si>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</si>
  <si>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LFC_Exe</t>
  </si>
  <si>
    <t>4.10.131.0</t>
  </si>
  <si>
    <t>MT_208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</si>
  <si>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</si>
  <si>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</si>
  <si>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</si>
  <si>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</si>
  <si>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</si>
  <si>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</si>
  <si>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</si>
  <si>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</si>
  <si>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</si>
  <si>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</si>
  <si>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</si>
  <si>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</si>
  <si>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</si>
  <si>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</si>
  <si>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</si>
  <si>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</si>
  <si>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ESP93hevXEncapSWCust_ECU_CSW_BB97468.axl</t>
  </si>
  <si>
    <t>CDDiBooster_ECU_CSW_BB00001.axl</t>
  </si>
  <si>
    <t>RPAESPHevXEncapSWCust_ECU_CSW_BB99704.axl</t>
  </si>
  <si>
    <t>1.2.146310.0</t>
  </si>
  <si>
    <t>BL07</t>
  </si>
  <si>
    <t>LIU Felix (CC-AS/EVA-SW33-CN)</t>
  </si>
  <si>
    <t>CHENG Jie (CC-AS/EVA-SW1-CN)</t>
  </si>
  <si>
    <t>ZHONG Yan (CC-AS/EVA-SW2-CN)</t>
  </si>
  <si>
    <t>Have already confirm by owner at the previous phase</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</si>
  <si>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</si>
  <si>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</si>
  <si>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</si>
  <si>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</si>
  <si>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</si>
  <si>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</si>
  <si>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</si>
  <si>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</si>
  <si>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</si>
  <si>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</si>
  <si>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</si>
  <si>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</si>
  <si>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</si>
  <si>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</si>
  <si>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</si>
  <si>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</si>
  <si>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</si>
  <si>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</si>
  <si>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</si>
  <si>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</si>
  <si>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</si>
  <si>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</si>
  <si>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</si>
  <si>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</si>
  <si>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</si>
  <si>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</si>
  <si>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</si>
  <si>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</si>
  <si>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</si>
  <si>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</si>
  <si>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</si>
  <si>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</si>
  <si>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</si>
  <si>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</si>
  <si>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</si>
  <si>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</si>
  <si>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</si>
  <si>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</si>
  <si>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</si>
  <si>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</si>
  <si>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</si>
  <si>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</si>
  <si>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CNMS_203173_Carbon_HevX_BL03_SP08</t>
  </si>
  <si>
    <t>RBAPLCUST_PreConditionsMode04.c</t>
  </si>
  <si>
    <t>RBAPLOBD_Mode04.c</t>
  </si>
  <si>
    <t>BL03_SP08</t>
  </si>
  <si>
    <t>CNMS_ESPHevX_Carbon_Int</t>
  </si>
  <si>
    <t>HUANG Kaibing (CC-AS/ESW2-CN)</t>
  </si>
  <si>
    <t>WANG Bei (CC-AS/ESW3-CN)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</si>
  <si>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</si>
  <si>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</si>
  <si>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</si>
  <si>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</si>
  <si>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</si>
  <si>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</si>
  <si>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</si>
  <si>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</si>
  <si>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</si>
  <si>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</si>
  <si>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</si>
  <si>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</si>
  <si>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</si>
  <si>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</si>
  <si>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</si>
  <si>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</si>
  <si>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</si>
  <si>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</si>
  <si>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</si>
  <si>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</si>
  <si>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</si>
  <si>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</si>
  <si>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</si>
  <si>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</si>
  <si>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</si>
  <si>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</si>
  <si>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</si>
  <si>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</si>
  <si>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</si>
  <si>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</si>
  <si>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</si>
  <si>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</si>
  <si>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</si>
  <si>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</si>
  <si>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</si>
  <si>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</si>
  <si>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</si>
  <si>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</si>
  <si>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</si>
  <si>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</si>
  <si>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</si>
  <si>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</si>
  <si>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</si>
  <si>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</si>
  <si>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</si>
  <si>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</si>
  <si>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</si>
  <si>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BB81433/81853</t>
  </si>
  <si>
    <t>SAIC_A_ARCH_CMP_ESP93_Carbon_Int</t>
  </si>
  <si>
    <t>GWM_CP_Stream_Int</t>
  </si>
  <si>
    <t>Can't cover fully MCDC for condition at the line#140 and the line #145</t>
  </si>
  <si>
    <t>Actual LOC: 60</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</si>
  <si>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</si>
  <si>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</si>
  <si>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</si>
  <si>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</si>
  <si>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</si>
  <si>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</si>
  <si>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</si>
  <si>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</si>
  <si>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</si>
  <si>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</si>
  <si>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</si>
  <si>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</si>
  <si>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</si>
  <si>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</si>
  <si>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</si>
  <si>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</si>
  <si>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RUBAGAN Varunidhan (CC-AS/EVA-SW2-CN)</t>
  </si>
  <si>
    <t>XU Xueming (CC-AS/EVA-SW2-CN)</t>
  </si>
  <si>
    <t>ZHANG Xuetao (CC-AS/EVA-SW31-CN)</t>
  </si>
  <si>
    <t>GAC_IB2_HADHAP_Int</t>
  </si>
  <si>
    <t>GEEA</t>
  </si>
  <si>
    <t>SGMW_ESP93_Mainstream_RBVH_Int</t>
  </si>
  <si>
    <t>BB81433 / BB81853</t>
  </si>
  <si>
    <t>BB81722</t>
  </si>
  <si>
    <t>BL06</t>
  </si>
  <si>
    <t>BL05_SP14</t>
  </si>
  <si>
    <t>GWM_NET_SCL_Rx_VAF.c</t>
  </si>
  <si>
    <t>SAIC_A_ARCH_CMP_ESP93_Carbon_Int\MainstreamF30\rb\as\saic\CpiwAPB\app\net\RBScl\EP22_M2\src\NET_BrkVamPumpSts.c</t>
  </si>
  <si>
    <t>SAIC_A_ARCH_CMP_ESP93_Carbon_Int\MainstreamF30\rb\as\saic\CpiwAPB\app\net\RBScl\EP22_M2\src\NET_Complex_SignalHandling.c</t>
  </si>
  <si>
    <t>SAIC_A_ARCH_CMP_ESP93_Carbon_Int\MainstreamF30\rb\as\saic\CpiwAPB\app\net\RBScl\Common\src\NET_InternalIF.c</t>
  </si>
  <si>
    <t>GWM_CP_Stream_Int\MainstreamF30\rb\as\gwm\core\app\net\scl\LDMFunctions\VAF\src\GWM_NET_SCL_Rx_VAF.c</t>
  </si>
  <si>
    <t>AB30 CP BS08sprint2</t>
  </si>
  <si>
    <t>GAC_Carbon_RPA_ESPHevx_Mainpath_BL06</t>
  </si>
  <si>
    <t>RBAPLCUST_RBDI_FBL.c</t>
  </si>
  <si>
    <t>RBAPLCUST_RDBI_BOM.c</t>
  </si>
  <si>
    <t>RBAPLCUST_ReadDTCInformation.c</t>
  </si>
  <si>
    <t>SGMW_RBA_NDS_PHEV_Callout.c</t>
  </si>
  <si>
    <t>1.0.160.10.1.13.2.1.1.1</t>
  </si>
  <si>
    <t>XU Zhuofan (CC-AS/EVA-SW33-CN)</t>
  </si>
  <si>
    <t>ZHOU Xiaoxi (CC-AS/EVA-SW31-CN)</t>
  </si>
  <si>
    <t>1479289.zip</t>
  </si>
  <si>
    <t>BL07 (BG1) Sprint4</t>
  </si>
  <si>
    <t>BB99308</t>
  </si>
  <si>
    <t>GAC_ESPHevX_HADHAP</t>
  </si>
  <si>
    <t>BB80433</t>
  </si>
  <si>
    <t>CHEN Steve (CC-AS/EVA-SW33-CN)</t>
  </si>
  <si>
    <t>Unable to cover DEFAULT case of switch( SsmState ) at line #339 because the enum SsmState only has 4 values. Cannot cover MCDC case T-T-F at line 179 becase when IMG_BRKMODE_STATUS false =&gt; line 71 false =&gt; line 139 never reach</t>
  </si>
  <si>
    <t>BB81614; BB99300; BB81296;BB99202</t>
  </si>
  <si>
    <t>BB80433; BB80431; BB81003</t>
  </si>
  <si>
    <t>SAIC_A_ARCH_CMP_ESP93_Carbon_Int\MainstreamF30\rb\as\saic\CpiwAPB\app\net\RBScl\EP22_M2\src\PATA_CAN.c</t>
  </si>
  <si>
    <t>SGMW_ESP93_Mainstream_RBVH_Int\MainstreamF30\rb\as\sgmw\CN210S\app\net\RBScl\RBScl_SGMW\src\NET_SCL_Tx_SGMW.c</t>
  </si>
  <si>
    <t>SGMW_ESP93_Mainstream_RBVH_Int\MainstreamF30\rb\as\sgmw\CN210S\app\net\RBScl\RBScl_SGMW\src\NET_SCL_Rx_SGMW_RemoteControl.c</t>
  </si>
  <si>
    <t>SGMW_ESP93_Mainstream_RBVH_Int\MainstreamF30\rb\as\sgmw\CN210S\app\net\RBScl\RBScl_SGMW\src\NET_SCL_Rx_SGMW.c</t>
  </si>
  <si>
    <t>SGMW_ESP93_Mainstream_RBVH_Int\MainstreamF30\rb\as\sgmw\CN210S\dcompr\src\RBFSWBootInterface_SGMW.c</t>
  </si>
  <si>
    <t>SGMW_ESP93_Mainstream_RBVH_Int\MainstreamF30\rb\as\sgmw\CN210S\dsmpr\src\RBPduHandler_Callouts.c</t>
  </si>
  <si>
    <t>SGMW_ESP93_Mainstream_RBVH_Int\MainstreamF30\rb\as\sgmw\CN210S\hswpr\tst\hswsim\src\TestEnvironment_NvM_CNMS_EV712048.c</t>
  </si>
  <si>
    <t>SGMW_ESP93_Mainstream_RBVH_Int\MainstreamF30\rb\as\sgmw\CN210S\hswpr\tst\hswsim\src\TestEnvironment_NvM_CNMS_EV712518.c</t>
  </si>
  <si>
    <t>SGMW_ESP93_Mainstream_RBVH_Int\MainstreamF30\rb\as\sgmw\CN210S\hswpr\tst\hswsim\src\TestEnvironment_NvM_CNMS_EV711009.c</t>
  </si>
  <si>
    <t>SGMW_ESP93_Mainstream_RBVH_Int\MainstreamF30\rb\as\sgmw\core\app\dcom\RBAPLCust\src\RBAPLCUST_DiagnosticSessionControl.c</t>
  </si>
  <si>
    <t>SGMW_ESP93_Mainstream_RBVH_Int\MainstreamF30\rb\as\sgmw\core\app\dcom\RBAPLCust\src\RBAPLCUST_RBDI_NVMData.c</t>
  </si>
  <si>
    <t>SGMW_ESP93_Mainstream_RBVH_Int\MainstreamF30\rb\as\sgmw\core\app\dcom\RBAPLCust\src\RBAPLCUST_WDBI_NVMData.c</t>
  </si>
  <si>
    <t>GWM_AB30_CP_Int\MainstreamF30\rb\as\gwm\core\app\dcom\RBAPLCust\src\common\RBAPLCUST_RBDI_FBL.c</t>
  </si>
  <si>
    <t>GWM_AB30_CP_Int\MainstreamF30\rb\as\gwm\core\app\dcom\RBAPLCust\src\common\RBAPLCUST_RDBI_BOM.c</t>
  </si>
  <si>
    <t>GWM_AB30_CP_Int\MainstreamF30\rb\as\gwm\core\app\dcom\RBAPLCust\src\common\RBAPLCUST_ReadDTCInformation.c</t>
  </si>
  <si>
    <t>GWM_AB30_CP_Int\MainstreamF30\rb\as\gwm\cp\app\dsm\RBVAR\BB80433\src\RBVAR_VarCode_PROJECT.c</t>
  </si>
  <si>
    <t>SGMW_ESP93_Carbon_Int\MainstreamF30\rb\as\sgmw\CN210S\app\net\RBScl\RBScl_SGMW\src\SGMW_RBA_NDS_PHEV_Callout.c</t>
  </si>
  <si>
    <t>Line 11, can’t check FALSE case with MCDC True&amp;&amp;False due to conflict with condition at line 1.</t>
  </si>
  <si>
    <t>+ At line #9, condition "BrkPedlSts == BrkPedlSts_OK" with FALSE case is can’t occur.
'+ Can't cover out max assignment to ScmAxTar at lines #7, #11, #15, #20, #24. Because max value of imported parameters "P_SCM_AxTar_Backup", "P_SCM_AxTar_FrontCrash", "P_SCM_AxTar_Fullbrake" is equal to zero.</t>
  </si>
  <si>
    <t>AEB_MaxActivationTime</t>
  </si>
  <si>
    <t>- Can't cover False case of if (retValue == E_OK) at line #87 because it's always true
- Can't cover if ((RBFS_uC == RBFS_uC_RenesasD3) &amp;&amp; (returnValue == E_OK)) case (T&amp;&amp;F) because returnValue is always equal E_OK
- Can't cover ful MCDCs at line #298, line #314, line #330, line #346 beacause all of them are macros</t>
  </si>
  <si>
    <t>FAW_C100_IPB1.1_BSS01</t>
  </si>
  <si>
    <t>ApbHostData_Project.c</t>
  </si>
  <si>
    <t>DcmAppl_Dcm_ProcessRequestDownload.c</t>
  </si>
  <si>
    <t>DcmAppl_DcmGetRemainingResponseLength.c</t>
  </si>
  <si>
    <t>DcmAppl_DcmGetRoeDTCInfo.c</t>
  </si>
  <si>
    <t>DcmAppl_DcmMemSizeCheckForTransferData.c</t>
  </si>
  <si>
    <t>DcmAppl_DcmStoreROEcycleCounter.c</t>
  </si>
  <si>
    <t>DcmAppl_DcmStoreRoeDidInfo.c</t>
  </si>
  <si>
    <t>DcmAppl_DcmStoreRoeDTCInfo.c</t>
  </si>
  <si>
    <t>DcmAppl_Switch_DcmResponseOnEvent.c</t>
  </si>
  <si>
    <t>RBAPLCUST_CNMSCORE_CallbackFun.c</t>
  </si>
  <si>
    <t>RBAPLCUST_DcmCommControlConditionCheck.c</t>
  </si>
  <si>
    <t>RBAPLCUST_DcmGetProgConditions.c</t>
  </si>
  <si>
    <t>RBAPLCUST_DcmGetStoreType.c</t>
  </si>
  <si>
    <t>RBAPLCUST_DcmManufacturerNotification.c</t>
  </si>
  <si>
    <t>RBAPLCUST_DcmSetProgConditions.c</t>
  </si>
  <si>
    <t>RBAPLCUST_DcmSwitchCommunicationControl.c</t>
  </si>
  <si>
    <t>RBAPLCUST_DcmSwitchDcmExecuteDscReset.c</t>
  </si>
  <si>
    <t>RBAPLCUST_ProjectSpecific_Routines.c</t>
  </si>
  <si>
    <t>RBAPLCUST_RDBI_ActuationState.c</t>
  </si>
  <si>
    <t>RBAPLCUST_RDBI_AnalogData.c</t>
  </si>
  <si>
    <t>RBAPLCUST_RDBI_BatteryVoltage.c</t>
  </si>
  <si>
    <t>RBAPLCUST_RDBI_CBDS.c</t>
  </si>
  <si>
    <t>RBAPLCUST_RDBI_IPBAssemblyMode.c</t>
  </si>
  <si>
    <t>RBAPLCUST_RDBI_PBC.c</t>
  </si>
  <si>
    <t>RBAPLCUST_RDBI_StatusInformation.c</t>
  </si>
  <si>
    <t>RBAPLCUST_RDBI_SystemData.c</t>
  </si>
  <si>
    <t>RBAPLCUST_RDBI_SystemSensor.c</t>
  </si>
  <si>
    <t>RBAPLCUST_RoutineControl.c</t>
  </si>
  <si>
    <t>RBAPLCUST_RoutineControl_ActuatorTest.c</t>
  </si>
  <si>
    <t>RBAPLCUST_RoutineControl_DynamicTest.c</t>
  </si>
  <si>
    <t>RBAPLCUST_RoutineControl_EvacAndFill.c</t>
  </si>
  <si>
    <t>RBAPLCUST_RoutineControl_iBoosterActuatorTest.c</t>
  </si>
  <si>
    <t>RBAPLCUST_RoutineControl_IPBAirMonitoring.c</t>
  </si>
  <si>
    <t>RBAPLCUST_RoutineControl_IPBBrakeFluidChange.c</t>
  </si>
  <si>
    <t>RBAPLCUST_RoutineControl_IPBComfortPulseCalibration.c</t>
  </si>
  <si>
    <t>RBAPLCUST_RoutineControl_IPBDynamicTest.c</t>
  </si>
  <si>
    <t>RBAPLCUST_RoutineControl_IPBEvacAndFill.c</t>
  </si>
  <si>
    <t>RBAPLCUST_RoutineControl_IPBLeakageAndAirTest.c</t>
  </si>
  <si>
    <t>RBAPLCUST_RoutineControl_IPBRepairBleed.c</t>
  </si>
  <si>
    <t>RBAPLCUST_RoutineControl_IPBRPSCalibration.c</t>
  </si>
  <si>
    <t>RBAPLCUST_RoutineControl_IPBTandemMasterCylinderTest.c</t>
  </si>
  <si>
    <t>RBAPLCUST_RoutineControl_RepairBleeding.c</t>
  </si>
  <si>
    <t>RBAPLCUST_ValvesToggling.c</t>
  </si>
  <si>
    <t>RBAPLCUST_WDBI_IPBAssemblyMode.c</t>
  </si>
  <si>
    <t>RBAPLOBD_Data.c</t>
  </si>
  <si>
    <t>RBAPLOBD_Global.c</t>
  </si>
  <si>
    <t>BB82026</t>
  </si>
  <si>
    <t>BSS01</t>
  </si>
  <si>
    <t>FAW_IPB1.1_Int</t>
  </si>
  <si>
    <t>ZHENG Fangfang (CC-AS/EVA-SW33-CN)</t>
  </si>
  <si>
    <t>Comment LV1</t>
  </si>
  <si>
    <t>GWM_AB30_CP_Int\MainstreamF30\rb\as\gwm\cp\app\net\RBScl\src\ComScl_Scl_Complex_proc.c</t>
  </si>
  <si>
    <t>GAC_IB2_HADHAP_Int\iBoosterGen2\rb\as\gaig\core\app\dsm\RBVAR\A20FPA\src\RBVAR_OutputDriver_PROJECT.c</t>
  </si>
  <si>
    <t>GAC_IB2_HADHAP_Int\iBoosterGen2\rb\as\gaig\core\app\dsm\RBVAR\A12FPA\src\RBVAR_OutputDriver_PROJECT.c</t>
  </si>
  <si>
    <t>BYD_IPB_BL05_Int\BYDIPB\rb\as\BYD\ipb\app\net\RBScl\src\rba_SCL_Settings.c</t>
  </si>
  <si>
    <t>FAW_IPB1.1_Int\FAW_IPB\rb\as\fawIPB\core\app\asw\apbmi\host\PDM\APBHostData_Project_C\SRC\ApbHostData_Project.c</t>
  </si>
  <si>
    <t>FAW_IPB1.1_Int\FAW_IPB\rb\as\fawIPB\core\app\dcom\Cubas\src\Dcm\DcmAppl_Dcm_ProcessRequestDownload.c</t>
  </si>
  <si>
    <t>FAW_IPB1.1_Int\FAW_IPB\rb\as\fawIPB\core\app\dcom\Cubas\src\Dcm\DcmAppl_DcmGetRemainingResponseLength.c</t>
  </si>
  <si>
    <t>FAW_IPB1.1_Int\FAW_IPB\rb\as\fawIPB\core\app\dcom\Cubas\src\Dcm\DcmAppl_DcmGetRoeDTCInfo.c</t>
  </si>
  <si>
    <t>FAW_IPB1.1_Int\FAW_IPB\rb\as\fawIPB\core\app\dcom\Cubas\src\Dcm\DcmAppl_DcmMemSizeCheckForTransferData.c</t>
  </si>
  <si>
    <t>FAW_IPB1.1_Int\FAW_IPB\rb\as\fawIPB\core\app\dcom\Cubas\src\Dcm\DcmAppl_DcmStoreROEcycleCounter.c</t>
  </si>
  <si>
    <t>FAW_IPB1.1_Int\FAW_IPB\rb\as\fawIPB\core\app\dcom\Cubas\src\Dcm\DcmAppl_DcmStoreRoeDidInfo.c</t>
  </si>
  <si>
    <t>FAW_IPB1.1_Int\FAW_IPB\rb\as\fawIPB\core\app\dcom\Cubas\src\Dcm\DcmAppl_DcmStoreRoeDTCInfo.c</t>
  </si>
  <si>
    <t>FAW_IPB1.1_Int\FAW_IPB\rb\as\fawIPB\core\app\dcom\Cubas\src\Dcm\DcmAppl_Switch_DcmResponseOnEvent.c</t>
  </si>
  <si>
    <t>FAW_IPB1.1_Int\FAW_IPB\rb\as\fawIPB\core\app\dcom\RBAPLCust\src\common\RBAPLCUST_CNMSCORE_CallbackFun.c</t>
  </si>
  <si>
    <t>FAW_IPB1.1_Int\FAW_IPB\rb\as\fawIPB\core\app\dcom\RBAPLCust\src\common\RBAPLCUST_DcmCommControlConditionCheck.c</t>
  </si>
  <si>
    <t>FAW_IPB1.1_Int\FAW_IPB\rb\as\fawIPB\core\app\dcom\RBAPLCust\src\common\RBAPLCUST_DcmGetProgConditions.c</t>
  </si>
  <si>
    <t>FAW_IPB1.1_Int\FAW_IPB\rb\as\fawIPB\core\app\dcom\RBAPLCust\src\common\RBAPLCUST_DcmGetStoreType.c</t>
  </si>
  <si>
    <t>FAW_IPB1.1_Int\FAW_IPB\rb\as\fawIPB\core\app\dcom\RBAPLCust\src\common\RBAPLCUST_DcmManufacturerNotification.c</t>
  </si>
  <si>
    <t>FAW_IPB1.1_Int\FAW_IPB\rb\as\fawIPB\core\app\dcom\RBAPLCust\src\common\RBAPLCUST_DcmSetProgConditions.c</t>
  </si>
  <si>
    <t>FAW_IPB1.1_Int\FAW_IPB\rb\as\fawIPB\core\app\dcom\RBAPLCust\src\common\RBAPLCUST_DcmSwitchCommunicationControl.c</t>
  </si>
  <si>
    <t>FAW_IPB1.1_Int\FAW_IPB\rb\as\fawIPB\core\app\dcom\RBAPLCust\src\common\RBAPLCUST_DcmSwitchDcmExecuteDscReset.c</t>
  </si>
  <si>
    <t>FAW_IPB1.1_Int\FAW_IPB\rb\as\fawIPB\core\app\dcom\RBAPLCust\src\common\RBAPLCUST_DiagnosticSessionControl.c</t>
  </si>
  <si>
    <t>FAW_IPB1.1_Int\FAW_IPB\rb\as\fawIPB\core\app\dcom\RBAPLCust\src\ESP\RBAPLCUST_InputOutputControl_GeneralFunctions.c</t>
  </si>
  <si>
    <t>FAW_IPB1.1_Int\FAW_IPB\rb\as\fawIPB\core\app\dcom\RBAPLCust\src\IPB\RBAPLCUST_InputOutputControl_GeneralFunctions.c</t>
  </si>
  <si>
    <t>FAW_IPB1.1_Int\FAW_IPB\rb\as\fawIPB\core\app\dcom\RBAPLCust\src\ESP\RBAPLCUST_ProjectSpecific_Routines.c</t>
  </si>
  <si>
    <t>FAW_IPB1.1_Int\FAW_IPB\rb\as\fawIPB\core\app\dcom\RBAPLCust\src\ESP\RBAPLCUST_RDBI_ActuationState.c</t>
  </si>
  <si>
    <t>FAW_IPB1.1_Int\FAW_IPB\rb\as\fawIPB\core\app\dcom\RBAPLCust\src\IPB\RBAPLCUST_RDBI_ActuationState.c</t>
  </si>
  <si>
    <t>FAW_IPB1.1_Int\FAW_IPB\rb\as\fawIPB\core\app\dcom\RBAPLCust\src\iBooster\RBAPLCUST_RDBI_AnalogData.c</t>
  </si>
  <si>
    <t>FAW_IPB1.1_Int\FAW_IPB\rb\as\fawIPB\core\app\dcom\RBAPLCust\src\common\RBAPLCUST_RDBI_BatteryVoltage.c</t>
  </si>
  <si>
    <t>FAW_IPB1.1_Int\FAW_IPB\rb\as\fawIPB\core\app\dcom\RBAPLCust\src\IPB\RBAPLCUST_RDBI_CBDS.c</t>
  </si>
  <si>
    <t>FAW_IPB1.1_Int\FAW_IPB\rb\as\fawIPB\core\app\dcom\RBAPLCust\src\ESP\RBAPLCUST_RDBI_IOCtrlState.c</t>
  </si>
  <si>
    <t>FAW_IPB1.1_Int\FAW_IPB\rb\as\fawIPB\core\app\dcom\RBAPLCust\src\IPB\RBAPLCUST_RDBI_IOCtrlState.c</t>
  </si>
  <si>
    <t>FAW_IPB1.1_Int\FAW_IPB\rb\as\fawIPB\core\app\dcom\RBAPLCust\src\IPB\RBAPLCUST_RDBI_IPBAssemblyMode.c</t>
  </si>
  <si>
    <t>FAW_IPB1.1_Int\FAW_IPB\rb\as\fawIPB\core\app\dcom\RBAPLCust\src\ESP\RBAPLCUST_RDBI_PBC.c</t>
  </si>
  <si>
    <t>FAW_IPB1.1_Int\FAW_IPB\rb\as\fawIPB\core\app\dcom\RBAPLCust\src\IPB\RBAPLCUST_RDBI_PBC.c</t>
  </si>
  <si>
    <t>FAW_IPB1.1_Int\FAW_IPB\rb\as\fawIPB\core\app\dcom\RBAPLCust\src\iBooster\RBAPLCUST_RDBI_StatusInformation.c</t>
  </si>
  <si>
    <t>FAW_IPB1.1_Int\FAW_IPB\rb\as\fawIPB\core\app\dcom\RBAPLCust\src\IPB\RBAPLCUST_RDBI_SystemData.c</t>
  </si>
  <si>
    <t>FAW_IPB1.1_Int\FAW_IPB\rb\as\fawIPB\core\app\dcom\RBAPLCust\src\ESP\RBAPLCUST_RDBI_SystemSensor.c</t>
  </si>
  <si>
    <t>FAW_IPB1.1_Int\FAW_IPB\rb\as\fawIPB\core\app\dcom\RBAPLCust\src\IPB\RBAPLCUST_RDBI_SystemSensor.c</t>
  </si>
  <si>
    <t>FAW_IPB1.1_Int\FAW_IPB\rb\as\fawIPB\core\app\dcom\RBAPLCust\src\common\RBAPLCUST_RoutineControl.c</t>
  </si>
  <si>
    <t>FAW_IPB1.1_Int\FAW_IPB\rb\as\fawIPB\core\app\dcom\RBAPLCust\src\ESP\RBAPLCUST_RoutineControl_ActuatorTest.c</t>
  </si>
  <si>
    <t>FAW_IPB1.1_Int\FAW_IPB\rb\as\fawIPB\core\app\dcom\RBAPLCust\src\ESP\RBAPLCUST_RoutineControl_ConditionCheck.c</t>
  </si>
  <si>
    <t>FAW_IPB1.1_Int\FAW_IPB\rb\as\fawIPB\core\app\dcom\RBAPLCust\src\ESP\RBAPLCUST_RoutineControl_DynamicTest.c</t>
  </si>
  <si>
    <t>FAW_IPB1.1_Int\FAW_IPB\rb\as\fawIPB\core\app\dcom\RBAPLCust\src\ESP\RBAPLCUST_RoutineControl_EvacAndFill.c</t>
  </si>
  <si>
    <t>FAW_IPB1.1_Int\FAW_IPB\rb\as\fawIPB\core\app\dcom\RBAPLCust\src\iBooster\RBAPLCUST_RoutineControl_iBoosterActuatorTest.c</t>
  </si>
  <si>
    <t>FAW_IPB1.1_Int\FAW_IPB\rb\as\fawIPB\core\app\dcom\RBAPLCust\src\IPB\RBAPLCUST_RoutineControl_IPBAirMonitoring.c</t>
  </si>
  <si>
    <t>FAW_IPB1.1_Int\FAW_IPB\rb\as\fawIPB\core\app\dcom\RBAPLCust\src\IPB\RBAPLCUST_RoutineControl_IPBBrakeFluidChange.c</t>
  </si>
  <si>
    <t>FAW_IPB1.1_Int\FAW_IPB\rb\as\fawIPB\core\app\dcom\RBAPLCust\src\IPB\RBAPLCUST_RoutineControl_IPBComfortPulseCalibration.c</t>
  </si>
  <si>
    <t>FAW_IPB1.1_Int\FAW_IPB\rb\as\fawIPB\core\app\dcom\RBAPLCust\src\IPB\RBAPLCUST_RoutineControl_IPBDynamicTest.c</t>
  </si>
  <si>
    <t>FAW_IPB1.1_Int\FAW_IPB\rb\as\fawIPB\core\app\dcom\RBAPLCust\src\IPB\RBAPLCUST_RoutineControl_IPBEvacAndFill.c</t>
  </si>
  <si>
    <t>FAW_IPB1.1_Int\FAW_IPB\rb\as\fawIPB\core\app\dcom\RBAPLCust\src\IPB\RBAPLCUST_RoutineControl_IPBLeakageAndAirTest.c</t>
  </si>
  <si>
    <t>FAW_IPB1.1_Int\FAW_IPB\rb\as\fawIPB\core\app\dcom\RBAPLCust\src\IPB\RBAPLCUST_RoutineControl_IPBRepairBleed.c</t>
  </si>
  <si>
    <t>FAW_IPB1.1_Int\FAW_IPB\rb\as\fawIPB\core\app\dcom\RBAPLCust\src\IPB\RBAPLCUST_RoutineControl_IPBRPSCalibration.c</t>
  </si>
  <si>
    <t>FAW_IPB1.1_Int\FAW_IPB\rb\as\fawIPB\core\app\dcom\RBAPLCust\src\IPB\RBAPLCUST_RoutineControl_IPBTandemMasterCylinderTest.c</t>
  </si>
  <si>
    <t>FAW_IPB1.1_Int\FAW_IPB\rb\as\fawIPB\core\app\dcom\RBAPLCust\src\ESP\RBAPLCUST_RoutineControl_RepairBleeding.c</t>
  </si>
  <si>
    <t>FAW_IPB1.1_Int\FAW_IPB\rb\as\fawIPB\core\app\dcom\RBAPLCust\src\IPB\RBAPLCUST_RoutineControl_WheelSpeedSensorTest.c</t>
  </si>
  <si>
    <t>FAW_IPB1.1_Int\FAW_IPB\rb\as\fawIPB\core\app\dcom\RBAPLCust\src\ESP\RBAPLCUST_RoutineControl_WheelSpeedSensorTest.c</t>
  </si>
  <si>
    <t>FAW_IPB1.1_Int\FAW_IPB\rb\as\fawIPB\core\app\dcom\RBAPLCust\src\ESP\RBAPLCUST_ValvesToggling.c</t>
  </si>
  <si>
    <t>FAW_IPB1.1_Int\FAW_IPB\rb\as\fawIPB\core\app\dcom\RBAPLCust\src\common\RBAPLCUST_VariandCode.c</t>
  </si>
  <si>
    <t>FAW_IPB1.1_Int\FAW_IPB\rb\as\fawIPB\core\app\dcom\RBAPLCust\src\IPB\RBAPLCUST_WDBI_IPBAssemblyMode.c</t>
  </si>
  <si>
    <t>FAW_IPB1.1_Int\FAW_IPB\rb\as\fawIPB\core\app\dcom\RBAPLOBD\src\RBAPLOBD_Data.c</t>
  </si>
  <si>
    <t>FAW_IPB1.1_Int\FAW_IPB\rb\as\fawIPB\core\app\dcom\RBAPLOBD\src\RBAPLOBD_Global.c</t>
  </si>
  <si>
    <t>FAW_IPB1.1_Int\FAW_IPB\rb\as\fawIPB\prj\dsmpr\RBEMM\src\RBEMM_Project.c</t>
  </si>
  <si>
    <t>RBEMM_Project.c</t>
  </si>
  <si>
    <t>WANG Hongpeng (CC-AS/EVA-SW33-CN)</t>
  </si>
  <si>
    <t>Actual LOC: 355.
Owner confirm it's not impact</t>
  </si>
  <si>
    <t>- Can't cover full MCDCs at line #135 case (T&amp;&amp;F). Because it has already covered by if at line #129
- Can't cover full MCDCs at line #130 case (F&amp;&amp;?)(F&amp;&amp;?) because decision (RBAPLCUST_RollerBenchSessionState == RBAPLCUST_RollerBenchSessionState_NOT_ACTIVE) and (RBAPLCUST_RollerBenchSessionState != RBAPLCUST_RollerBenchSessionState_NOT_ACTIVE) are confict</t>
  </si>
  <si>
    <t>No1. Line 93: if((C_GearboxType_Manual_N == ls_GearboxType_N) &amp;&amp; (RBFS_AutomatedParkingBrake == RBFS_AutomatedParkingBrake_Yes))
Detail: Can not cover (RBFS_AutomatedParkingBrake == RBFS_AutomatedParkingBrake_Yes) because RBFS_AutomatedParkingBrake is always set RBFS_AutomatedParkingBrake_Yes
No2. Line 150: if(l_SCL_AccelerationPedalPosition_UB &lt; C_MotPedalPosThrottleValve_Invalid_UB)
Detail: Can not cover true case because l_SCL_AccelerationPedalPosition_UB is ubyte, and C_MotPedalPosThrottleValve_Invalid_UB = 0x100. Therefore l_SCL_AccelerationPedalPosition_UB will never reached 0x100.
No3. Line 203: if(ls_HAS_SignalFailIndication_B)
Detail: Can not cover false case because "static BOOL  ls_HAS_SignalFailIndication_B = C_TestOk_b" is always set at line 185
No4. Line 371: if(ls_ACCAEBDecCtrlAct_SignalFailIndication_B)
Detail: Can not cover false case because "static BOOL  ls_ACCAEBDecCtrlAct_SignalFailIndication_B = C_TestOk_b;" is always set at line 331
No5. Line 508: if((l_ACC_MaxJerkAcce_SW &lt;= C_MaxValue_ACC_MaxJerkAcce_SW) &amp;&amp; (l_ACC_MaxJerkAcce_SW &gt;= C_MinValue_ACC_MaxJerkAcce_SW))
Detail: Can not cover false (l_ACC_MaxJerkAcce_SW &lt;= C_MaxValue_ACC_MaxJerkAcce_SW) because SCL_ACC_MaxJerkAcce_SGMW is sint8. Therefore l_ACC_MaxJerkAcce_SW will never reach out 127
    - #define SCL_ACC_MaxJerkAcce_SGMW rba_ComScl_RawSignal_MaxAlwGradofTarAcceleration_RX_s8
    - sint8 rba_ComScl_RawSignal_MaxAlwGradofTarAcceleration_RX_s8;
    - #define C_MaxValue_ACC_MaxJerkAcce_SW               127
No6. Line 643: if(ls_AmbientTemp_IC_SignalFailIndication_B)
Detail: Can not cover false case because "static BOOL  ls_AmbientTemp_IC_SignalFailIndication_B = C_TestOk_b;" is always set at line 602</t>
  </si>
  <si>
    <t>BYD_IPB_SW_Mainstream_BL05</t>
  </si>
  <si>
    <t>GAC_Carbon_Stream_ESPCP_STRGAC_C201_BL05</t>
  </si>
  <si>
    <t>GAC_Carbon_RPA_iBooster_Mainpath_BL04</t>
  </si>
  <si>
    <t>rba_AS_HWProt.c</t>
  </si>
  <si>
    <t>CCM_Callbacks_Project.c</t>
  </si>
  <si>
    <t>RBAPLCUST_SecurityAccess.c</t>
  </si>
  <si>
    <t>RBAPLCUST_RDBI_SystemSensor_GAC.c</t>
  </si>
  <si>
    <t>RBNET_ProjectSpecific_Monitoring.c</t>
  </si>
  <si>
    <t>BYD_IPB_SR_ST20</t>
  </si>
  <si>
    <t>GAC_ESPHevX_HADHAP_Int</t>
  </si>
  <si>
    <t>GAC_ESP93CP_Carbon_Int</t>
  </si>
  <si>
    <t>IPBCust_ECU_CSW_BB00000</t>
  </si>
  <si>
    <t>BB98153</t>
  </si>
  <si>
    <t>BB81116</t>
  </si>
  <si>
    <t>BB99300</t>
  </si>
  <si>
    <t>BL05</t>
  </si>
  <si>
    <t>BL04</t>
  </si>
  <si>
    <t>Deepika Rangarajan (RBEI/EBB7)</t>
  </si>
  <si>
    <t>HU Di (CC-AS/ESW2-CN)</t>
  </si>
  <si>
    <t>PAN Qi (CC-AS/EVA-SW31-CN)</t>
  </si>
  <si>
    <t>GAC_ESPHevX_HADHAP_Int\CNMSHevXHADHAP\rb\as\gaig\prj\dsmpr\src</t>
  </si>
  <si>
    <t>P3011RC2 H&amp;L and EC02RC1</t>
  </si>
  <si>
    <t>BS08sprint2</t>
  </si>
  <si>
    <t>ComScl_CalcCRC8.c</t>
  </si>
  <si>
    <t>NET_AliveCounterLib_CNMS.c</t>
  </si>
  <si>
    <t>Net_ChecksumLib.c</t>
  </si>
  <si>
    <t>NET_ChecksumLib_CNMS_Crc1850.c</t>
  </si>
  <si>
    <t>rba_InternalIF.c</t>
  </si>
  <si>
    <t>ASWIF09_CommonConfig_IPB.c</t>
  </si>
  <si>
    <t>DSMSim_PRJ_Specific.c</t>
  </si>
  <si>
    <t>RBDemVar_VariantHandling.c</t>
  </si>
  <si>
    <t>rba_NET_Global_variable.c</t>
  </si>
  <si>
    <t>RbOBD_CyclesHandler.c</t>
  </si>
  <si>
    <t>Dem.c</t>
  </si>
  <si>
    <t>rba_stm_Component_cfg.c</t>
  </si>
  <si>
    <t>RBSYSStub_LocksImpl.c</t>
  </si>
  <si>
    <t>CBDS_prjConfiguration.c</t>
  </si>
  <si>
    <t>MSI_SMM_MessageAdapter_iPB.c</t>
  </si>
  <si>
    <t>rba_STM_Processing_iPB.c</t>
  </si>
  <si>
    <t>RBDSM_SWT_ComponentSwitch.c</t>
  </si>
  <si>
    <t>RBDSM_SWT_MS_Node.c</t>
  </si>
  <si>
    <t>RBDSM_SWT_MS_STM.c</t>
  </si>
  <si>
    <t>RBRSS_ProjectConfiguration.c</t>
  </si>
  <si>
    <t>RBUBExtSupply_Main.c</t>
  </si>
  <si>
    <t>XCP_HSW_release_build.c</t>
  </si>
  <si>
    <t>GWM_NET_SCL_Rx_SCM.c</t>
  </si>
  <si>
    <t>NET_Torque_Callout_GWM.c</t>
  </si>
  <si>
    <t>RBAPLCUST_RoutineControl_PreconditionCheck.c</t>
  </si>
  <si>
    <t>-Owner confirm that's OK</t>
  </si>
  <si>
    <t>Comment LV1
No function to test</t>
  </si>
  <si>
    <t xml:space="preserve">At function “static boolean RBAPLCUST_RequestRollerBenchSession(boolean l_Active)”
Cannot cover MCDC because it’s conflict.
</t>
  </si>
  <si>
    <t>GAC_ESPHevX_HADHAP_Int\CNMSHevXHADHAP\rb\as\gaig\core\app\net\RBScl\src</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</si>
  <si>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
Can’t cover for true case of if(temp_retValue == E_OK) at line#412 because address of pointer Status_id is fixed (limit cantata, can’t set the fixed address).</t>
  </si>
  <si>
    <t>GAC_ESPHevX_HADHAP_Int\CNMSHevXHADHAP\rb\as\gaig\prj\dsmpr\src\RBEMM</t>
  </si>
  <si>
    <t>Waiting Owner</t>
  </si>
  <si>
    <t>GAC_IB2_HADHAP_Int\iBoosterGen2\rb\as\gaig\core\app\net\net_OBD_Off\RBComScl\src</t>
  </si>
  <si>
    <t>GAC_IB2_HADHAP_Int\iBoosterGen2\rb\as\gaig\prj\dsmpr\src</t>
  </si>
  <si>
    <t>- No have function to test</t>
  </si>
  <si>
    <t>Geely_ESP93_Carbon_Int\MainstreamF30\rba\Bldr\config\ApplicationLayer\rba_BldrCmp\src\</t>
  </si>
  <si>
    <t>Geely_ESP93_Carbon_Int\MainstreamF30\rba\Bldr\config\Infrastruct\rba_AS_HWProt\src\</t>
  </si>
  <si>
    <t>BYD_IPB_BL05_Int\BYDIPB\rb\as\BYD\ipb\app\dsm\RBVAR\src\</t>
  </si>
  <si>
    <t>BYD_IPB_SR_ST20\BYDIPB\rb\as\BYD\ipb\app\dsm\RBVAR\src\</t>
  </si>
  <si>
    <t>GAC_ESP93CP_Carbon_Int\MainstreamF30\rb\as\gaig\core\app\dcom\RBAPLCust\src\common\</t>
  </si>
  <si>
    <t>GAC_ESP93CP_Carbon_Int\MainstreamF30\rb\as\gaig\core\app\dcom\RBAPLCust\src\ESP\</t>
  </si>
  <si>
    <t>-Can’t check cover True-False case for the condition line 93 because the variable g_DCOM_ManufactoryMode is uint8, it have the maximum value is 0xFF and cannot bigger.</t>
  </si>
  <si>
    <t xml:space="preserve">#106, 146, 216 Cannot cover false case at line 106, 146, 216 because NMSG_HmiSignal_ABSMalfunction_UB_l, NMSG_HmiSignal_ASRMalfunction_UB_l, NMSG_HmiSignal_ESCMalfunction_UB_l are unsign type =&gt; cannot &lt; 0
 </t>
  </si>
  <si>
    <t xml:space="preserve">#Line42 Cannot cover MCDC case F-X-X at line 42 because when cover MCDC for X-X True =&gt; first conditon pMsgContext-&gt;reqDataLen != RBA_BLDRCMP_DID_MIN_LENGTH is always True
#Line86 Cannot cover switch case because not any case for switch
</t>
  </si>
  <si>
    <t>#Line43, 54, 65, 76 at line 43, 54, 65, 76 cannot cover C0/C1/MCDC because all variable are define value
#Line46 can not cover false case at line 46 because address can not lower than 0</t>
  </si>
  <si>
    <t>RN_SUV_CRBS_BSS7x_dev</t>
  </si>
  <si>
    <t>FAW_IPB1.1_Int\FAW_IPB\rb\as\fawIPB\core\app\net\RBNetPrj\RBNet_Can\src\ComScl_CalcCRC8.c</t>
  </si>
  <si>
    <t>FAW_IPB1.1_Int\FAW_IPB\rb\as\fawIPB\core\app\net\RBNetPrj\RBNet_Can\src\NET_AliveCounterLib_CNMS.c</t>
  </si>
  <si>
    <t>FAW_IPB1.1_Int\FAW_IPB\rb\as\fawIPB\core\app\net\Cubas\src\Net_ChecksumLib.c</t>
  </si>
  <si>
    <t>FAW_IPB1.1_Int\FAW_IPB\rb\as\fawIPB\core\app\net\RBNetPrj\RBNet_Can\src\NET_CheckSumLib_CNMS.c</t>
  </si>
  <si>
    <t>FAW_IPB1.1_Int\FAW_IPB\rb\as\fawIPB\core\app\net\RBNetPrj\RBNet_Can\src\NET_ChecksumLib_CNMS_Crc1850.c</t>
  </si>
  <si>
    <t>FAW_IPB1.1_Int\FAW_IPB\rb\as\fawIPB\core\app\net\Cubas\src\rba_InternalIF.c</t>
  </si>
  <si>
    <t>FAW_IPB1.1_Int\FAW_IPB\rb\as\fawIPB\prj\app\dsm\rbhmi\src\RBHMI_ConfigOutputDriver_IPB.C</t>
  </si>
  <si>
    <t>FAW_IPB1.1_Int\FAW_IPB\rb\as\fawIPB\prj\app\dsm\rbhmi\src\RBHMI_PresentStateCalculation_IPB.C</t>
  </si>
  <si>
    <t>FAW_IPB1.1_Int\FAW_IPB\rb\as\fawIPB\prj\app\dsm\rbhmi\src\RBHMI_StatesDefinitionTable_IPB.C</t>
  </si>
  <si>
    <t>FAW_IPB1.1_Int\FAW_IPB\rb\as\fawIPB\prj\app\dsm\rbhmi\src\RBHMI_Synchronisation_IPB.C</t>
  </si>
  <si>
    <t>FAW_IPB1.1_Int\FAW_IPB\rb\as\fawIPB\prj\app\dsm\RBDsmSim\RB_SimDsmCfg\stubs\src\ASWIF09_CommonConfig_IPB.c</t>
  </si>
  <si>
    <t>FAW_IPB1.1_Int\FAW_IPB\rb\as\fawIPB\prj\app\dsm\RBWarningIndicator\src\Dem_PrjSpecificIndiHandling.c</t>
  </si>
  <si>
    <t>FAW_IPB1.1_Int\FAW_IPB\rb\as\fawIPB\prj\app\dsm\RBDsmSim\RB_SimDsmCfg\PRJ_Specific\src\DSMSim_PRJ_Specific.c</t>
  </si>
  <si>
    <t>FAW_IPB1.1_Int\FAW_IPB\rb\as\fawIPB\prj\app\dsm\DemVar\src\RBDemVar_VariantHandling.c</t>
  </si>
  <si>
    <t>FAW_IPB1.1_Int\FAW_IPB\rb\as\fawIPB\prj\app\dsm\RBVAR\src\RBVAR_OutputDriver_PROJECT.c</t>
  </si>
  <si>
    <t>FAW_IPB1.1_Int\FAW_IPB\rb\as\fawIPB\prj\app\dsm\RBVAR\src\RBVAR_VarCode_PROJECT.c</t>
  </si>
  <si>
    <t>FAW_IPB1.1_Int\FAW_IPB\rb\as\fawIPB\prj\app\net\RBScl\src\rba_NET_Global_variable.c</t>
  </si>
  <si>
    <t>FAW_IPB1.1_Int\FAW_IPB\rb\as\fawIPB\prj\app\net\RBScl\src\RBNET_ProjectSpecific_Monitoring.c</t>
  </si>
  <si>
    <t>FAW_IPB1.1_Int\FAW_IPB\rb\as\fawIPB\prj\app\obd\ObdCyclesHandler\src\RbOBD_CyclesHandler.c</t>
  </si>
  <si>
    <t>FAW_IPB1.1_Int\FAW_IPB\rb\as\fawIPB\prj\app\sim\stubs\SRC\Dem.c</t>
  </si>
  <si>
    <t>FAW_IPB1.1_Int\FAW_IPB\rb\as\fawIPB\prj\app\sim\stubs\SRC\rba_stm_Component_cfg.c</t>
  </si>
  <si>
    <t>FAW_IPB1.1_Int\FAW_IPB\rb\as\fawIPB\prj\app\sim\stubs\SRC\RBSYSStub_LocksImpl.c</t>
  </si>
  <si>
    <t>FAW_IPB1.1_Int\FAW_IPB\rb\as\fawIPB\prj\cbdspr\src\CBDS_prjConfiguration.c</t>
  </si>
  <si>
    <t>FAW_IPB1.1_Int\FAW_IPB\rb\as\fawIPB\prj\dsmpr\src\RBMSI\src\MSI_SMM_MessageAdapter_iPB.c</t>
  </si>
  <si>
    <t>FAW_IPB1.1_Int\FAW_IPB\rb\as\fawIPB\prj\dsmpr\src\Cubas\rba_STM\src\rba_STM_Processing_iPB.c</t>
  </si>
  <si>
    <t>FAW_IPB1.1_Int\FAW_IPB\rb\as\fawIPB\prj\dsmpr\tst\CT\src\RBDSM_SWT_ComponentSwitch.c</t>
  </si>
  <si>
    <t>FAW_IPB1.1_Int\FAW_IPB\rb\as\fawIPB\prj\dsmpr\tst\CT\src\node\RBDSM_SWT_MS_Node.c</t>
  </si>
  <si>
    <t>FAW_IPB1.1_Int\FAW_IPB\rb\as\fawIPB\prj\dsmpr\tst\CT\src\stm\RBDSM_SWT_MS_STM.c</t>
  </si>
  <si>
    <t>FAW_IPB1.1_Int\FAW_IPB\rb\as\fawIPB\prj\dsmpr\src\RBRSS\src\RBRSS_ProjectConfiguration.c</t>
  </si>
  <si>
    <t>FAW_IPB1.1_Int\FAW_IPB\rb\as\fawIPB\prj\hswpr\src\RBUBExtSupply\src\RBUBExtSupply_Main.c</t>
  </si>
  <si>
    <t>FAW_IPB1.1_Int\FAW_IPB\rb\as\fawIPB\prj\netpr\src\XCP_HSW_release_build.c</t>
  </si>
  <si>
    <t>GWM_CP_Stream_Int\MainstreamF30\rb\as\gwm\core\app\net\scl\LDMFunctions\SCM\src\GWM_NET_SCL_Rx_SCM.c</t>
  </si>
  <si>
    <t>GWM_CP_Stream_Int\MainstreamF30\rb\as\gwm\core\app\net\scl\Callout\src\NET_Torque_Callout_GWM.c</t>
  </si>
  <si>
    <t>GWM_AB30_CP_Int\MainstreamF30\rb\as\gwm\core\app\dcom\RBAPLCust\src\common\RBAPLCUST_RoutineControl_PreconditionCheck.c</t>
  </si>
  <si>
    <t>Owner confirm no impact</t>
  </si>
  <si>
    <t>-No impact (Reuse OPL)</t>
  </si>
  <si>
    <t>Cannot cover branch "/*4WD ACC/AEB function variants: 1~4/7~8/11~20/22/24~32*/"  at line 330 because l_RBVarcode_ST.RBVarCode_UB &lt; 24.</t>
  </si>
  <si>
    <t>RBHMI_Synchronisation_F30.c</t>
  </si>
  <si>
    <t>GAC_ESPHevX_HADHAP\CNMSHevXHADHAP\rb\as\gaig\core\app\net\RBScl\src</t>
  </si>
  <si>
    <t>-Owner confirm is no impact</t>
  </si>
  <si>
    <t>Can't cover false case of else if ((HapticBraking_Status_l == HapticBrakingStatus_DemandApplied)) at line #376 and true case of else at line #384 because HapticBraking_Status_l is a boolean value.
Can't cover false case of if ((NMSG_HmiSignal_ESCMalfunction_UB_l&gt;= RBA_COMSCL_Minimum_APP_ESCMalfunction_SP0_SC2_Tx)) at line #1952 and true case of else at line #1973 because NMSG_HmiSignal_ESCMalfunction_UB_l must &gt;= 2(RBA_COMSCL_Minimum_APP_ESCMalfunction_SP0_SC2_Tx value) to reach the condtition at line #1950
Can't cover false case of if ((NMSG_HmiSignal_ASRMalfunction_UB_l&gt;= RBA_COMSCL_Minimum_APP_ASRMalfunction_SP0_SC2_Tx)) at line #2200 and true case of else at line #2343 because NMSG_HmiSignal_ASRMalfunction_UB_l must &gt;= 2(RBA_COMSCL_Minimum_APP_ASRMalfunction_SP0_SC2_Tx value) to reach the condtition at line #2320
Can't cover false case of if ((NMSG_HmiSignal_ABSMalfunction_UB_l&gt;= RBA_COMSCL_Minimum_APP_ABSMalfunction_SP0_SC2_Tx)) at line #2322 and true case of else at line #2221 because NMSG_HmiSignal_ABSMalfunction_UB_l must &gt;= 2(RBA_COMSCL_Minimum_APP_ABSMalfunction_SP0_SC2_Tx value) to reach the condtition at line #2199
Can't cover false case of if ((NMSG_HmiSignal_AYCMalfunction_UB_l&gt;= RBA_COMSCL_Minimum_APP_AYCMalfunction_SP0_SC2_Tx)) at line #2479 and true case of else at line #2500 because NMSG_HmiSignal_AYCMalfunction_UB_l must &gt;= 2(RBA_COMSCL_Minimum_APP_AYCMalfunction_SP0_SC2_Tx value) to reach the condtition at line #2477</t>
  </si>
  <si>
    <t>GAC_Carbon_RPA_ESPHevx_Mainpath_BL05</t>
  </si>
  <si>
    <t>LSM_ESP_IB_Parking_Function_Config_Check_GAC</t>
  </si>
  <si>
    <t>VlcLsm_ReleaseParkStateEval</t>
  </si>
  <si>
    <t>V (1.1)</t>
  </si>
  <si>
    <t>V (1.8.147316.2.315.0)</t>
  </si>
  <si>
    <t>QIU Liqi (CC-AS/EVA-SW2-CN)</t>
  </si>
  <si>
    <t xml:space="preserve">-Can't cover for condition because the false case for this is cover in above condition </t>
  </si>
  <si>
    <t>rb.as.core.app.dsm</t>
  </si>
  <si>
    <t>rb.as.RenNis.suv.app.net</t>
  </si>
  <si>
    <t>rba.as.Bldr.RenNisCMFB</t>
  </si>
  <si>
    <t>RBVoltageHandler_HydraulicVoltageSupplyCommon</t>
  </si>
  <si>
    <t>NET_RBANDS_UserDefinedFunctions</t>
  </si>
  <si>
    <t>rba_ComScl_Scl_VDC_A116C_FD_Tx</t>
  </si>
  <si>
    <t>rba_ComScl_Scl_VDC_A132_Tx</t>
  </si>
  <si>
    <t>rba_ComScl_Scl_VDCCHK_VDC2TOOL_1_Tx</t>
  </si>
  <si>
    <t>rba_BldrCMP_22ReadDataByIdentifier</t>
  </si>
  <si>
    <t>rba_BldrCMP_Cfg_EncryptDecryptHash</t>
  </si>
  <si>
    <t>rba_BldrCmp_Cfg_PrjFunctions</t>
  </si>
  <si>
    <t>MT_006</t>
  </si>
  <si>
    <t>MT_018</t>
  </si>
  <si>
    <t>MT_067</t>
  </si>
  <si>
    <t>MT_074</t>
  </si>
  <si>
    <t>MT_080</t>
  </si>
  <si>
    <t>MT_017</t>
  </si>
  <si>
    <t>MT_027</t>
  </si>
  <si>
    <t>MT_033</t>
  </si>
  <si>
    <t>RN_CARBON</t>
  </si>
  <si>
    <t>Contact-point: Chae Yunhe (CC-AS/ESJ1-JP) ; Ohsaka Hiroshi (CC-AS/ESJ1-JP)</t>
  </si>
  <si>
    <t xml:space="preserve">#Line 221: Cannot cover MCDC case T-F because when length &gt; bitsize =&gt; line 219  false =&gt; line 221 can not reach
</t>
  </si>
  <si>
    <t>Phan The Nam</t>
  </si>
  <si>
    <t>Nguyen Tran Hoang Huy</t>
  </si>
  <si>
    <t>Nguyen Minh Chuong</t>
  </si>
  <si>
    <t>chuong.nguyen-minh</t>
  </si>
  <si>
    <t>nam.phan-the</t>
  </si>
  <si>
    <t>huy.nguyen-hoang</t>
  </si>
  <si>
    <t>Not join project</t>
  </si>
  <si>
    <t>RBDHP_PumpMotorActuationTimeLimitation</t>
  </si>
  <si>
    <t>RBDHP_ValveActuationTimeLimitation</t>
  </si>
  <si>
    <t>RBWAU_AdditionalSources</t>
  </si>
  <si>
    <t>NET_Adaptive_DLC_NIS</t>
  </si>
  <si>
    <t>NET_GenericInterfaces</t>
  </si>
  <si>
    <t>NET_VarDef_REN</t>
  </si>
  <si>
    <t>rba_ComScl_DlcCbk</t>
  </si>
  <si>
    <t>rba_ComScl_RxSignalCopy</t>
  </si>
  <si>
    <t>rba_ComScl_Scl_ADAS_A12C_FD_Rx</t>
  </si>
  <si>
    <t>rba_ComScl_Scl_ADAS_A160_FD_Rx</t>
  </si>
  <si>
    <t>rba_ComScl_Scl_ADAS_A4_Rx</t>
  </si>
  <si>
    <t>rba_ComScl_Scl_ATCU_A108C_FD_Rx</t>
  </si>
  <si>
    <t>rba_ComScl_Scl_ATCU_A110C_FD_Rx</t>
  </si>
  <si>
    <t>rba_ComScl_Scl_AVM_A122_FD_Rx</t>
  </si>
  <si>
    <t>rba_ComScl_Scl_BCM_A110_Rx</t>
  </si>
  <si>
    <t>rba_ComScl_Scl_BCM_A113_Rx</t>
  </si>
  <si>
    <t>rba_ComScl_Scl_BCM_A8_Rx</t>
  </si>
  <si>
    <t>rba_ComScl_Scl_CDM_A103_FD_Rx</t>
  </si>
  <si>
    <t>rba_ComScl_Scl_EBA_A101_FD_Rx</t>
  </si>
  <si>
    <t>rba_ComScl_Scl_ECM_A110C_FD_Rx</t>
  </si>
  <si>
    <t>rba_ComScl_Scl_EPKB_A1_FD_Tx</t>
  </si>
  <si>
    <t>rba_ComScl_Scl_USM_A101C_FD_Rx</t>
  </si>
  <si>
    <t>rba_ComScl_Scl_VDC_A01C_FD_Tx</t>
  </si>
  <si>
    <t>rba_ComScl_Scl_VDC_A04C_FD_Tx</t>
  </si>
  <si>
    <t>rba_ComScl_Scl_VDC_A05C_FD_Tx</t>
  </si>
  <si>
    <t>rba_ComScl_Scl_VDC_A110C_FD_Tx</t>
  </si>
  <si>
    <t>rba_ComScl_Scl_VDC_A113C_FD_Tx</t>
  </si>
  <si>
    <t>rba_ComScl_Scl_VDC_A114_Tx</t>
  </si>
  <si>
    <t>rba_ComScl_Scl_VDC_A117C_FD_Tx</t>
  </si>
  <si>
    <t>rba_ComScl_Scl_VDC_A118_Tx</t>
  </si>
  <si>
    <t>rba_ComScl_Scl_VDC_A120_FD_Tx</t>
  </si>
  <si>
    <t>rba_ComScl_Scl_VDC_A133_Tx</t>
  </si>
  <si>
    <t>rba_ComScl_Scl_VDCCHK_VDC2TOOL_2_Tx</t>
  </si>
  <si>
    <t>rba_BldrCMP_10DiagnosticSessionControl</t>
  </si>
  <si>
    <t>rba_BldrCMP_11EcuReset</t>
  </si>
  <si>
    <t>rba_BldrCMP_19ReadDTCInformation</t>
  </si>
  <si>
    <t>rba_BldrCMP_27SecurityAccess</t>
  </si>
  <si>
    <t>rba_BldrCMP_2EWriteDataByIdentifier</t>
  </si>
  <si>
    <t>rba_BldrCMP_31RoutineControl</t>
  </si>
  <si>
    <t>rba_BldrCMP_34RequestDownload</t>
  </si>
  <si>
    <t>rba_BldrCMP_36TransferData</t>
  </si>
  <si>
    <t>rba_BldrCMP_37RequestTransferExit</t>
  </si>
  <si>
    <t>rba_BldrCmp_Cfg_FlashIf</t>
  </si>
  <si>
    <t>rba_BldrCMP_Cfg_NvmIf</t>
  </si>
  <si>
    <t>rba_BldrMemCpy</t>
  </si>
  <si>
    <t>rba_BldrPrj_Main</t>
  </si>
  <si>
    <t>rb.as.core.app.dhp</t>
  </si>
  <si>
    <t>rb.as.core.hwp.hsw.ecubase.functional.rbwau</t>
  </si>
  <si>
    <t>MT_002</t>
  </si>
  <si>
    <t>MT_004</t>
  </si>
  <si>
    <t>MT_008</t>
  </si>
  <si>
    <t>MT_013</t>
  </si>
  <si>
    <t>MT_015</t>
  </si>
  <si>
    <t>MT_019</t>
  </si>
  <si>
    <t>MT_024</t>
  </si>
  <si>
    <t>MT_032</t>
  </si>
  <si>
    <t>MT_034</t>
  </si>
  <si>
    <t>MT_036</t>
  </si>
  <si>
    <t>MT_037</t>
  </si>
  <si>
    <t>MT_038</t>
  </si>
  <si>
    <t>MT_039</t>
  </si>
  <si>
    <t>MT_040</t>
  </si>
  <si>
    <t>MT_041</t>
  </si>
  <si>
    <t>MT_042</t>
  </si>
  <si>
    <t>MT_043</t>
  </si>
  <si>
    <t>MT_045</t>
  </si>
  <si>
    <t>MT_047</t>
  </si>
  <si>
    <t>MT_049</t>
  </si>
  <si>
    <t>MT_051</t>
  </si>
  <si>
    <t>MT_059</t>
  </si>
  <si>
    <t>MT_060</t>
  </si>
  <si>
    <t>MT_061</t>
  </si>
  <si>
    <t>MT_062</t>
  </si>
  <si>
    <t>MT_064</t>
  </si>
  <si>
    <t>MT_065</t>
  </si>
  <si>
    <t>MT_066</t>
  </si>
  <si>
    <t>MT_068</t>
  </si>
  <si>
    <t>MT_069</t>
  </si>
  <si>
    <t>MT_070</t>
  </si>
  <si>
    <t>MT_075</t>
  </si>
  <si>
    <t>MT_081</t>
  </si>
  <si>
    <t>MT_014</t>
  </si>
  <si>
    <t>MT_016</t>
  </si>
  <si>
    <t>MT_020</t>
  </si>
  <si>
    <t>MT_021</t>
  </si>
  <si>
    <t>MT_022</t>
  </si>
  <si>
    <t>MT_023</t>
  </si>
  <si>
    <t>MT_028</t>
  </si>
  <si>
    <t>MT_031</t>
  </si>
  <si>
    <t>Delta&gt;New</t>
  </si>
  <si>
    <t>New</t>
  </si>
  <si>
    <t>Delta</t>
  </si>
  <si>
    <t>- Release phase 1: complete 5/28/2020</t>
  </si>
  <si>
    <t>RN_CARBON_BB80081</t>
  </si>
  <si>
    <t>RN_CARBON_BB80081_BLDR</t>
  </si>
  <si>
    <t>- No impact
Merged 2 test script =&gt; MCDC 100%</t>
  </si>
  <si>
    <t>- Can't reach the unreachable code (Developer comment in src code)</t>
  </si>
  <si>
    <t>RBAPLCUST_InputOutputControl.c</t>
  </si>
  <si>
    <t>CEVT_AEB_DecelReqOutRange</t>
  </si>
  <si>
    <t>ATM_ModeSelection</t>
  </si>
  <si>
    <t>May: 28</t>
  </si>
  <si>
    <t>May: 21, 22</t>
  </si>
  <si>
    <t xml:space="preserve">Missing of imported parameter P_ESP_ParkingFunction </t>
  </si>
  <si>
    <t>Can't cover for false case at line#114 of if(RBAPLCUST_OK == *ErrorCode).Because ErrorCode is always set to RBAPLCUST_OK.</t>
  </si>
  <si>
    <t>NET_SCL_Rx_Gear.c</t>
  </si>
  <si>
    <t>BB97958</t>
  </si>
  <si>
    <t>Geely_ESP93_Carbon_Int\MainstreamF30\rb\as\geely\CpiwAPB\app\net\RBScl\src\Rcv\NET_SCL_Rx_AEB.c</t>
  </si>
  <si>
    <t>Geely_ESP93_Carbon_Int\MainstreamF30\rb\as\geely\CpiwAPB\app\net\RBScl\src\Rcv\NET_SCL_Rx_Gear.c</t>
  </si>
  <si>
    <t>Comment LV1
Already have confirm of owner as previous phase</t>
  </si>
  <si>
    <t>l</t>
  </si>
  <si>
    <t>Wrong databasse =&gt; Fixed. Owner confirm no impact</t>
  </si>
  <si>
    <t>GAC_IB2_HADHAP_Int\iBoosterGen2\rb\as\gaig\prj\dsmpr\src\RBPduHandler_Callouts.c</t>
  </si>
  <si>
    <t>rb.as.core.app.asw.apbmi.host</t>
  </si>
  <si>
    <t>rb.as.core.hwp.hsw.ecubase.safety.rbsupplybase</t>
  </si>
  <si>
    <t>rb.as.core.hwp.hsw.rbapbbutton</t>
  </si>
  <si>
    <t>rb.as.core.hwp.hsw.rbapbmot</t>
  </si>
  <si>
    <t>rb.as.core.hwp.hsw.rbbutswi</t>
  </si>
  <si>
    <t>rb.as.core.hwp.hsw.rbmicapb</t>
  </si>
  <si>
    <t>rb.as.core.hwp.hsw.rbwss</t>
  </si>
  <si>
    <t>rb.as.core.hwp.hsw.ucbase.functional.rbsys</t>
  </si>
  <si>
    <t>rb.as.toy.cmpuhd.app.asw.hbcf</t>
  </si>
  <si>
    <t>rb.as.toy.cmpuhd.app.dsm.rbhmi</t>
  </si>
  <si>
    <t>rb.as.toy.cmpuhd.app.dsm</t>
  </si>
  <si>
    <t>rb.as.toy.cmpuhd.app.net</t>
  </si>
  <si>
    <t>rb.as.toy.cmpuhd.dsmpr</t>
  </si>
  <si>
    <t>rb.as.toy.cmpuhd.hswpr</t>
  </si>
  <si>
    <t>TOY_UHD_BL4.1_Integration17</t>
  </si>
  <si>
    <t>ApbCtrlAutoMode_PersistentData</t>
  </si>
  <si>
    <t>ApbCtrlAutoModeStandby_PersistentData</t>
  </si>
  <si>
    <t>RBSUPPLYBASE_CPPerformanceTest</t>
  </si>
  <si>
    <t>RBAB_ApbAsic_Safety</t>
  </si>
  <si>
    <t>RBAB_DigitalIO</t>
  </si>
  <si>
    <t>RBAB_DigitalIO_Safety</t>
  </si>
  <si>
    <t>RBAB_Sampler</t>
  </si>
  <si>
    <t>RBAB_SystemAsic</t>
  </si>
  <si>
    <t>RBAPBMOT_ApbEnable</t>
  </si>
  <si>
    <t>RBBUTSWI_BLS_Ana</t>
  </si>
  <si>
    <t>RBMICAPB_Dio</t>
  </si>
  <si>
    <t>RBMICAPB_Init</t>
  </si>
  <si>
    <t>RBWSS_DataCalc</t>
  </si>
  <si>
    <t>RBWSS_RotDir</t>
  </si>
  <si>
    <t>RBWSS_UnderVoltageMon</t>
  </si>
  <si>
    <t>RBWSS_WssConfig</t>
  </si>
  <si>
    <t>RBWSS_WssTest</t>
  </si>
  <si>
    <t>RBSYS_UnsupportedHW</t>
  </si>
  <si>
    <t>HBCFRunTime_PersistentData_TOYOTA</t>
  </si>
  <si>
    <t>RBHMI_ConfigOutputDriver_TOYOTA</t>
  </si>
  <si>
    <t>RBHMI_ExtendedStateCalculation_TOYOTA</t>
  </si>
  <si>
    <t>RBHMI_Synchronisation_TOYOTA</t>
  </si>
  <si>
    <t>Dem_PrjSpecificIndiHandling</t>
  </si>
  <si>
    <t>Dem_VarCodeHandling</t>
  </si>
  <si>
    <t>NET_CommunicationInvalidConfig</t>
  </si>
  <si>
    <t>rba_ComScl_Scl_Mappings</t>
  </si>
  <si>
    <t>rba_ComScl_SubSystemProc</t>
  </si>
  <si>
    <t>rba_ComScl_TxConfirmation</t>
  </si>
  <si>
    <t>SecOC_PduRIF</t>
  </si>
  <si>
    <t>SecOC_Prv</t>
  </si>
  <si>
    <t>SecOC_Prv_CryptIF</t>
  </si>
  <si>
    <t>DemLimiter_PRJ</t>
  </si>
  <si>
    <t>TOY_DEM_PermissionMode</t>
  </si>
  <si>
    <t>RBAPB_EPBSwitchIndicator_TOYOTA</t>
  </si>
  <si>
    <t>RBAVH_SwitchInput_TOYOTA</t>
  </si>
  <si>
    <t>RBBLA_RelayMonitoring_TOYOTA</t>
  </si>
  <si>
    <t>Delta/New</t>
  </si>
  <si>
    <t>MT_001</t>
  </si>
  <si>
    <t>MT_025</t>
  </si>
  <si>
    <t>MT_026</t>
  </si>
  <si>
    <t>MT_029</t>
  </si>
  <si>
    <t>MT_035</t>
  </si>
  <si>
    <t>MT_044</t>
  </si>
  <si>
    <t>MT_046</t>
  </si>
  <si>
    <t>MT_052</t>
  </si>
  <si>
    <t>MT_053</t>
  </si>
  <si>
    <t>MT_054</t>
  </si>
  <si>
    <t>MT_055</t>
  </si>
  <si>
    <t>MT_057</t>
  </si>
  <si>
    <t>MT_071</t>
  </si>
  <si>
    <t>MT_072</t>
  </si>
  <si>
    <t>MT_073</t>
  </si>
  <si>
    <t>MT_076</t>
  </si>
  <si>
    <t>MT_077</t>
  </si>
  <si>
    <t>MT_078</t>
  </si>
  <si>
    <t>MT_079</t>
  </si>
  <si>
    <t>MT_084</t>
  </si>
  <si>
    <t>MT_102</t>
  </si>
  <si>
    <t>MT_103</t>
  </si>
  <si>
    <t>MT_104</t>
  </si>
  <si>
    <t>MT_111</t>
  </si>
  <si>
    <t>BB80080</t>
  </si>
  <si>
    <t>ToyotaCMP</t>
  </si>
  <si>
    <t>Contact point: Dhanasekar Dhanapal (RBEI/ESJ-ATO) Dhanasekar.Dhanapal@in.bosch.com</t>
  </si>
  <si>
    <t>SAIC EP22 M2 noneDA ESP9.3 237432</t>
  </si>
  <si>
    <t>CTRL_ExtReqHandler</t>
  </si>
  <si>
    <t>PBC_SCUlockReq</t>
  </si>
  <si>
    <t>GM_ApbTextMessage_TRW</t>
  </si>
  <si>
    <t>2.5.147306.0</t>
  </si>
  <si>
    <t>1.0.147306.1</t>
  </si>
  <si>
    <t>1.0</t>
  </si>
  <si>
    <t>1493209.zip</t>
  </si>
  <si>
    <t>LI Xiaoyu (CC-AS/EVA-SW2-CN)</t>
  </si>
  <si>
    <t xml:space="preserve">Line#124 "Cannot cover MCDC case false of ""FALSE"" variable
Reason: It is hard code"
Line#154"Cannot cover MCDC case false of condition (*l_ProtectionState &amp; RBDHP_PROTECTIONSTATE_PumpMotorFailed) == RBDHP_PROTECTIONSTATE_PumpMotorFailed)
Reason: It is conflicted with condition line#135"
Line#186 "Cannot cover case false of condition (*l_ProtectionState &amp; RBDHP_PROTECTIONSTATE_PumpMotorFailed) == RBDHP_PROTECTIONSTATE_PumpMotorFailed)
Reason:  It is conflicted with condition line#167"
Line#198 "Cannot cover MCDC case fale of condition (*l_ProtectionState &amp; RBDHP_PROTECTIONSTATE_PumpMotorFailed)==RBDHP_PROTECTIONSTATE_PumpMotorFailed)
Reason: It is conflicted with condition line#140 &amp; line#191"
</t>
  </si>
  <si>
    <t>#449 "Cannot cover MCDC case false of ((*l_TimeLimitStatusMask) &amp; l_ValveMask) == l_ValveMask)
Reason: It is conflicted with line#440"
#684 "Cannot cover case fasle at this line.
Reason: It is conflicted with line#675"</t>
  </si>
  <si>
    <t>"Line#351, Line##354, Line#357
Line#626, Line#629, Line#632
Line#523, Line#526, Line#529" "Cannot cover all switch case in some Line.
Reason. The array not exits value for variables-switch case"</t>
  </si>
  <si>
    <t>#886, #892 "Cannot cover case TRUE at these lines.
Reason: NMSG_sOutputRodActRCV_ST_l is local variable, it doesn't receive value from any function or  message"
#519, #560 "Cannot cover MCDC case TRUE at these lines.
Reason: when RBNET_IsGADE_valid_UB = C_GADE_CATC_Fault_U, condition line#504, #505 will TRUE"</t>
  </si>
  <si>
    <t>BB80081</t>
  </si>
  <si>
    <t>Shift due date to morning next Monday due to owner resolve OPL late</t>
  </si>
  <si>
    <t>238688_Chery_IPB_T1DPHev_BL01</t>
  </si>
  <si>
    <t>241807_xPeng_D55_APBMi_ESP9.3_BSS01_STRXP_C201</t>
  </si>
  <si>
    <t>237281_GAC_A76_CarbonESP9.3CP_BL04_TestExecution</t>
  </si>
  <si>
    <t>206370_BYD_ESP9.3_New_Hybrid_MS15.1_BSS18</t>
  </si>
  <si>
    <t>238207_GAC_A20_CarbonESP9.3CPHD_BB81708_BL03</t>
  </si>
  <si>
    <t>MC_237270_GAC_A55CP_Carbon_ESP_BL02</t>
  </si>
  <si>
    <t>CBDS_IPB_Arbitration.c</t>
  </si>
  <si>
    <t>CBDS_IPB_Calculation.c</t>
  </si>
  <si>
    <t>CBDS_IPB_cbd_Arbitration.c</t>
  </si>
  <si>
    <t>CBDS_IPB_cbd_Calculation.c</t>
  </si>
  <si>
    <t>CBDS_IPB_cbd_DataPool.c</t>
  </si>
  <si>
    <t>CBDS_IPB_cbd_Events.c</t>
  </si>
  <si>
    <t>CBDS_IPB_Cfg.c</t>
  </si>
  <si>
    <t>CBDS_IPB_DataPool.c</t>
  </si>
  <si>
    <t>CBDS_IPB_Events.c</t>
  </si>
  <si>
    <t>CBDS_IPB_flm_Calculation.c</t>
  </si>
  <si>
    <t>CBDS_IPB_flm_Cfg.c</t>
  </si>
  <si>
    <t>CBDS_IPB_flm_Init.c</t>
  </si>
  <si>
    <t>CBDS_IPB_NvMandSettings.c</t>
  </si>
  <si>
    <t>CBDS_IPB_preSOP_Arbitration.c</t>
  </si>
  <si>
    <t>CBDS_IPB_preSOP_Calculation.c</t>
  </si>
  <si>
    <t>CBDS_IPB_preSOP_Cfg.c</t>
  </si>
  <si>
    <t>CBDS_IPB_preSOP_DataPool.c</t>
  </si>
  <si>
    <t>CBDS_IPB_preSOP_Events.c</t>
  </si>
  <si>
    <t>CBDS_prjArbitration.c</t>
  </si>
  <si>
    <t>CBDS_prjCalculation.c</t>
  </si>
  <si>
    <t>CBDS_prjDataPool.c</t>
  </si>
  <si>
    <t>CBDS_prjDemCallBack.c</t>
  </si>
  <si>
    <t>CBDS_prjEvents.c</t>
  </si>
  <si>
    <t>CBDS_prjInit.c</t>
  </si>
  <si>
    <t>CBDS_prjNvMandSettings.c</t>
  </si>
  <si>
    <t>RBAPLCUST_RDBI_BLS.c</t>
  </si>
  <si>
    <t>RBA_NDS_IPBPressure_Callout.c</t>
  </si>
  <si>
    <t>RBA_NDS_AxExport_AyExport_xPeng_Callout.c</t>
  </si>
  <si>
    <t>TPMS_Setting_Project.c</t>
  </si>
  <si>
    <t>RBNetYRS_Core.c</t>
  </si>
  <si>
    <t>RBNetYRS_Functions.c</t>
  </si>
  <si>
    <t>RBNetYRS_Rx_Scl_ID1.c</t>
  </si>
  <si>
    <t>RBNetYRS_Rx_Scl_ID2.c</t>
  </si>
  <si>
    <t>RBNetYRS_Rx_Scl_ID7.c</t>
  </si>
  <si>
    <t>RBNetYRS_Tx_Scl_ID0.c</t>
  </si>
  <si>
    <t>NET_SCL_Rx_GearBox.c</t>
  </si>
  <si>
    <t>NET_SCL_EngineIntervention_Torq_GAC.c</t>
  </si>
  <si>
    <t>NET_SCL_GAC_Complex_function.c</t>
  </si>
  <si>
    <t>NET_SCL_GAC_OBD.c</t>
  </si>
  <si>
    <t>RB_DNC_SCL_RX_TPMF.c</t>
  </si>
  <si>
    <t>Parking_Function_Selection</t>
  </si>
  <si>
    <t>Pata_EnvironmentVariables</t>
  </si>
  <si>
    <t>RBAPLCUST_Xpeng_RoutineControl_CheckProgPreconditions.c</t>
  </si>
  <si>
    <t>RBAPLCUST_XPengRDBI_NVMData.c</t>
  </si>
  <si>
    <t>RBAPLCUST_XPengWDBI_NVMData.c</t>
  </si>
  <si>
    <t>BB81143</t>
  </si>
  <si>
    <t>BL01</t>
  </si>
  <si>
    <t>Chery_IPB_Deuterium_Int</t>
  </si>
  <si>
    <t>ZHANG Ray (CC-AS/EVA-SW31-CN)</t>
  </si>
  <si>
    <t>XPENG_ESP_Carbon_D55_Int</t>
  </si>
  <si>
    <t>BSS01_STRXP_C201</t>
  </si>
  <si>
    <t>BB82086</t>
  </si>
  <si>
    <t>FENG Yinfei (CC-AS/EVA-SW31-CN)</t>
  </si>
  <si>
    <t>BL04_TestExecution</t>
  </si>
  <si>
    <t>BSS18</t>
  </si>
  <si>
    <t>LI Zhiyuan (CC-AS/EVA-SW31-CN)</t>
  </si>
  <si>
    <t>BB80911</t>
  </si>
  <si>
    <t>ZHANG Yu (CC-AS/EVA-SW31-CN)</t>
  </si>
  <si>
    <t>WANG Shuaishuai (CC-AS/EVA-SW31-CN)</t>
  </si>
  <si>
    <t>BL03</t>
  </si>
  <si>
    <t>BL02</t>
  </si>
  <si>
    <t>BB81449</t>
  </si>
  <si>
    <t>CUI Jin (CC-AS/EVA-SW1-CN)</t>
  </si>
  <si>
    <t>ZHANG Wenhao (CC-AS/EVA-SW2-CN)</t>
  </si>
  <si>
    <t>LESLIE PUTHOOR Milda (CC-AS/EVA-SW31-CN)</t>
  </si>
  <si>
    <t>5.0.146.5.301.0</t>
  </si>
  <si>
    <t>Lack ComponentName</t>
  </si>
  <si>
    <t>RBHMI_ConfigOutputDriver_IPB.c</t>
  </si>
  <si>
    <t>RBHMI_PresentStateCalculation_IPB.c</t>
  </si>
  <si>
    <t>RBHMI_StatesDefinitionTable_IPB.c</t>
  </si>
  <si>
    <t>RBHMI_Synchronisation_IPB.c</t>
  </si>
  <si>
    <t>BB98378; BB98379</t>
  </si>
  <si>
    <t>BB99856; BB99857</t>
  </si>
  <si>
    <t>BB81116; BB81175</t>
  </si>
  <si>
    <t>Component: xpeng is not correct =&gt; XPENG</t>
  </si>
  <si>
    <t>21-May</t>
  </si>
  <si>
    <r>
      <t>·</t>
    </r>
    <r>
      <rPr>
        <sz val="7"/>
        <color theme="1"/>
        <rFont val="Times New Roman"/>
        <family val="1"/>
      </rPr>
      <t xml:space="preserve">         </t>
    </r>
    <r>
      <rPr>
        <sz val="10"/>
        <color theme="1"/>
        <rFont val="Arial"/>
        <family val="2"/>
      </rPr>
      <t xml:space="preserve">Root cause: variable </t>
    </r>
    <r>
      <rPr>
        <sz val="10"/>
        <color rgb="FF000000"/>
        <rFont val="Courier New"/>
        <family val="3"/>
      </rPr>
      <t xml:space="preserve">pumpctrlstate </t>
    </r>
    <r>
      <rPr>
        <sz val="10"/>
        <color theme="1"/>
        <rFont val="Arial"/>
        <family val="2"/>
      </rPr>
      <t xml:space="preserve">is local variable and hard code is 0xFF, macro </t>
    </r>
    <r>
      <rPr>
        <sz val="10"/>
        <color rgb="FF000000"/>
        <rFont val="Courier New"/>
        <family val="3"/>
      </rPr>
      <t xml:space="preserve">RBAPLCUST_EVACANDFILL_PUMPMOTORON </t>
    </r>
    <r>
      <rPr>
        <sz val="10"/>
        <color theme="1"/>
        <rFont val="Arial"/>
        <family val="2"/>
      </rPr>
      <t>define is 0xFF.</t>
    </r>
  </si>
  <si>
    <t>Comment LV1. Wrong componentname : rbaplcust -&gt; RBAPLCust</t>
  </si>
  <si>
    <t>Chery_IPB_Deuterium_Int\chery_IPB\rb\as\cheryIPB\prj\app\net\RBScl\src\RBA_NDS_IPBPressure_Callout.c</t>
  </si>
  <si>
    <t>Chery_IPB_Deuterium_Int\chery_IPB\rb\as\cheryIPB\core\app\net\RBNetPrj\RBNet_Can\src\NET_CheckSumLib_CNMS.c</t>
  </si>
  <si>
    <t>XPENG_ESP_Carbon_D55_Int\MainstreamF30\rb\as\XPENG\D55\app\net\RBScl\src\RBA_NDS_AxExport_AyExport_xPeng_Callout.c</t>
  </si>
  <si>
    <t>XPENG_ESP_Carbon_D55_Int\MainstreamF30\rb\as\XPENG\D55\app\net\RBScl\src\SAS_LWS_Standard.c</t>
  </si>
  <si>
    <t>GAC_ESP93CP_Carbon_Int\MainstreamF30\rb\as\gaig\A12ESP\app\dsm\RBVAR\BB_81116A76CP\src\RBVAR_OutputDriver_PROJECT.c</t>
  </si>
  <si>
    <t>GAC_ESP93CP_Carbon_Int\MainstreamF30\rb\as\gaig\A12ESP\app\dsm\RBVAR\BB_81175A36CP\src\RBVAR_OutputDriver_PROJECT.c</t>
  </si>
  <si>
    <t>BYD_ESP93_Int\MainstreamF30\rb\as\BYD\Mainstream151\app\net\RbNetPrj\RBNet_Can\src\rba_SCL_Settings.c</t>
  </si>
  <si>
    <t>BYD_ESP93_Int\MainstreamF30\rb\as\BYD\Mainstream151\app\net\Scl\LDMFunctions\TPMS\src\TPMS_Setting_Project.c</t>
  </si>
  <si>
    <t>GAC_ESP93CP_Carbon_Int\MainstreamF30\rb\as\cnms_core\app\net\scl_callout\src\RBA_NDS_Engine_Callout.c</t>
  </si>
  <si>
    <t>GAC_ESP93CP_Carbon_Int\MainstreamF30\rb\as\core\app\net\RBNetYRS\src\RBNetYRS_Core.c</t>
  </si>
  <si>
    <t>GAC_ESP93CP_Carbon_Int\MainstreamF30\rb\as\core\app\net\RBNetYRS\src\RBNetYRS_Functions.c</t>
  </si>
  <si>
    <t>GAC_ESP93CP_Carbon_Int\MainstreamF30\rb\as\core\app\net\RBNetYRS\src\RBNetYRS_Rx_Scl_ID1.c</t>
  </si>
  <si>
    <t>GAC_ESP93CP_Carbon_Int\MainstreamF30\rb\as\core\app\net\RBNetYRS\src\RBNetYRS_Rx_Scl_ID2.c</t>
  </si>
  <si>
    <t>GAC_ESP93CP_Carbon_Int\MainstreamF30\rb\as\core\app\net\RBNetYRS\src\RBNetYRS_Rx_Scl_ID7.c</t>
  </si>
  <si>
    <t>GAC_ESP93CP_Carbon_Int\MainstreamF30\rb\as\core\app\net\RBNetYRS\src\RBNetYRS_Tx_Scl_ID0.c</t>
  </si>
  <si>
    <t>GAC_ESP93CP_Carbon_Int\MainstreamF30\rb\as\gaig\A12ESP\app\net\RBScl\RBScl_GAC\src\NET_Monitoring.c</t>
  </si>
  <si>
    <t>GAC_ESP93CP_Carbon_Int\MainstreamF30\rb\as\gaig\A12ESP\app\net\RBScl\RBScl_GAC\src\NET_SCL_Rx_GearBox.c</t>
  </si>
  <si>
    <t>GAC_ESP93CP_Carbon_Int\MainstreamF30\rb\as\gaig\A12ESP\app\net\RBScl\RBScl_GAC\src\NET_SCL_EngineIntervention_Torq_GAC.c</t>
  </si>
  <si>
    <t>GAC_ESP93CP_Carbon_Int\MainstreamF30\rb\as\gaig\A12ESP\app\net\RBScl\RBScl_GAC\src\NET_SCL_GAC_Complex_function.c</t>
  </si>
  <si>
    <t>GAC_ESP93CP_Carbon_Int\MainstreamF30\rb\as\gaig\A12ESP\app\net\RBScl\RBScl_GAC\src\NET_SCL_GAC_OBD.c</t>
  </si>
  <si>
    <t>GAC_ESP93CP_Carbon_Int\MainstreamF30\rb\as\gaig\A12ESP\app\net\RBScl\RBScl_GAC\src\RB_DNC_SCL_RX_TPMF.c</t>
  </si>
  <si>
    <t>GAC_ESP93CP_Carbon_Int\MainstreamF30\rb\as\gaig\A12ESP\dsmpr\src\RBPduHandler_Callouts.c</t>
  </si>
  <si>
    <t>GAC_ESP93CP_Carbon_Int\MainstreamF30\rb\as\gaig\A12ESP\dsmpr\src\RBEMM\CCM_Callbacks_Project.c</t>
  </si>
  <si>
    <t>GAC_ESP93CP_Carbon_Int\MainstreamF30\rb\as\gaig\A12ESP\app\dsm\RBVAR\BB_81262A20CP\src\RBVAR_OutputDriver_PROJECT.c</t>
  </si>
  <si>
    <t>GAC_ESP93CP_Carbon_Int\MainstreamF30\rb\as\gaig\A12ESP\app\dsm\RBVAR\BB_81262A20CP\src\RBVAR_VarCode_PROJECT.c</t>
  </si>
  <si>
    <t>GAC_ESP93CP_Carbon_Int\MainstreamF30\rb\as\gaig\A12ESP\app\dsm\RBVAR\BB_81708A20HD\src\RBVAR_OutputDriver_PROJECT.c</t>
  </si>
  <si>
    <t>GAC_ESP93CP_Carbon_Int\MainstreamF30\rb\as\gaig\A12ESP\app\dsm\RBVAR\BB_81708A20HD\src\RBVAR_VarCode_PROJECT.c</t>
  </si>
  <si>
    <t>GAC_ESPHevX_HADHAP_Int\CNMSHevXHADHAP\rb\as\gaig\prj\dsmpr\src\RBPduHandler_Callouts.c</t>
  </si>
  <si>
    <t>XPENG_ESP_Carbon_D55_Int\MainstreamF30\rb\as\XPENG\core\app\dcom\RBAPLCust\src\common\RBAPLCUST_Xpeng_RoutineControl_CheckProgPreconditions.c</t>
  </si>
  <si>
    <t>XPENG_ESP_Carbon_D55_Int\MainstreamF30\rb\as\XPENG\core\app\dcom\RBAPLCust\src\common\RBAPLCUST_XPengRDBI_NVMData.c</t>
  </si>
  <si>
    <t>XPENG_ESP_Carbon_D55_Int\MainstreamF30\rb\as\XPENG\core\app\dcom\RBAPLCust\src\common\RBAPLCUST_XPengWDBI_NVMData.c</t>
  </si>
  <si>
    <t>FAW_IPB1.1_Int\FAW_IPB\rb\as\fawIPB\prj\app\cbds\src\IPB\CBDS_IPB_Arbitration.c</t>
  </si>
  <si>
    <t>FAW_IPB1.1_Int\FAW_IPB\rb\as\fawIPB\prj\app\cbds\src\IPB\CBDS_IPB_Calculation.c</t>
  </si>
  <si>
    <t>FAW_IPB1.1_Int\FAW_IPB\rb\as\fawIPB\prj\app\cbds\src\IPB\cbd\CBDS_IPB_cbd_Arbitration.c</t>
  </si>
  <si>
    <t>FAW_IPB1.1_Int\FAW_IPB\rb\as\fawIPB\prj\app\cbds\src\IPB\cbd\CBDS_IPB_cbd_Calculation.c</t>
  </si>
  <si>
    <t>FAW_IPB1.1_Int\FAW_IPB\rb\as\fawIPB\prj\app\cbds\src\IPB\cbd\CBDS_IPB_cbd_DataPool.c</t>
  </si>
  <si>
    <t>FAW_IPB1.1_Int\FAW_IPB\rb\as\fawIPB\prj\app\cbds\src\IPB\cbd\CBDS_IPB_cbd_Events.c</t>
  </si>
  <si>
    <t>FAW_IPB1.1_Int\FAW_IPB\rb\as\fawIPB\prj\app\cbds\src\IPB\CBDS_IPB_Cfg.c</t>
  </si>
  <si>
    <t>FAW_IPB1.1_Int\FAW_IPB\rb\as\fawIPB\prj\app\cbds\src\IPB\CBDS_IPB_DataPool.c</t>
  </si>
  <si>
    <t>FAW_IPB1.1_Int\FAW_IPB\rb\as\fawIPB\prj\app\cbds\src\IPB\CBDS_IPB_Events.c</t>
  </si>
  <si>
    <t>FAW_IPB1.1_Int\FAW_IPB\rb\as\fawIPB\prj\app\cbds\src\IPB\flm\CBDS_IPB_flm_Calculation.c</t>
  </si>
  <si>
    <t>FAW_IPB1.1_Int\FAW_IPB\rb\as\fawIPB\prj\app\cbds\src\IPB\flm\CBDS_IPB_flm_Cfg.c</t>
  </si>
  <si>
    <t>FAW_IPB1.1_Int\FAW_IPB\rb\as\fawIPB\prj\app\cbds\src\IPB\flm\CBDS_IPB_flm_Init.c</t>
  </si>
  <si>
    <t>FAW_IPB1.1_Int\FAW_IPB\rb\as\fawIPB\prj\app\cbds\src\IPB\CBDS_IPB_NvMandSettings.c</t>
  </si>
  <si>
    <t>FAW_IPB1.1_Int\FAW_IPB\rb\as\fawIPB\prj\app\cbds\src\IPB\cbd\preSOP\CBDS_IPB_preSOP_Arbitration.c</t>
  </si>
  <si>
    <t>FAW_IPB1.1_Int\FAW_IPB\rb\as\fawIPB\prj\app\cbds\src\IPB\cbd\preSOP\CBDS_IPB_preSOP_Calculation.c</t>
  </si>
  <si>
    <t>FAW_IPB1.1_Int\FAW_IPB\rb\as\fawIPB\prj\app\cbds\src\IPB\cbd\preSOP\CBDS_IPB_preSOP_Cfg.c</t>
  </si>
  <si>
    <t>FAW_IPB1.1_Int\FAW_IPB\rb\as\fawIPB\prj\app\cbds\src\IPB\cbd\preSOP\CBDS_IPB_preSOP_DataPool.c</t>
  </si>
  <si>
    <t>FAW_IPB1.1_Int\FAW_IPB\rb\as\fawIPB\prj\app\cbds\src\IPB\cbd\preSOP\CBDS_IPB_preSOP_Events.c</t>
  </si>
  <si>
    <t>FAW_IPB1.1_Int\FAW_IPB\rb\as\fawIPB\prj\app\cbds\src\CBDS_prjArbitration.c</t>
  </si>
  <si>
    <t>FAW_IPB1.1_Int\FAW_IPB\rb\as\fawIPB\prj\app\cbds\src\CBDS_prjCalculation.c</t>
  </si>
  <si>
    <t>FAW_IPB1.1_Int\FAW_IPB\rb\as\fawIPB\prj\app\cbds\src\CBDS_prjDataPool.c</t>
  </si>
  <si>
    <t>FAW_IPB1.1_Int\FAW_IPB\rb\as\fawIPB\prj\app\cbds\src\CBDS_prjDemCallBack.c</t>
  </si>
  <si>
    <t>FAW_IPB1.1_Int\FAW_IPB\rb\as\fawIPB\prj\app\cbds\src\CBDS_prjEvents.c</t>
  </si>
  <si>
    <t>FAW_IPB1.1_Int\FAW_IPB\rb\as\fawIPB\prj\app\cbds\src\CBDS_prjInit.c</t>
  </si>
  <si>
    <t>FAW_IPB1.1_Int\FAW_IPB\rb\as\fawIPB\prj\app\cbds\src\CBDS_prjNvMandSettings.c</t>
  </si>
  <si>
    <t>FAW_IPB1.1_Int\FAW_IPB\rb\as\fawIPB\core\app\dcom\RBAPLCust\src\common\RBAPLCUST_RDBI_BLS.c</t>
  </si>
  <si>
    <t>FAW_IPB1.1_Int\FAW_IPB\rb\as\fawIPB\core\app\dcom\RBAPLCust\src\common\RBAPLCUST_SecurityAccess.c</t>
  </si>
  <si>
    <t>-Can't cover fully MCDC at line#114, #119
, No impact</t>
  </si>
  <si>
    <t xml:space="preserve">-Condition RBAPLEOL_IPBFillSeq == SelectionofEvacandFillPhase at the line 118 is always TRUE, so lead to the coverage MCDC is not fully.
Root cause: Conflict with condition at the line 113.
</t>
  </si>
  <si>
    <t>AEB_DefineAxTar</t>
  </si>
  <si>
    <t>HDC_DownhillDetection_CN</t>
  </si>
  <si>
    <t>Add DSD ID into test design + dsd review file</t>
  </si>
  <si>
    <t>China Main Stream</t>
  </si>
  <si>
    <t>GEEA2.0_ESP9.3_CMP_BL07 (BG1) Sprint 4</t>
  </si>
  <si>
    <t>1458019.axl</t>
  </si>
  <si>
    <t>4.2.146.0</t>
  </si>
  <si>
    <t>4.1.160.9</t>
  </si>
  <si>
    <t>CAO Cheng (CC-AS/ESW5-CN)</t>
  </si>
  <si>
    <t>-Can’t cover TRUE case at the line#97 with MCDC:  FALSE || TRUE due to variable pumpctrlstate is local variable and hard code is 0xFF, macro RBAPLCUST_EVACANDFILL_PUMPMOTORON define is 0xFF.</t>
  </si>
  <si>
    <t xml:space="preserve">1. Can’t cover case T &amp;&amp; F of decision else if ((ls_NeturalGearVd_B == TRUE) &amp;&amp; (ls_ReverseGearVd_B == FALSE)) at line #476
2. Can’t cover case F &amp;&amp; ? of decision else if ((ls_NeturalGearVd_B == FALSE) &amp;&amp; (ls_ReverseGearVd_B == TRUE)) at line #481
</t>
  </si>
  <si>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</si>
  <si>
    <t>BB81262</t>
  </si>
  <si>
    <t>BB81708</t>
  </si>
  <si>
    <t>Actual LOC: 948</t>
  </si>
  <si>
    <t>Owner confirm no impact.</t>
  </si>
  <si>
    <t>BAIC_N60_iBooster</t>
  </si>
  <si>
    <t>RBRIS_MainHandler.c</t>
  </si>
  <si>
    <t>DOP_PedalOscillationDetection</t>
  </si>
  <si>
    <t>BL72_SP02</t>
  </si>
  <si>
    <t>16.1.147310.0</t>
  </si>
  <si>
    <t>BAIC_MainPath_HevX_Int.zip</t>
  </si>
  <si>
    <t>VSA_ECU_CSW_BB00000.axl</t>
  </si>
  <si>
    <t>BAIC_MainPath_HevX_Int\BAICHevX\rb\as\baic\prj\dsmpr\src\RBEMM\CCM_Callbacks_Project.c</t>
  </si>
  <si>
    <t>BAIC_MainPath_HevX_Int\BAICHevX\rb\as\cnms_core\app\net\scl_callout\src\RBA_NDS_CIM_0x310_Callout.c</t>
  </si>
  <si>
    <t>BAIC_MainPath_HevX_Int\BAICHevX\rb\as\baic\baic_core\app\net\RBScl\src\RBRIS_MainHandler.c</t>
  </si>
  <si>
    <t>BAIC_MainPath_HevX_Int\BAICHevX\rb\as\cnms_core\app\net\scl_callout\src\RBA_NDS_ESP_0x264_Callout.c</t>
  </si>
  <si>
    <t>BAIC_C62XP_HevX_BL62</t>
  </si>
  <si>
    <t>APA_TransStateMachine</t>
  </si>
  <si>
    <t>APA_ApbRequest</t>
  </si>
  <si>
    <t>1.11.146310.10</t>
  </si>
  <si>
    <t>1.1.147303.1.146310.0</t>
  </si>
  <si>
    <t>WANG Mingyuan (CC-AS/EVA-SW2-CN)</t>
  </si>
  <si>
    <t>BL62</t>
  </si>
  <si>
    <t>-Can't cover for false condition, don't need to raise OPL, behaviour is correct</t>
  </si>
  <si>
    <t>BYD_IPB_SW_Mainstream_BL05_SP15</t>
  </si>
  <si>
    <t>ZNA_P15_CE18_ESP9.3_BSS06SP1</t>
  </si>
  <si>
    <t>235537_CA_C385_EV_ESPhev_BSS02SP01</t>
  </si>
  <si>
    <t>SAIC_ZS12HEV_noneDA_ESP93_241954</t>
  </si>
  <si>
    <t>EC_245950_NIO_ESX_ESPHevX_DTC_BSS04_SP04</t>
  </si>
  <si>
    <t>MC_239507_SGMW_CN210S_PHEV_ESP9.3CPi</t>
  </si>
  <si>
    <t>GEELY_SS11ABS9.3_BL02_SP03</t>
  </si>
  <si>
    <t>SspSas_RBSASCalibration</t>
  </si>
  <si>
    <t>NET_SCL_InitPrc_CNMS.c</t>
  </si>
  <si>
    <t>RBVLV_TTNo_Defines_ATIEV.c</t>
  </si>
  <si>
    <t>RBVLV_TTNo_Defines_CA.c</t>
  </si>
  <si>
    <t>RBVLV_TTNo_Defines_FAWC.c</t>
  </si>
  <si>
    <t>RBVLV_TTNo_Defines_FORD.c</t>
  </si>
  <si>
    <t>RBVLV_TTNo_Defines_GEELY.c</t>
  </si>
  <si>
    <t>RBVLV_TTNo_Defines_MB-PC.c</t>
  </si>
  <si>
    <t>RBVLV_TTNo_Defines_NIS.c</t>
  </si>
  <si>
    <t>RBVLV_TTNo_Defines_not_affected_Customers.c</t>
  </si>
  <si>
    <t>RBVLV_TTNo_Defines_PSA.c</t>
  </si>
  <si>
    <t>RBVLV_TTNo_Defines_REN.c</t>
  </si>
  <si>
    <t>RBVLV_TTNo_Defines_SAIC.c</t>
  </si>
  <si>
    <t>RBVLV_TTNo_Defines_SGM.c</t>
  </si>
  <si>
    <t>RBVLV_TTNo_Defines_TOY.c</t>
  </si>
  <si>
    <t>RBVLV_TTNo_Defines_VW.c</t>
  </si>
  <si>
    <t>TestEnvironment_Fee_P15CE18.c</t>
  </si>
  <si>
    <t>Dem_VarCodeHandling.c</t>
  </si>
  <si>
    <t>NET_SCL_Tx_SystemInfo_NextEV.c</t>
  </si>
  <si>
    <t>rba_BldrCmp_Cfg_Functions.c</t>
  </si>
  <si>
    <t>rba_BldrCmp_Cfg_NvmIf.c</t>
  </si>
  <si>
    <t>POONELIL JOSE Bijo (CC-AS/ESW5-CN)</t>
  </si>
  <si>
    <t>BL05_SP15</t>
  </si>
  <si>
    <t>ZZN_ESP93_Mainstream_Int</t>
  </si>
  <si>
    <t>BB80996</t>
  </si>
  <si>
    <t>Nguyen Hoang Huong Giang (RBVH/EAS11)</t>
  </si>
  <si>
    <t>CA_ESPhevX_Deuterium_Int</t>
  </si>
  <si>
    <t>XU Jialin (CC-AS/EVA-SW32-CN)</t>
  </si>
  <si>
    <t>BB81603</t>
  </si>
  <si>
    <t>BSS02SP01</t>
  </si>
  <si>
    <t>BB81808</t>
  </si>
  <si>
    <t>LI Jiaxing (CC-AS/EVA-SW32-CN)</t>
  </si>
  <si>
    <t>NextEV_ESPHevX_Int</t>
  </si>
  <si>
    <t>BB82090</t>
  </si>
  <si>
    <t>BSS04_SP04</t>
  </si>
  <si>
    <t>Chitra Chandrasekaran (RBEI/EBB7)</t>
  </si>
  <si>
    <t>BL07 (BG1) Sprint 4</t>
  </si>
  <si>
    <t>BL02_SP03</t>
  </si>
  <si>
    <t>Can't cover for else at line#13 because FS_Parking_Function type Parking_Function_Configuration range [ 0 : 2]</t>
  </si>
  <si>
    <t>Geely_LX1AC_FE4KD_ABS9_3_Int</t>
  </si>
  <si>
    <t>BB80789</t>
  </si>
  <si>
    <t>HOU Jue (CC-AS/EVA-SW2-CN)</t>
  </si>
  <si>
    <t>#135 "Cannot cover case TRUE at this line.
Reason: It is conflicted with condition line#48"</t>
  </si>
  <si>
    <t>#150 Cannot cover case TRUE at this line.
Reason: It is conflicted with condition line#49</t>
  </si>
  <si>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</si>
  <si>
    <t>#199 "Cannot cover case TRUE at this line.
Reason: It is conflicted with condition line#48"
#66 "Cannot cover mcdc case FALSE&amp;&amp;X at this line.
Reason: When rba_ComScl_RawSignal_GearLeverPosition_v2_RX_u8 has value FALSE, condition line#60 will TRUE"</t>
  </si>
  <si>
    <t>#375 Cannot cover case TRUE at this line.
Reason: It is conflicted with condition line#50</t>
  </si>
  <si>
    <t>#278 Cannot cover case TRUE at this line.
Reason: It is conflicted with condition line#51</t>
  </si>
  <si>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</si>
  <si>
    <t>BSS03SP01</t>
  </si>
  <si>
    <t>Line #199: Can't cover true case. Because it have a loop infinity.</t>
  </si>
  <si>
    <t>BSS06SP1</t>
  </si>
  <si>
    <t>GEEA2.0_ESP9.3_CMP_BL05.4 (BE1)(CAT3)_Sprint2</t>
  </si>
  <si>
    <t>GEEA2.0_iBooster_CMP_BL07_BG2_Sprint04</t>
  </si>
  <si>
    <t>MC_239507_SGMW_CN210S_PHEV_ESP9.3CPi_BSS03_SP1</t>
  </si>
  <si>
    <t>VAR09_OutputDriver_CEVT.c</t>
  </si>
  <si>
    <t>VehicleModeManagement.c</t>
  </si>
  <si>
    <t>rb_SCL_VFCTestSlave_Rx.c</t>
  </si>
  <si>
    <t>VFCBrake.c</t>
  </si>
  <si>
    <t>RBAPLCUST_RBDI_NVMData_SGMW_ESP.c</t>
  </si>
  <si>
    <t>BB81518</t>
  </si>
  <si>
    <t>BB81818</t>
  </si>
  <si>
    <t>BB81519</t>
  </si>
  <si>
    <t>SONG Xiaojiang (CC-AS/EVA-SW32-CN)</t>
  </si>
  <si>
    <t>Jogi Madivalappa (RBEI/ESH31)</t>
  </si>
  <si>
    <t>SUN Yun (CC-AS/EVA-SW31-CN)</t>
  </si>
  <si>
    <t>BL05.4 (BE1)(CAT3)_Sprint2</t>
  </si>
  <si>
    <t>BL07_BG2_Sprint04</t>
  </si>
  <si>
    <t>BSS03_SP1</t>
  </si>
  <si>
    <t>CEVT_GEEA_BE_Step1_Winter_Testing</t>
  </si>
  <si>
    <t>CEVT_GEEA_DeuteriumR_DEV</t>
  </si>
  <si>
    <t>GEEA2_0-IB2-CSW-Deuterium-Development</t>
  </si>
  <si>
    <t>ZZN_ESP93_Mainstream_Int\MainstreamF30\rb\as\zzn\CpiwAPB\app\dsm\RBVAR_P15CE\src\RBVAR_StateMachine_CustomerProject.c</t>
  </si>
  <si>
    <t>ZZN_ESP93_Mainstream_Int\MainstreamF30\rb\as\zzn\core\app\dcom\RBAPLCust\src\RBAPLCUST_RDBI_BatteryVoltage.c</t>
  </si>
  <si>
    <t>ZZN_ESP93_Mainstream_Int\MainstreamF30\rb\as\zzn\core\app\dcom\RBAPLCust\src\RBAPLCUST_RDBI_IOCtrlState.c</t>
  </si>
  <si>
    <t>ZZN_ESP93_Mainstream_Int\MainstreamF30\rb\as\zzn\CpiwAPB\app\net\RbNetPrj\RBNet_Can\src\NET_SCL_InitPrc_CNMS.c</t>
  </si>
  <si>
    <t>ZZN_ESP93_Mainstream_Int\MainstreamF30\rb\as\zzn\CpiwAPB\hswpr\src\RBHwVersion\src\RBVLV_TTNo_Defines_ATIEV.c</t>
  </si>
  <si>
    <t>ZZN_ESP93_Mainstream_Int\MainstreamF30\rb\as\zzn\CpiwAPB\hswpr\src\RBHwVersion\src\RBVLV_TTNo_Defines_CA.c</t>
  </si>
  <si>
    <t>ZZN_ESP93_Mainstream_Int\MainstreamF30\rb\as\zzn\CpiwAPB\hswpr\src\RBHwVersion\src\RBVLV_TTNo_Defines_FAWC.c</t>
  </si>
  <si>
    <t>ZZN_ESP93_Mainstream_Int\MainstreamF30\rb\as\zzn\CpiwAPB\hswpr\src\RBHwVersion\src\RBVLV_TTNo_Defines_FORD.c</t>
  </si>
  <si>
    <t>ZZN_ESP93_Mainstream_Int\MainstreamF30\rb\as\zzn\CpiwAPB\hswpr\src\RBHwVersion\src\RBVLV_TTNo_Defines_GEELY.c</t>
  </si>
  <si>
    <t>ZZN_ESP93_Mainstream_Int\MainstreamF30\rb\as\zzn\CpiwAPB\hswpr\src\RBHwVersion\src\RBVLV_TTNo_Defines_MB-PC.c</t>
  </si>
  <si>
    <t>ZZN_ESP93_Mainstream_Int\MainstreamF30\rb\as\zzn\CpiwAPB\hswpr\src\RBHwVersion\src\RBVLV_TTNo_Defines_NIS.c</t>
  </si>
  <si>
    <t>ZZN_ESP93_Mainstream_Int\MainstreamF30\rb\as\zzn\CpiwAPB\hswpr\src\RBHwVersion\src\RBVLV_TTNo_Defines_not_affected_Customers.c</t>
  </si>
  <si>
    <t>ZZN_ESP93_Mainstream_Int\MainstreamF30\rb\as\zzn\CpiwAPB\hswpr\src\RBHwVersion\src\RBVLV_TTNo_Defines_PSA.c</t>
  </si>
  <si>
    <t>ZZN_ESP93_Mainstream_Int\MainstreamF30\rb\as\zzn\CpiwAPB\hswpr\src\RBHwVersion\src\RBVLV_TTNo_Defines_REN.c</t>
  </si>
  <si>
    <t>ZZN_ESP93_Mainstream_Int\MainstreamF30\rb\as\zzn\CpiwAPB\hswpr\src\RBHwVersion\src\RBVLV_TTNo_Defines_SAIC.c</t>
  </si>
  <si>
    <t>ZZN_ESP93_Mainstream_Int\MainstreamF30\rb\as\zzn\CpiwAPB\hswpr\src\RBHwVersion\src\RBVLV_TTNo_Defines_SGM.c</t>
  </si>
  <si>
    <t>ZZN_ESP93_Mainstream_Int\MainstreamF30\rb\as\zzn\CpiwAPB\hswpr\src\RBHwVersion\src\RBVLV_TTNo_Defines_TOY.c</t>
  </si>
  <si>
    <t>ZZN_ESP93_Mainstream_Int\MainstreamF30\rb\as\zzn\CpiwAPB\hswpr\src\RBHwVersion\src\RBVLV_TTNo_Defines_VW.c</t>
  </si>
  <si>
    <t>ZZN_ESP93_Mainstream_Int\MainstreamF30\rb\as\zzn\CpiwAPB\hswpr\tst\hswsim\src\TestEnvironment_Fee_P15CE18.c</t>
  </si>
  <si>
    <t>CA_ESPhevX_Deuterium_Int\CNMS_ESPHevX\rb\as\cnms_core\app\dsm\DemVar\src\Dem_VarCodeHandling.c</t>
  </si>
  <si>
    <t>CA_ESPhevX_Deuterium_Int\CNMS_ESPHevX\rb\as\ca\core\app\dsm\RBVAR\src\RBVAR_VarCode_PROJECT.c</t>
  </si>
  <si>
    <t>CA_ESPhevX_Deuterium_Int\CNMS_ESPHevX\rb\as\ca\core\app\dsm\RBVAR\src\RBVAR_OutputDriver_PROJECT.c</t>
  </si>
  <si>
    <t>SAIC_A_ARCH_CMP_ESP93_Carbon_Int\MainstreamF30\rb\as\saic\CpiwAPB\app\net\RBScl\ZS12HEV\src\NET_Complex_SignalHandling.c</t>
  </si>
  <si>
    <t>NextEV_ESPHevX_Int\CNMSESPHevX\rb\as\nio\core\app\net\RBScl\src\NET_SCL_Tx_SystemInfo_NextEV.c</t>
  </si>
  <si>
    <t>NextEV_ESPHevX_Int\CNMSESPHevX\rb\as\nio\core\app\net\RBScl\src\NET_Monitoring.c</t>
  </si>
  <si>
    <t>SGMW_ESP93_Carbon_Int\MainstreamF30\rba\Bldr\config\ApplicationLayer\rba_BldrCmp\src\rba_BldrCmp_Cfg_FlashIf.c</t>
  </si>
  <si>
    <t>SGMW_ESP93_Carbon_Int\MainstreamF30\rba\Bldr\config\Infrastruct\rba_AS_HWProt\src\rba_AS_HWProt.c</t>
  </si>
  <si>
    <t>Geely_LX1AC_FE4KD_ABS9_3_Int\Geely_VF12\rba\Bldr\config\ApplicationLayer\rba_BldrCmp\src\rba_BldrCmp_Cfg_CheckMem.c</t>
  </si>
  <si>
    <t>Geely_LX1AC_FE4KD_ABS9_3_Int\Geely_VF12\rba\Bldr\config\ApplicationLayer\rba_BldrCmp\src\rba_BldrCmp_Cfg_Functions.c</t>
  </si>
  <si>
    <t>Geely_LX1AC_FE4KD_ABS9_3_Int\Geely_VF12\rba\Bldr\config\ApplicationLayer\rba_BldrCmp\src\rba_BldrCmp_Cfg_NvmIf.c</t>
  </si>
  <si>
    <t>Waiting Owner confirm</t>
  </si>
  <si>
    <t>Modify src code for support testing.</t>
  </si>
  <si>
    <t>Line #1978: Can't cover false case. Because type of variable "RBWSS_TaskCntChangeDir_PUB" and "RBWSS_EdgeCntChangeDir_PUB" is unsigned, And macro "C_IgnoreTasks_ChangeDir_UB" and macro "C_IgnoreEdges_ChangeDir_UB" equal to zero.</t>
  </si>
  <si>
    <t>Actual LOC: 509</t>
  </si>
  <si>
    <t>Actual LOC: 357</t>
  </si>
  <si>
    <t>Actual LOC: 458</t>
  </si>
  <si>
    <t>Actual LOC: 69</t>
  </si>
  <si>
    <t>Actual LOC: 292</t>
  </si>
  <si>
    <t>At the line 158, can't cover for MCDC (a&amp;&amp;(b||c)&amp;&amp;d&amp;&amp;e)||f  with case (--110010--)</t>
  </si>
  <si>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</si>
  <si>
    <t>SAIC_ZS12HEV_noneDA_ESP93_241954_BSS01</t>
  </si>
  <si>
    <t>231870_ZZN_P15_EV_ESP9.3_BSS05SP01</t>
  </si>
  <si>
    <t xml:space="preserve">CEVT_HMI_Interface </t>
  </si>
  <si>
    <t xml:space="preserve">CEVT_ModeSelection </t>
  </si>
  <si>
    <t>PV_Checksum_AlivRC.c</t>
  </si>
  <si>
    <t>RBA_NDS_SCL_Callout_ZNA.c</t>
  </si>
  <si>
    <t>TestEnvironment_Fee_EV711101.c</t>
  </si>
  <si>
    <t>TestEnvironment_Fee_P15EV.c</t>
  </si>
  <si>
    <t>1.3.1.1</t>
  </si>
  <si>
    <t>5.0.160.1.1.1</t>
  </si>
  <si>
    <t>1.5.1.7</t>
  </si>
  <si>
    <t>ZNA_C_P15EV_Int</t>
  </si>
  <si>
    <t>BB80592</t>
  </si>
  <si>
    <t>BSS05SP01</t>
  </si>
  <si>
    <t>AEB_DefineAxTar\AEB_DefineAxTar</t>
  </si>
  <si>
    <r>
      <rPr>
        <b/>
        <sz val="11"/>
        <color rgb="FFFF0000"/>
        <rFont val="Calibri"/>
        <family val="2"/>
        <scheme val="minor"/>
      </rPr>
      <t>CNMS</t>
    </r>
    <r>
      <rPr>
        <sz val="11"/>
        <color theme="1"/>
        <rFont val="Calibri"/>
        <family val="2"/>
        <scheme val="minor"/>
      </rPr>
      <t>_Carbon_ESP_BL07_SP12</t>
    </r>
  </si>
  <si>
    <t>BL07_SP12</t>
  </si>
  <si>
    <t>Esp9wAPBCPEncapSWCust_ECU_CSW_BB95572.axl</t>
  </si>
  <si>
    <t>CEVT_GEEA_BE_Step1_Winter_Testing\GEEA2.0\rb\as\cevt\Geely\app\dsm\RBVAR\src\VAR09_OutputDriver_CEVT.c</t>
  </si>
  <si>
    <t>- Can’t cover full MCDCs of if((g_GCCC_BLKID_15_B)&amp;&amp; (GCCC_BLKID_IDENT_16)) at line #979 because GCCC_BLKID_IDENT_16 is a enum and it’s value is fixed</t>
  </si>
  <si>
    <t xml:space="preserve"> </t>
  </si>
  <si>
    <t>Pata_ModeSelectionOutput</t>
  </si>
  <si>
    <t>- Can't cover full MCDCs case (F&amp;&amp;?&amp;&amp;?) and case (T&amp;&amp;F&amp;&amp;?) at line #141 because it already was covered at line #136</t>
  </si>
  <si>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</si>
  <si>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</si>
  <si>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</si>
  <si>
    <t xml:space="preserve">Comment: Please comment uint8_t gs_MwEepStatus_u8 = 100U; at line #134 in file RBND4_NVM.h before re-run test script
</t>
  </si>
  <si>
    <t xml:space="preserve">Line #82: Can't cover false case of else if ((rba_ComScl_RawSignal_ExternalBrakeRequestPriority_RX_b == RBA_COMSCL_Minimum_NET_ExternalBrakeRequestPriority_SP0_SC1_Rx)) because rba_ComScl_RawSignal_ExternalBrakeRequestPriority_RX_b is a boolean value
</t>
  </si>
  <si>
    <t xml:space="preserve">line #139: Can't covee false case of else if ((rba_ComScl_RawSignal_IgnitionSupplyConfirmation_RX_b == RBA_COMSCL_Minimum_NET_IgnitionSupplyConfirmation_SP0_SC1_Rx)) because rba_ComScl_RawSignal_IgnitionSupplyConfirmation_RX_b is a boolean value.
</t>
  </si>
  <si>
    <t xml:space="preserve">line #2050: Can't cover false case of else if ((NMSG_HmiVDC_Deactivated_B_l == RBA_COMSCL_In_0_APP_VDC_Deactivated_v2_SP0_SC1_Tx)) because NMSG_HmiVDC_Deactivated_B_l is a boolean value (value only equals to 0 or 1)
</t>
  </si>
  <si>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</si>
  <si>
    <t xml:space="preserve">Line #110: Can't cover false case of else if ((LongitudinalControlStatus_VDC_l == LFCBrakingPerformanceStatus_LFCBrakingFullyOperational)) because LongitudinalControlStatus_VDC_l is a boolean value.
</t>
  </si>
  <si>
    <t>- No function to test</t>
  </si>
  <si>
    <t>Condition at line #76 if ( (SasCalibrationRequest == RBSAS_SasCalibrationRequestTriggered) &amp;&amp; LOC_Cal_Not_run ) 
With UT test: Can’t cover for MCDC with case T &amp;&amp; F, reason: LOC_Cal_Not_run is never return is FALSE</t>
  </si>
  <si>
    <t>APB_TCUReqApbLock</t>
  </si>
  <si>
    <t>[No1] Condition at line #1356 (l_NMSG_FltEgyCns_Curr_B == TRUE ): can not cover MCDC case “T &amp; F”  because Line 1354 will block the line 1356 =&gt; Never reach case T &amp; F for line 1356.</t>
  </si>
  <si>
    <t>CEVT_GEEA_DeuteriumR_DEV\GEEA2.0\rb\as\cevt\Geely\app\net\RBScl\src\Vmm\VehicleModeManagement.c</t>
  </si>
  <si>
    <t>Carbon B10_BL03_SP08</t>
  </si>
  <si>
    <t>CNMS_ESPHevX_Carbon_Int\CNMSESPHevX\rb\as\cnms_core\app\net\scl\src\Callout_Functions\RBA_NDS_ATS_Callout.c</t>
  </si>
  <si>
    <t>CNMS_ESPHevX_Carbon_Int\CNMSESPHevX\rb\as\cnms_core\app\net\scl\src\Callout_Functions\RBA_NDS_Engine_Callout.c</t>
  </si>
  <si>
    <t>CNMS_ESPHevX_Carbon_Int\CNMSESPHevX\rb\as\cnms_core\app\net\scl\src\Callout_Functions\RBA_NDS_TOD_Callout.c</t>
  </si>
  <si>
    <t>CNMS_ESPHevX_Carbon_Int\CNMSESPHevX\rb\as\cnms_core\app\net\scl\src\Callout_Functions\RBA_NDS_WheelOdoEdges_Callout.c</t>
  </si>
  <si>
    <t>CNMS_ESPHevX_Carbon_Int\CNMSESPHevX\rb\as\cnms_core\app\net\scl\src\Callout_Functions\RBA_NDS_YAWRATE_Callout.c</t>
  </si>
  <si>
    <t>CNMS_ESPHevX_Carbon_Int\CNMSESPHevX\rb\as\cnms_core\app\net\scl\src\OBD\ComScl_Scl_OBD_Signal_Copy.c</t>
  </si>
  <si>
    <t>CNMS_ESPHevX_Carbon_Int\CNMSESPHevX\rb\as\rbcn\core\app\net\RbNetPrj\RBNet_Can\src\ComScl_CalcCRC8.c</t>
  </si>
  <si>
    <t>CNMS_ESPHevX_Carbon_Int\CNMSESPHevX\rb\as\rbcn\core\app\net\RBScl\src\ComScl_Scl_Complex_proc.c</t>
  </si>
  <si>
    <t>CNMS_ESPHevX_Carbon_Int\CNMSESPHevX\rb\as\rbcn\core\app\net\RBScl\src\SAS_LWS_Standard.c</t>
  </si>
  <si>
    <t>CNMS_ESPHevX_Carbon_Int\CNMSESPHevX\rb\as\cnms_core\app\net\scl\src\Steering\SAS_LWS_Standard.c</t>
  </si>
  <si>
    <t>CNMS_ESPHevX_Carbon_Int\CNMSESPHevX\rb\as\cnms_core\app\net\scl\src\Callout_Functions\RBA_NDS_SystemInfo.c</t>
  </si>
  <si>
    <t>SGMW_ESP93_Carbon_Int\MainstreamF30\rb\as\sgmw\core\app\dcom\RBAPLCust\src\ESP\RBAPLCUST_RBDI_NVMData_SGMW_ESP.c</t>
  </si>
  <si>
    <t>ZNA_C_P15EV_Int\ZNA\rb\as\p15ev\CpiwAPB\hswpr\src\RBHwVersion\src</t>
  </si>
  <si>
    <t>GAC_ESP93CP_Carbon_Int\MainstreamF30\rb\as\gaig\A12ESP\app\dsm\RBVAR\BB_81449A55CP\src</t>
  </si>
  <si>
    <t>GAC_ESP93CP_Carbon_Int\MainstreamF30\rb\as\gaig\A12ESP\app\dsm\RBVAR\BB_81448A55CB\src</t>
  </si>
  <si>
    <t>ZNA_C_P15EV_Int\ZNA\rb\as\p15ev\CpiwAPB\hswpr\tst\hswsim\src</t>
  </si>
  <si>
    <t>ZNA_C_P15EV_Int\ZNA\rb\as\p15ev\core\app\dcom\RBAPLCust\src\ESP</t>
  </si>
  <si>
    <t>ZNA_C_P15EV_Int\ZNA\rb\as\p15ev\CpiwAPB\app\net\RbNetPrj\RBNet_Can\src</t>
  </si>
  <si>
    <t>ZNA_C_P15EV_Int\ZNA\rb\as\p15ev\CpiwAPB\app\net\RBScl\RBScl_callout\src</t>
  </si>
  <si>
    <t>SAIC_A_ARCH_CMP_ESP93_Carbon_Int\MainstreamF30\rb\as\saic\CpiwAPB\app\net\RBScl\ZS12HEV\src</t>
  </si>
  <si>
    <t>Comment LV1
- No function to test</t>
  </si>
  <si>
    <t>- Get assignment phase 2: 5/28/2020 =&gt; Complete 6/5/2020</t>
  </si>
  <si>
    <t>RN_CRB_Switch_EndRamp_For_ePedal</t>
  </si>
  <si>
    <t>CRB_BFD_ResidualPressure_ESPhybrid</t>
  </si>
  <si>
    <t>CRB_BFD_ResidualPressure_Estimation</t>
  </si>
  <si>
    <t>CRB_FbRegenFreeze</t>
  </si>
  <si>
    <t>CRB_FbRegenTargetNoABS_ESPhevX</t>
  </si>
  <si>
    <t>CRB_StabilityMargin_OutputInterface</t>
  </si>
  <si>
    <t>FbMaxReversible_RA</t>
  </si>
  <si>
    <t>EV_Inv_dpStable_ESPhevX</t>
  </si>
  <si>
    <t>PT_ModelTransAxletoBody_C</t>
  </si>
  <si>
    <t>RBDHP_StateMachine</t>
  </si>
  <si>
    <t>CUBAS_Comstack_COMMON</t>
  </si>
  <si>
    <t>RBWAU_SourcesHandler</t>
  </si>
  <si>
    <t>NET_Global_REN</t>
  </si>
  <si>
    <t>rba_ComScl_Scl_ADAS_A147_Rx</t>
  </si>
  <si>
    <t>rba_ComScl_Scl_CDM_A101_FD_Rx</t>
  </si>
  <si>
    <t>rba_ComScl_Scl_CDM_A117_FD_Rx</t>
  </si>
  <si>
    <t>rba_ComScl_Scl_ECM_A108C_FD_Rx</t>
  </si>
  <si>
    <t>rba_ComScl_Scl_EPKB_A102_Tx</t>
  </si>
  <si>
    <t>rba_ComScl_Scl_HEVC_A134_FD_Rx</t>
  </si>
  <si>
    <t>rba_ComScl_Scl_HEVC_A140C_FD_Rx</t>
  </si>
  <si>
    <t>rba_ComScl_Scl_HEVC_A141C_FD_Rx</t>
  </si>
  <si>
    <t>rba_ComScl_Scl_HEVC_A18C_FD_Rx</t>
  </si>
  <si>
    <t>rba_ComScl_Scl_HEVC_R101_Rx</t>
  </si>
  <si>
    <t>rba_ComScl_Scl_IVI_R103_Rx</t>
  </si>
  <si>
    <t>rba_ComScl_Scl_VDC_A06C_FD_Tx</t>
  </si>
  <si>
    <t>rba_ComScl_Scl_VDC_A121_FD_Tx</t>
  </si>
  <si>
    <t>rba_ComScl_Scl_VDC_A130_FD_Tx</t>
  </si>
  <si>
    <t>rba_ComScl_Scl_VDC_A131_Tx</t>
  </si>
  <si>
    <t>rba_ComScl_Scl_VDC_A134_Tx</t>
  </si>
  <si>
    <t>rba_ComScl_Scl_VDC_A135_Tx</t>
  </si>
  <si>
    <t>rba_ComScl_Scl_VDC_A136_Tx</t>
  </si>
  <si>
    <t>rba_ComScl_Scl_VDC_A9_28A_Tx</t>
  </si>
  <si>
    <t>DcmAppl_DcmSesCtrlChangeIndication</t>
  </si>
  <si>
    <t>rba_AS_HWProt</t>
  </si>
  <si>
    <t>rba_BldrCMP_Cfg_Functions</t>
  </si>
  <si>
    <t>rba_BldrCMP_Cfg_ProgrammingCounter</t>
  </si>
  <si>
    <t>rba_BldrCMP_LogicalBlock</t>
  </si>
  <si>
    <t>rba_BldrCMP_Prv_GetRemainReprogCycles</t>
  </si>
  <si>
    <t>rba_BldrPrj_CheckAppValidity</t>
  </si>
  <si>
    <t>rba_DcmPmaAppl_FillPlantModeResponse</t>
  </si>
  <si>
    <t>MT_100</t>
  </si>
  <si>
    <t>MT_101</t>
  </si>
  <si>
    <t>MT_105</t>
  </si>
  <si>
    <t>MT_106</t>
  </si>
  <si>
    <t>MT_107</t>
  </si>
  <si>
    <t>MT_108</t>
  </si>
  <si>
    <t>MT_003</t>
  </si>
  <si>
    <t>MT_007</t>
  </si>
  <si>
    <t>MT_009</t>
  </si>
  <si>
    <t>MT_048</t>
  </si>
  <si>
    <t>MT_050</t>
  </si>
  <si>
    <t>MT_056</t>
  </si>
  <si>
    <t>MT_058</t>
  </si>
  <si>
    <t>MT_063</t>
  </si>
  <si>
    <t>MT_082</t>
  </si>
  <si>
    <t>1.3</t>
  </si>
  <si>
    <t>1.15.176.0</t>
  </si>
  <si>
    <t>1.6.176.0</t>
  </si>
  <si>
    <t>1.16.176.1</t>
  </si>
  <si>
    <t>1.22.176.0</t>
  </si>
  <si>
    <t>12.28.176.3</t>
  </si>
  <si>
    <t>2.0.176.1</t>
  </si>
  <si>
    <t>1.18.176.0</t>
  </si>
  <si>
    <t>1.4.176.0</t>
  </si>
  <si>
    <t>Ida, Akinari</t>
  </si>
  <si>
    <t>Naveen, Konganahalli Subbareddy</t>
  </si>
  <si>
    <t>Kaneko, Kenta</t>
  </si>
  <si>
    <t>Dharanya Kannan (RBEI/ESE31)</t>
  </si>
  <si>
    <t>Pawan Kumar K B (RBEI/ESJ1)</t>
  </si>
  <si>
    <t>Dasgupta Suryashankar (RBEI/ESJ6)</t>
  </si>
  <si>
    <t>Abhijith R K (RBEI/ESJ1)</t>
  </si>
  <si>
    <t>Adiga Vishnumoorthy Parampalli (RBEI/ESJ1)</t>
  </si>
  <si>
    <t>D_Bappanadu Suraj Rao (RBEI/ESJ1)</t>
  </si>
  <si>
    <t>D_Akshay Kumar N (RBEI/ESJ1)</t>
  </si>
  <si>
    <t>Murugesan Jagadesan (RBEI/EBB7)</t>
  </si>
  <si>
    <t>Sushant Todkar (RBEI/EBB4)</t>
  </si>
  <si>
    <t>Manniganahalli Manu Hanumantharayappa (RBEI/EBB4)</t>
  </si>
  <si>
    <t>rb.as.core.app.asw.crb.crbesphevX</t>
  </si>
  <si>
    <t>rb.as.core.app.asw.hal.hals1esphevxhfa</t>
  </si>
  <si>
    <t>rb.as.core.app.asw.pwt.ptaxlesplit</t>
  </si>
  <si>
    <t>rb.as.core.hwp.cubas.ComServices</t>
  </si>
  <si>
    <t>rba.FBL.AS.CFG.rbbldr</t>
  </si>
  <si>
    <t>RNM_CMP_Database</t>
  </si>
  <si>
    <t xml:space="preserve">1. Can not cover MCDC 01 of condition at line 42 because it is locked by condition at line 24.
2. Can not cover MCDC 01 of condition at line 52 because it is locked by condition at line 33,42.
</t>
  </si>
  <si>
    <t>T504</t>
  </si>
  <si>
    <t>Double effort 
Reuse OPL.</t>
  </si>
  <si>
    <t xml:space="preserve">Double effort 
Please comment follow ASPICE Standard </t>
  </si>
  <si>
    <t>Please comment follow ASPICE Standard , re-use result of task ID 1458019</t>
  </si>
  <si>
    <t>Carbon B10_BL03_SP11</t>
  </si>
  <si>
    <t>Carbon B10_BL07_SP12</t>
  </si>
  <si>
    <t>CNMS_IB2_BL14_Int</t>
  </si>
  <si>
    <t>BL03_SP11</t>
  </si>
  <si>
    <t>AB30_7DCT_CP&amp; AB30_9DCT_CP&amp; A30_EV_CP</t>
  </si>
  <si>
    <t>DFN_ESP_Gen9.3_534_238307_BS04SP01</t>
  </si>
  <si>
    <t>MC_248398_SGMW_CN202M_RC2_ESP9.3CBi_BL01</t>
  </si>
  <si>
    <t>rba_BldrCmp_Cfg_Com.c</t>
  </si>
  <si>
    <t>rba_sbl_main.c</t>
  </si>
  <si>
    <t>rba_BldrCmp_10DiagnosticSessionControl.c</t>
  </si>
  <si>
    <t>rba_BldrCmp.c</t>
  </si>
  <si>
    <t>rba_BldrCmp_27SecurityAccess.c</t>
  </si>
  <si>
    <t>RBLCF_Customized_Hexblocks_Allocation_Signature.c</t>
  </si>
  <si>
    <t>RBHMI_Synchronisation_PRJ.c</t>
  </si>
  <si>
    <t>NET_SCL_Rx_SGMW_TPMS.c</t>
  </si>
  <si>
    <t>BSS08</t>
  </si>
  <si>
    <t>BS04SP01</t>
  </si>
  <si>
    <t>5.0.146.5.3.0.315.1</t>
  </si>
  <si>
    <t>ApbCtrl_HMI_DFN</t>
  </si>
  <si>
    <t>Tindi Nageswara Reddy (RBEI/EBB7)</t>
  </si>
  <si>
    <t>LI Ranran (CC-AS/EVA-SW2-CN)</t>
  </si>
  <si>
    <t>Nguyen Hiep Thanh (RBVH/EAS11)</t>
  </si>
  <si>
    <t>SGMW_ESP93_Mainstream_RBVH_iTPMS_Int</t>
  </si>
  <si>
    <t>Can't cover full MCDC at line #35 for case "FTTTTTTTTT=T". Because the condition "!crb_Prefill_B_K1" at line #35 conflicted with the condition "crb_Prefill_B_K1" at line #37.</t>
  </si>
  <si>
    <t>Duong Chi Khang</t>
  </si>
  <si>
    <t>Now</t>
  </si>
  <si>
    <t>NA</t>
  </si>
  <si>
    <t>21-May-&gt;1-Jun</t>
  </si>
  <si>
    <t>28-Jun-&gt;5-Jun</t>
  </si>
  <si>
    <t>8-Jun</t>
  </si>
  <si>
    <t>May: 22; Jun: 8</t>
  </si>
  <si>
    <t>Jun: 2</t>
  </si>
  <si>
    <t>s</t>
  </si>
  <si>
    <t>khang.duong-chi</t>
  </si>
  <si>
    <t>File name:  RBND4_Nvm.h  error ât line 134</t>
  </si>
  <si>
    <t>[No1]: Line 266: if (retValue == E_OK)
Detail: can not cover false condition because retValue always set “E_OK” at line 260.
[No2]: Line 118: if (*length_pu16 &gt; maxLength_u16)
Detail: can not cover true condition because:
+ Line 101
+ Line 114: length_pu16 is always set 0x00</t>
  </si>
  <si>
    <t>Missing some elements in this database:
+ uint32 ActualAddr_u32;
+ uint32 ActualLength_u32;
+ uint8 CRClength_u8;
+ uint8 *crc_calc_pu8;
+ uint8 BlockType;
+ uint32 Crc_CalculateCRC32(const uint8* Crc_DataPtr, uint32 Crc_Length, uint32 Crc_StartValue32, boolean firstTime_b);</t>
  </si>
  <si>
    <t>Line #62: Can't cover false case. Because the input value is not within the defined ranges: should not happen</t>
  </si>
  <si>
    <t>Line #129: Can't cover false case. Because the input value is not within the defined ranges: should not happen</t>
  </si>
  <si>
    <t>- Can’t cover function rba_BldrFlsDrv_Cfg_Write because canCore_pvst pointer is assigned by fixed address, then the assignment canCore_pvst-&gt;TXBAR = ((uint32)1 &lt;&lt; txBufferNumber_u8) failed</t>
  </si>
  <si>
    <t>-Can't cover for minimun of variable ApbCtrlMinDICCounter_Message1</t>
  </si>
  <si>
    <t>- Owner confirm no impact</t>
  </si>
  <si>
    <t>Actual ELOCs is 260</t>
  </si>
  <si>
    <t>Line #121: Can't cover false case. Because the input value is not within the defined ranges: should not happen</t>
  </si>
  <si>
    <t>Line #131: Can't cover false case. Because the input value is not within the defined ranges: should not happen</t>
  </si>
  <si>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</si>
  <si>
    <t>T505</t>
  </si>
  <si>
    <t>T506</t>
  </si>
  <si>
    <t xml:space="preserve">Can't cover for function rba_Bmgr_main at line#65 because it have a forever loop at line#80
Can’t cover for function rba_Bmgr_bldrJump at line#258 because PBL_ADDRESS is fixed address (limit of cantata can’t set fixed address).
</t>
  </si>
  <si>
    <t>GWM B30_7DCT BSS08</t>
  </si>
  <si>
    <t>Aiways_MAS861_ESPHevX_BL08_ECR</t>
  </si>
  <si>
    <t>APA_FailureMode</t>
  </si>
  <si>
    <t>ATM_DrivingModeReq_HUT</t>
  </si>
  <si>
    <t>ATM_ResponseMonitroing</t>
  </si>
  <si>
    <t>ATM_DrivingModeReq_MTS</t>
  </si>
  <si>
    <t>PbcOut_DevelopmentMessage</t>
  </si>
  <si>
    <t>RBVoltageHandler_ParameterConfiguration_PRJ.c</t>
  </si>
  <si>
    <t>RBHMI_ExtStatesDefinitionTable.c</t>
  </si>
  <si>
    <t>RBHMI_PresentStateCalculation_PRJ.c</t>
  </si>
  <si>
    <t>RBHMI_StatesDefinitionTable_PRJ.c</t>
  </si>
  <si>
    <t>ComScl_Scl_ESP_123_Tx.c</t>
  </si>
  <si>
    <t>ComScl_Scl_ESP_12D_Tx.c</t>
  </si>
  <si>
    <t>ComScl_Scl_ESP_121_Tx.c</t>
  </si>
  <si>
    <t>BL08</t>
  </si>
  <si>
    <t>BB97468</t>
  </si>
  <si>
    <t>1.5.147303.1.2.1</t>
  </si>
  <si>
    <t>GEEA2_0_IB2_CSW_Deuterium_Development\iBoosterGen2\rb\as\mb\ib2\app\net_OBD_On\RBScl\src\Rcv</t>
  </si>
  <si>
    <t>AIWAYS_Carbon_ESPhev_MAS861_ECR2020</t>
  </si>
  <si>
    <t xml:space="preserve">Esp9wAPBCPEncapSWCust_ECU_CSW_BB95572 </t>
  </si>
  <si>
    <t>ATM_ECU_CSW_BB00001</t>
  </si>
  <si>
    <t>ApbMiGen2hevX_ECU_CSW_BB97468</t>
  </si>
  <si>
    <t>GONG Jeffrey (CC-AS/EVA-SW2-CN)</t>
  </si>
  <si>
    <t>ZHAO Qixian (BEG/ESW-CN)</t>
  </si>
  <si>
    <t>CNMS_IB2_BL14_Int\iBoosterGen2\rb\as\rbcn\core\app\net\net_OBD_Off\RBScl\src\NET_Monitoring.c</t>
  </si>
  <si>
    <t>CNMS_IB2_BL14_Int\iBoosterGen2\rb\as\rbcn\core\app\net\net_OBD_On\RBScl\src\NET_Monitoring.c</t>
  </si>
  <si>
    <t>CNMS_ESP_Carbon_Int\MainstreamF30\rb\as\rbcn\core\app\net\RbNetPrj\RBNet_Can\src\ComScl_CalcCRC8.c</t>
  </si>
  <si>
    <t>22-Jun</t>
  </si>
  <si>
    <t>CNMS_ESP_Carbon_Int\MainstreamF30\rb\as\rbcn\core\app\net\RBScl\src\ComScl_Scl_Complex_proc.c</t>
  </si>
  <si>
    <t>GWM_AB30_CP_Int\MainstreamF30\rba\Bldr\comps\ComplexDeviceDriver\rba_BldrBCLSigChk\src\rba_BldrBCLSigChk.c</t>
  </si>
  <si>
    <t>GWM_AB30_CP_Int\MainstreamF30\rba\Bldr\comps\ComplexDeviceDriver\rba_BldrFlsDrv\src\rba_BldrFlsDrv.c</t>
  </si>
  <si>
    <t>GWM_AB30_CP_Int\MainstreamF30\rba\Bldr\config\ApplicationLayer\rba_BldrCmp\src\rba_BldrCmp_Cfg_CheckMem.c</t>
  </si>
  <si>
    <t>GWM_AB30_CP_Int\MainstreamF30\rba\Bldr\config\ApplicationLayer\rba_BldrCmp\src\rba_BldrCmp_Cfg_FlashIf.c</t>
  </si>
  <si>
    <t>GWM_AB30_CP_Int\MainstreamF30\rba\Bldr\config\ApplicationLayer\rba_BldrCmp\src\rba_BldrCmp_Cfg_Functions.c</t>
  </si>
  <si>
    <t>GWM_AB30_CP_Int\MainstreamF30\rba\Bldr\config\ApplicationLayer\rba_BldrCmp\src\rba_BldrCmp_Cfg_SecA.c</t>
  </si>
  <si>
    <t>GWM_AB30_CP_Int\MainstreamF30\rba\Bldr\config\ApplicationLayer\rba_BldrCmp\src\rba_BldrCmp_Cfg_NvmIf.c</t>
  </si>
  <si>
    <t>GWM_AB30_CP_Int\MainstreamF30\rba\Bldr\config\ApplicationLayer\rba_BldrCmp\src\rba_BldrCmp_Cfg_Com.c</t>
  </si>
  <si>
    <t>GWM_AB30_CP_Int\MainstreamF30\rba\Bldr\config\ComplexDeviceDriver\rba_BldrFlsDrv\src\rba_BldrFlsDrv_Cfg.c</t>
  </si>
  <si>
    <t>GWM_AB30_CP_Int\MainstreamF30\rba\Bldr\config\Infrastruct\CubasAdapter\src\CubasAdapter.c</t>
  </si>
  <si>
    <t>GWM_AB30_CP_Int\MainstreamF30\rb\as\gwm\cp\cswpr\src\RBLCF_Customized_Hexblocks_Allocation_Signature.c</t>
  </si>
  <si>
    <t>GWM_AB30_CP_Int\MainstreamF30\rba\FBL\AS\SW\rba_Bmgr\src\rba_Bmgr_main.c</t>
  </si>
  <si>
    <t>GWM_AB30_CP_Int\MainstreamF30\rba\Bldr\bldr\src\rba_Bldr_main.c</t>
  </si>
  <si>
    <t>GWM_AB30_CP_Int\MainstreamF30\rba\Bldr\sbl\src\rba_sbl_main.c</t>
  </si>
  <si>
    <t>SGMW_ESP93_Mainstream_RBVH_iTPMS_int\MainstreamF30\rb\as\sgmw\CN210S\app\net\RBScl\RBScl_SGMW\src\NET_SCL_Rx_SGMW_TPMS.c</t>
  </si>
  <si>
    <t>SGMW_ESP93_Mainstream_RBVH_iTPMS_int\MainstreamF30\rb\as\sgmw\CN210S\dsmpr\src\RBPduHandler_Callouts.c</t>
  </si>
  <si>
    <t>CNMS_ESP_Carbon_Int\MainstreamF30\rb\as\rbcn\core\app\net\RBNetGlobal\src\rba_NET_Global_variable.c</t>
  </si>
  <si>
    <t>GAC_ESP93CP_Carbon_Int\MainstreamF30\rb\as\gaig\A12ESP\app\dsm\RBHMI\src\RBHMI_ConfigOutputDriver_PRJ.c</t>
  </si>
  <si>
    <t>GAC_ESP93CP_Carbon_Int\MainstreamF30\rb\as\gaig\A12ESP\app\dsm\RBHMI\src\RBHMI_ExtStateCalculation_PRJ.c</t>
  </si>
  <si>
    <t>GAC_ESP93CP_Carbon_Int\MainstreamF30\rb\as\gaig\A12ESP\app\dsm\RBHMI\src\RBHMI_Synchronisation_PRJ.c</t>
  </si>
  <si>
    <r>
      <t xml:space="preserve">Double effort 
Please comment follow ASPICE Standard 
</t>
    </r>
    <r>
      <rPr>
        <sz val="11"/>
        <color rgb="FFFFFF00"/>
        <rFont val="Calibri"/>
        <family val="2"/>
      </rPr>
      <t>REAL ELOCS: 268</t>
    </r>
  </si>
  <si>
    <t>Chery_IPB_Deuterium_Int\chery_IPB\rb\as\cheryIPB\core\app\net\RBNetPrj\RBNet_Can\src\NET_ChecksumLib_CNMS_Crc1850.c</t>
  </si>
  <si>
    <t>AIWAYS_Carbon_ESPhev_MAS861_ECR2020\AiwaysESPhevX\rb\as\AiwaysESPhevX\MAS861\netpr\gen\Cubas\CANxCAN_iBooster\ComScl_Scl_ESP_123_Tx.c</t>
  </si>
  <si>
    <t>AIWAYS_Carbon_ESPhev_MAS861_ECR2020\AiwaysESPhevX\rb\as\AiwaysESPhevX\MAS861\netpr\gen\Cubas\CANxCAN_iBooster\ComScl_Scl_ESP_12D_Tx.c</t>
  </si>
  <si>
    <t>AIWAYS_Carbon_ESPhev_MAS861_ECR2020\AiwaysESPhevX\rb\as\AiwaysESPhevX\MAS861\netpr\gen\Cubas\CANxCAN_iBooster\ComScl_Scl_ESP_121_Tx.c</t>
  </si>
  <si>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</si>
  <si>
    <t xml:space="preserve">Cannot cover false case at line 97, 124, 151 because rba_ComScl_RawSignal_OBD_Ready_On_RX_b, rba_ComScl_RawSignal_OBDWarmUpCycleDet_RX_b, rba_ComScl_RawSignal_OBDPrmtDelCdn_RX_b are  bolean type and have only two values 0 or 1
</t>
  </si>
  <si>
    <t xml:space="preserve">cannot cover false case at line 59 because rba_ComScl_RawSignal_DriveCycle_RX_b is a boolean type and just have two values 0 or 1
</t>
  </si>
  <si>
    <t>Param 1D can't cover full C0/C1</t>
  </si>
  <si>
    <t>Join since 11-June-2020</t>
  </si>
  <si>
    <t>1-Jun</t>
  </si>
  <si>
    <t>LOC Assigned</t>
  </si>
  <si>
    <t>LOC Assign</t>
  </si>
  <si>
    <t xml:space="preserve">ZNA_C_P15EV_Int\ZNA\rb\as\p15ev\CpiwAPB\app\dsm\RBHMI\src             </t>
  </si>
  <si>
    <t>-Can’t cover for false case for (absoluteAddress_u32 &gt;= rba_BldrCmp_LogicalBlockTable_pst[rba_BldrCmp_BootCtrl_st.LogicalBlockIdx].StartAddress_u32)</t>
  </si>
  <si>
    <t xml:space="preserve">-It won’t impact </t>
  </si>
  <si>
    <t>-1. Can’t cover for false if (retValue == E_OK) condition at line #432 because retValue is set to E_OK at line #426
-2. Can’t cover for true if (*length_pu16 &gt; maxLength_u16) condition at line #193 because maxLength_u16 was set to *length_pu16 then *length_pu16 is set to 0x00. So this condition always false.</t>
  </si>
  <si>
    <t>-Waiting feedback</t>
  </si>
  <si>
    <t>BYD_Carbon_Mainstream_BL02spr04</t>
  </si>
  <si>
    <t>BSS04</t>
  </si>
  <si>
    <t>BL02spr04</t>
  </si>
  <si>
    <t>rb\as\ESPhevX\Geely\app\dsm\RBVAR\src\</t>
  </si>
  <si>
    <t>RBAPLCUST_RBDI_VariandCode.c</t>
  </si>
  <si>
    <t>BB81728</t>
  </si>
  <si>
    <t>BB99295</t>
  </si>
  <si>
    <t>BYD_Carbon_ESP93_Int</t>
  </si>
  <si>
    <t>Tran Dinh Thu Quynh (RBVH/EAS11)</t>
  </si>
  <si>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</si>
  <si>
    <t>Actual LOC: 260.</t>
  </si>
  <si>
    <t>Rank LOC</t>
  </si>
  <si>
    <t>Rank KPI</t>
  </si>
  <si>
    <t>211613_DFLZM_SX5G_ESP9.3_CPi_ACC_APBMi_BL04SP04</t>
  </si>
  <si>
    <t xml:space="preserve">rb\as\dflzm\CpiwAPB\app\dsm\RBHMI\src\      </t>
  </si>
  <si>
    <t xml:space="preserve">rb\as\dflzm\CpiwAPB\app\dsm\RBVAR\src\      </t>
  </si>
  <si>
    <t>rb\as\dflzm\CpiwAPB\app\net\RBScl\RBScl\src\</t>
  </si>
  <si>
    <t>NET_SCL_Tx_AVH_DFLZM.c</t>
  </si>
  <si>
    <t>NET_SCL_Tx_SystemInfo_DFLZM.c</t>
  </si>
  <si>
    <t xml:space="preserve">DFLZM_ESP93_Mainstream_Int </t>
  </si>
  <si>
    <t>BB98737</t>
  </si>
  <si>
    <t>BL04SP04</t>
  </si>
  <si>
    <t>May: 25, 26; Jun: 10, 11</t>
  </si>
  <si>
    <t>MC_247858_DFSK_F508_wo_DA_ESP9.3_BL01</t>
  </si>
  <si>
    <t xml:space="preserve">rb\as\dfsk\core\app\dcom\RBAPLCust\src\                </t>
  </si>
  <si>
    <t xml:space="preserve">rb\as\dfsk\CpiwAPB\app\dsm\RBVAR_F517_DA_RC\src\       </t>
  </si>
  <si>
    <t xml:space="preserve">rb\as\dfsk\CpiwAPB\app\dsm\RBVAR_F517_BASE_RC\src\     </t>
  </si>
  <si>
    <t>rb\as\dfsk\CpiwAPB\app\net\RbNetPrj_F517\RBNet_Can\src\</t>
  </si>
  <si>
    <t xml:space="preserve">rb\as\dfsk\CpiwAPB\app\net\RbNetPrj\RBNet_Can\src\     </t>
  </si>
  <si>
    <t>GAC_ESP93CP_Carbon_Int_05_Jun\MainstreamF30\rba\Bldr\config\ApplicationLayer\rba_BldrCmp\src</t>
  </si>
  <si>
    <t>RBAPLCUST_RBDI_CustomerHardwareVersion.c</t>
  </si>
  <si>
    <t>RBAPLCUST_RBDI_CustomerSoftwareVersion.c</t>
  </si>
  <si>
    <t>Devi Priya Premkumar (RBEI/EBB7)</t>
  </si>
  <si>
    <t>DFSK_ESP93_Mainstream_Int</t>
  </si>
  <si>
    <t>BB82397</t>
  </si>
  <si>
    <t>Re-use OPL</t>
  </si>
  <si>
    <t>GAC_ESP93CP_Carbon_Int_05_Jun\MainstreamF30\rba\Bldr\config\Infrastruct\rba_AS_HWProt\src</t>
  </si>
  <si>
    <t>Can't cover fully MCDC 0-1 at line 63</t>
  </si>
  <si>
    <t>Owner confirm it's no impact</t>
  </si>
  <si>
    <t>- Can not cover MCDC 01 of condition at line 42 because it is locked by condition at line 24.
- Can not cover MCDC 01 of condition at line 52 because it is locked by condition at line 33,42.'</t>
  </si>
  <si>
    <t>rb.as.toy.cmpuhd.var</t>
  </si>
  <si>
    <t>rb.as.toy.core.app.dcom</t>
  </si>
  <si>
    <t>rb.as.toy.core.app.net</t>
  </si>
  <si>
    <t>rb.as.toy.core.app.uhdpf19</t>
  </si>
  <si>
    <t>RBDAC_SwitchInput_TOYOTA</t>
  </si>
  <si>
    <t>RBDYNWSS_CONFIG_TOYOTA</t>
  </si>
  <si>
    <t>RBESS_SignalOutput_TOYOTA</t>
  </si>
  <si>
    <t>RBIGONSPEEDMASK_Toyota</t>
  </si>
  <si>
    <t>RBPFSW_SwitchInput_TOYOTA</t>
  </si>
  <si>
    <t>RBVAR_ASWReset</t>
  </si>
  <si>
    <t>InspectionModeMain_TOYOTA</t>
  </si>
  <si>
    <t>RBAPLCUST_DCOMGenericNvMReadFunctions</t>
  </si>
  <si>
    <t>RBAPLCUST_DCOMGenericNvMWriteFunctions</t>
  </si>
  <si>
    <t>RBAPLCUST_RoutineControl</t>
  </si>
  <si>
    <t>RBAPLCUST_RoutineControl_APSPSensorCalibration_0x1149</t>
  </si>
  <si>
    <t>RBAPLCUST_RoutineControl_CBEST_0x1006</t>
  </si>
  <si>
    <t>RBAPLCUST_RoutineControl_SWHistoryInit_0x11FD</t>
  </si>
  <si>
    <t>NET_ChkLibrary_TOYOTA</t>
  </si>
  <si>
    <t>NET_EquipConditionCheck_TOYOTA</t>
  </si>
  <si>
    <t>NET_INTERFACE_TOYOTA</t>
  </si>
  <si>
    <t>NET_SCL_RcvACN1S07_TOY</t>
  </si>
  <si>
    <t>NET_SCL_RcvBDB1F03_TOY</t>
  </si>
  <si>
    <t>NET_SCL_RcvBDB1S01_TOY</t>
  </si>
  <si>
    <t>NET_SCL_RcvCGW1G01_TOY</t>
  </si>
  <si>
    <t>NET_SCL_RcvCGW1S11_TOY</t>
  </si>
  <si>
    <t>NET_SCL_RcvCGW1S12_TOY</t>
  </si>
  <si>
    <t>NET_SCL_RcvCGW1S13_TOY</t>
  </si>
  <si>
    <t>NET_SCL_RcvCGW1S14_TOY</t>
  </si>
  <si>
    <t>NET_SCL_RcvCGW1S15_TOY</t>
  </si>
  <si>
    <t>NET_SCL_RcvCGW1S16_TOY</t>
  </si>
  <si>
    <t>NET_SCL_RcvCGW1S17_TOY</t>
  </si>
  <si>
    <t>NET_SCL_RcvCGW1S18_TOY</t>
  </si>
  <si>
    <t>NET_SCL_RcvCGW1S21_TOY</t>
  </si>
  <si>
    <t>NET_SCL_RcvCGW1S22_TOY</t>
  </si>
  <si>
    <t>NET_SCL_RcvCGW1S23_TOY</t>
  </si>
  <si>
    <t>NET_SCL_RcvCGW1S24_TOY</t>
  </si>
  <si>
    <t>NET_SCL_RcvCGW1S25_TOY</t>
  </si>
  <si>
    <t>NET_SCL_RcvECO1G01_TOY</t>
  </si>
  <si>
    <t>NET_SCL_RcvECO1S03_TOY</t>
  </si>
  <si>
    <t>NET_SCL_RcvECO1S61_TOY</t>
  </si>
  <si>
    <t>NET_SCL_RcvECO1S90_TOY</t>
  </si>
  <si>
    <t>NET_SCL_RcvECT1G13_TOY</t>
  </si>
  <si>
    <t>NET_SCL_RcvENG1G02_TOY</t>
  </si>
  <si>
    <t>NET_SCL_RcvENG1G03_TOY</t>
  </si>
  <si>
    <t>NET_SCL_RcvENG1G05_TOY</t>
  </si>
  <si>
    <t>NET_SCL_RcvENG1G14_TOY</t>
  </si>
  <si>
    <t>NET_SCL_RcvENG1G17_TOY</t>
  </si>
  <si>
    <t>NET_SCL_RcvENG1G26_TOY</t>
  </si>
  <si>
    <t>NET_SCL_RcvENG1G40_VMC_TOY</t>
  </si>
  <si>
    <t>NET_SCL_RcvENG1G42_VMC_TOY</t>
  </si>
  <si>
    <t>NET_SCL_RcvENG1G43_VMC_TOY</t>
  </si>
  <si>
    <t>NET_SCL_RcvENG1G45_CAN2_VMC_TOY</t>
  </si>
  <si>
    <t>NET_SCL_RcvENG1G90_TOY</t>
  </si>
  <si>
    <t>NET_SCL_RcvEPS1S11_VMC_TOY</t>
  </si>
  <si>
    <t>NET_SCL_RcvFWD1F01_TOY</t>
  </si>
  <si>
    <t>NET_SCL_RcvFWD1S03_TOY</t>
  </si>
  <si>
    <t>NET_SCL_RcvMET1S02_TOY</t>
  </si>
  <si>
    <t>NET_SCL_RcvMET1S47_TOY</t>
  </si>
  <si>
    <t>NET_SCL_RcvRSE1G20_TOY</t>
  </si>
  <si>
    <t>NET_SCL_RcvSTR1S01_TOY</t>
  </si>
  <si>
    <t>NET_SCL_XmtVSC1G05_TOY</t>
  </si>
  <si>
    <t>NET_SCL_XmtVSC1G08_TOY</t>
  </si>
  <si>
    <t>NET_SCL_XmtVSC1G10_TOY</t>
  </si>
  <si>
    <t>NET_SCL_XmtVSC1G11_TOY</t>
  </si>
  <si>
    <t>NET_SCL_XmtVSC1G13_TOY</t>
  </si>
  <si>
    <t>NET_SCL_XmtVSC1G15_TOY</t>
  </si>
  <si>
    <t>NET_SCL_XmtVSC1G31_VMC_TOY</t>
  </si>
  <si>
    <t>NET_SCL_XmtVSC1G32_VMC_TOY</t>
  </si>
  <si>
    <t>NET_SCL_XmtVSC1G33_VMC_TOY</t>
  </si>
  <si>
    <t>NET_SCL_XmtVSC1G34_VMC_TOY</t>
  </si>
  <si>
    <t>NET_SCL_XmtVSC1G36_VMC_TOY</t>
  </si>
  <si>
    <t>NET_SCL_XmtVSC1G80_TOY</t>
  </si>
  <si>
    <t>NET_SCL_XmtVSC1S08_TOY</t>
  </si>
  <si>
    <t>NET_SCL_XmtVSC1S32_TOY</t>
  </si>
  <si>
    <t>NET_SCL_XmtVSC1S80_TOY</t>
  </si>
  <si>
    <t>NET_SCL_XmtVSC1S96_TOY</t>
  </si>
  <si>
    <t>NET_SCL_XmtVSC1S97_TOY</t>
  </si>
  <si>
    <t>StopLamp_Switch_disconnection</t>
  </si>
  <si>
    <t>MT_099</t>
  </si>
  <si>
    <t>MT_112</t>
  </si>
  <si>
    <t>MT_116</t>
  </si>
  <si>
    <t>MT_124</t>
  </si>
  <si>
    <t>MT_139</t>
  </si>
  <si>
    <t>MT_143</t>
  </si>
  <si>
    <t>MT_145</t>
  </si>
  <si>
    <t>MT_148</t>
  </si>
  <si>
    <t>MT_149</t>
  </si>
  <si>
    <t>MT_150</t>
  </si>
  <si>
    <t>MT_151</t>
  </si>
  <si>
    <t>MT_152</t>
  </si>
  <si>
    <t>MT_153</t>
  </si>
  <si>
    <t>MT_154</t>
  </si>
  <si>
    <t>MT_155</t>
  </si>
  <si>
    <t>MT_156</t>
  </si>
  <si>
    <t>MT_157</t>
  </si>
  <si>
    <t>MT_158</t>
  </si>
  <si>
    <t>MT_159</t>
  </si>
  <si>
    <t>MT_160</t>
  </si>
  <si>
    <t>MT_161</t>
  </si>
  <si>
    <t>MT_162</t>
  </si>
  <si>
    <t>MT_163</t>
  </si>
  <si>
    <t>MT_164</t>
  </si>
  <si>
    <t>MT_166</t>
  </si>
  <si>
    <t>MT_167</t>
  </si>
  <si>
    <t>MT_168</t>
  </si>
  <si>
    <t>MT_169</t>
  </si>
  <si>
    <t>MT_171</t>
  </si>
  <si>
    <t>MT_172</t>
  </si>
  <si>
    <t>MT_173</t>
  </si>
  <si>
    <t>MT_174</t>
  </si>
  <si>
    <t>MT_176</t>
  </si>
  <si>
    <t>MT_177</t>
  </si>
  <si>
    <t>MT_178</t>
  </si>
  <si>
    <t>MT_179</t>
  </si>
  <si>
    <t>MT_181</t>
  </si>
  <si>
    <t>MT_182</t>
  </si>
  <si>
    <t>MT_184</t>
  </si>
  <si>
    <t>MT_186</t>
  </si>
  <si>
    <t>MT_187</t>
  </si>
  <si>
    <t>MT_189</t>
  </si>
  <si>
    <t>MT_190</t>
  </si>
  <si>
    <t>MT_191</t>
  </si>
  <si>
    <t>MT_193</t>
  </si>
  <si>
    <t>MT_194</t>
  </si>
  <si>
    <t>MT_195</t>
  </si>
  <si>
    <t>MT_199</t>
  </si>
  <si>
    <t>MT_200</t>
  </si>
  <si>
    <t>MT_202</t>
  </si>
  <si>
    <t>MT_203</t>
  </si>
  <si>
    <t>MT_205</t>
  </si>
  <si>
    <t>MT_207</t>
  </si>
  <si>
    <t>MT_209</t>
  </si>
  <si>
    <t>MT_210</t>
  </si>
  <si>
    <t>MT_211</t>
  </si>
  <si>
    <t>MT_212</t>
  </si>
  <si>
    <t>MT_214</t>
  </si>
  <si>
    <t>MT_215</t>
  </si>
  <si>
    <t>MT_216</t>
  </si>
  <si>
    <t>MT_218</t>
  </si>
  <si>
    <t>MT_219</t>
  </si>
  <si>
    <t>MT_222</t>
  </si>
  <si>
    <t>MT_223</t>
  </si>
  <si>
    <t>MT_227</t>
  </si>
  <si>
    <t>Vivek Parashar (RBEI/ESJ6)</t>
  </si>
  <si>
    <t>Ranjith Kumar C Shiva (RBEI/ESJ6)</t>
  </si>
  <si>
    <t>Deepak Moncey Easow (RBEI/ESJ6)</t>
  </si>
  <si>
    <t>Harish Penchala (RBEI/ESJ-ATO)</t>
  </si>
  <si>
    <t>Nithin N E (RBEI/ESJ32)</t>
  </si>
  <si>
    <t>D_Rajashekar Shruti (RBEI/ESJ33)</t>
  </si>
  <si>
    <t>Siake Yves (CC-AS/ESB3)</t>
  </si>
  <si>
    <t>Kavya K M (RBEI/ESJ33)</t>
  </si>
  <si>
    <t>Rao Ananya (RBEI/ESJ32)</t>
  </si>
  <si>
    <t>Chandrasekar Ramasamy (RBEI/ESJ33)</t>
  </si>
  <si>
    <t>Krithika Premkumar (RBEI/ESJ32)</t>
  </si>
  <si>
    <t>Jotheshwari Subramanian (RBEI/ESJ1)</t>
  </si>
  <si>
    <t>Sharanu Patil (RBEI/ESJ32)</t>
  </si>
  <si>
    <t>Sharma Vineet Kumar (CC-AS/EAS3-NA)</t>
  </si>
  <si>
    <t>Justin X (RBEI/ESJ3)</t>
  </si>
  <si>
    <t>ToyotaCMP_BB80080</t>
  </si>
  <si>
    <t>-Don't have function to test</t>
  </si>
  <si>
    <t>Owner confirm it could be ignore</t>
  </si>
  <si>
    <t>1. Can’ t cover FALSE case of condition at line #206 because ls_SystemInitCounter_UW is always assigned by C_HMISystemInitTimeSpanCycleCounter_UW (is a constant greater than 0) 
2. Can’t cover full MCDC at line #228 because ls_HMI_SmmCurrModestate_N == C_SMM_NET_ON_N appear two times in this decision. Thus can’t cover case ((F &amp;&amp; ?) || (T &amp;&amp; T)) and ((T &amp;&amp; F) || (T &amp;&amp; F))</t>
  </si>
  <si>
    <t>- Get assignment phase 3: 6/8/2020 =&gt; Complete 6/12/2020</t>
  </si>
  <si>
    <t>- Get phase 1: 20200529 =&gt; Complete 20200612</t>
  </si>
  <si>
    <t>-Issue by Cantata tool</t>
  </si>
  <si>
    <t>NET_SCL_Tx_TotalBrakeForce_DFLZM.c</t>
  </si>
  <si>
    <t>RBHMI_ConfigOutputDriver_F30.c</t>
  </si>
  <si>
    <t>T511</t>
  </si>
  <si>
    <t>T512</t>
  </si>
  <si>
    <t>T513</t>
  </si>
  <si>
    <t>T514</t>
  </si>
  <si>
    <t>For test script 2, with SCL_EngineTorqueLoss_callout is not defien, at line 135 can't cover fully MCDC 1&amp;&amp;1&amp;&amp;0&amp;&amp;1
=&gt;No impact</t>
  </si>
  <si>
    <t>GWM_AB30_CP_IntMainstreamF30\rba\as\Bldr\CNMS\comps\ApplicationLayer\rba_BldrCmp\src\rba_BldrCmp_10DiagnosticSessionControl.c</t>
  </si>
  <si>
    <t>GWM_AB30_CP_IntMainstreamF30\rba\as\Bldr\CNMS\comps\ApplicationLayer\rba_BldrCmp\src\rba_BldrCmp.c</t>
  </si>
  <si>
    <t>GWM_AB30_CP_IntMainstreamF30\rba\as\Bldr\CNMS\comps\ApplicationLayer\rba_BldrCmp\src\rba_BldrCmp_27SecurityAccess.c</t>
  </si>
  <si>
    <t>Line #140: Can't cover full C1 for this condition. Because type of variable "l_SigFiltered_B" is boolean</t>
  </si>
  <si>
    <t>- Developer said that deadcode is not supported in src code.</t>
  </si>
  <si>
    <t>-No function for testing</t>
  </si>
  <si>
    <t>BYD_Carbon_ESP93_Int\MainstreamF30\rb\as\byd\Bydcarbon\app\dsm\RBVoltageHandler\src\RBVoltageHandler_ParameterConfiguration_PRJ.c</t>
  </si>
  <si>
    <t>BYD_Carbon_ESP93_Int\MainstreamF30\rb\as\byd\Bydcarbon\app\dsm\RBHMI\src\RBHMI_ConfigOutputDriver_PRJ.c</t>
  </si>
  <si>
    <t>BYD_Carbon_ESP93_Int\MainstreamF30\rb\as\byd\Bydcarbon\app\dsm\RBHMI\src\RBHMI_ExtStateCalculation_PRJ.c</t>
  </si>
  <si>
    <t>BYD_Carbon_ESP93_Int\MainstreamF30\rb\as\byd\Bydcarbon\app\dsm\RBHMI\src\RBHMI_ExtStatesDefinitionTable.c</t>
  </si>
  <si>
    <t>BYD_Carbon_ESP93_Int\MainstreamF30\rb\as\byd\Bydcarbon\app\dsm\RBHMI\src\RBHMI_PresentStateCalculation_PRJ.c</t>
  </si>
  <si>
    <t>BYD_Carbon_ESP93_Int\MainstreamF30\rb\as\byd\Bydcarbon\app\dsm\RBHMI\src\RBHMI_StatesDefinitionTable_PRJ.c</t>
  </si>
  <si>
    <t>BYD_Carbon_ESP93_Int\MainstreamF30\rb\as\byd\Bydcarbon\app\dsm\RBHMI\src\RBHMI_Synchronisation_PRJ.c</t>
  </si>
  <si>
    <t>Actual LOC: 336</t>
  </si>
  <si>
    <t>Actual LOC: 128</t>
  </si>
  <si>
    <t>Actual LOC: 1432. No function to test</t>
  </si>
  <si>
    <t>BYD_IPB_BL05_Int\BYDIPB\rb\as\BYD\ipb\app\net\RBScl_TPMS\src</t>
  </si>
  <si>
    <t>DFSK_ESP93_Mainstream_Int\MainstreamF30\rba\Bldr\config\ApplicationLayer\rba_BldrCmp\src</t>
  </si>
  <si>
    <t>DFSK_ESP93_Mainstream_Int\MainstreamF30\rba\Bldr\config\Infrastruct\rba_AS_HWProt\src</t>
  </si>
  <si>
    <t>Double effort 
Please comment follow ASPICE Standard 
Reuse OPL mail</t>
  </si>
  <si>
    <t>Count for total project since 8-Jun-2020, Member join since 11-Jun-2020</t>
  </si>
  <si>
    <t>- Get phase 2: 20200612 =&gt; Complete 20200617</t>
  </si>
  <si>
    <t>Can't cover FALSE case at line #615, #749 =&gt; No impact</t>
  </si>
  <si>
    <t>DLPC_Act</t>
  </si>
  <si>
    <t>DLPC_Enable</t>
  </si>
  <si>
    <t>DLPC_Slip</t>
  </si>
  <si>
    <t>pMC_Gradient</t>
  </si>
  <si>
    <t>Toy_AEB_SSMDegradation</t>
  </si>
  <si>
    <t>Toyota_AEB_BH_DAMODE</t>
  </si>
  <si>
    <t>Toyota_PCS_FS_dFx_Coordination</t>
  </si>
  <si>
    <t>Toyota_PCS_FS_FPB_PB_Jerk_Limitation</t>
  </si>
  <si>
    <t>Toyota_ACC_BH_DAMODE</t>
  </si>
  <si>
    <t>Toyota_VMC_CDD_FB_CalcLimitation</t>
  </si>
  <si>
    <t>cal_FxVeh_EqualWheelpressure</t>
  </si>
  <si>
    <t>Toyota_DRA_Feed_Forward_Ctrl</t>
  </si>
  <si>
    <t>Toyota_DRA_FFC_Config</t>
  </si>
  <si>
    <t>Toyota_DRA_pTgtEst</t>
  </si>
  <si>
    <t>Toyota_ECDCHysteresis</t>
  </si>
  <si>
    <t>Toyota_VlcRsp_Decision</t>
  </si>
  <si>
    <t>Toyota_VMC_For_EC2DC_Hysteresis</t>
  </si>
  <si>
    <t>TOY_PT_CC_Filter</t>
  </si>
  <si>
    <t>TOY_TCS_CC_Filter</t>
  </si>
  <si>
    <t>VSE_DynamicDrivetrain</t>
  </si>
  <si>
    <t>VSE_ModelErrorHandling_ModelErrorCombined_raw</t>
  </si>
  <si>
    <t>VSE_ModelErrorHandling_ModelErrorDrivetrain_Adaptation</t>
  </si>
  <si>
    <t>VSE_ModelErrorHandling_ModelErrorDrivetrain_raw</t>
  </si>
  <si>
    <t>VSE_ModelErrorHandling_ModelErrorRoad_raw</t>
  </si>
  <si>
    <t>Toyota_AOF_FxTar_dFx_limit</t>
  </si>
  <si>
    <t>Toyota_AOF_pMcGradient</t>
  </si>
  <si>
    <t>Toyota_AOF_PumpAct</t>
  </si>
  <si>
    <t>AVS_Valid_Check</t>
  </si>
  <si>
    <t>Toyota_ax_From_PT</t>
  </si>
  <si>
    <t>rb.as.core.app.asw.alc.alc5ms20ms</t>
  </si>
  <si>
    <t>rb.as.core.app.asw.ldm.aeb</t>
  </si>
  <si>
    <t>rb.as.core.app.asw.ldm.cdd</t>
  </si>
  <si>
    <t>rb.as.core.app.asw.ldm.ebp</t>
  </si>
  <si>
    <t>rb.as.core.app.asw.ldm.vlc</t>
  </si>
  <si>
    <t>rb.as.core.app.asw.pwt.ptfwdrwdawd4wd</t>
  </si>
  <si>
    <t>rb.as.core.app.asw.tcs.leantcs20msvse</t>
  </si>
  <si>
    <t>rb.as.toy.cmpuhd.app.asw.aof</t>
  </si>
  <si>
    <t>rb.as.toy.cmpuhd.app.asw.avs</t>
  </si>
  <si>
    <t>Vinothkumar, Kuppusamy</t>
  </si>
  <si>
    <t>Bade, Kishore</t>
  </si>
  <si>
    <t>Liu, Yiqing</t>
  </si>
  <si>
    <t>Wako, Takayuki</t>
  </si>
  <si>
    <t>Koizumi, Tafu</t>
  </si>
  <si>
    <t>Varghese, Anisha Mariam</t>
  </si>
  <si>
    <t>Oates, Robert</t>
  </si>
  <si>
    <t>Morishita, Takahito</t>
  </si>
  <si>
    <t>Ramesh, Pulipati</t>
  </si>
  <si>
    <t>MT_300</t>
  </si>
  <si>
    <t>MT_301</t>
  </si>
  <si>
    <t>MT_302</t>
  </si>
  <si>
    <t>MT_303</t>
  </si>
  <si>
    <t>MT_311</t>
  </si>
  <si>
    <t>MT_312</t>
  </si>
  <si>
    <t>MT_313</t>
  </si>
  <si>
    <t>MT_314</t>
  </si>
  <si>
    <t>MT_320</t>
  </si>
  <si>
    <t>MT_321</t>
  </si>
  <si>
    <t>MT_326</t>
  </si>
  <si>
    <t>MT_327</t>
  </si>
  <si>
    <t>MT_328</t>
  </si>
  <si>
    <t>MT_329</t>
  </si>
  <si>
    <t>MT_331</t>
  </si>
  <si>
    <t>MT_332</t>
  </si>
  <si>
    <t>MT_333</t>
  </si>
  <si>
    <t>MT_341</t>
  </si>
  <si>
    <t>MT_348</t>
  </si>
  <si>
    <t>MT_350</t>
  </si>
  <si>
    <t>MT_351</t>
  </si>
  <si>
    <t>MT_352</t>
  </si>
  <si>
    <t>MT_353</t>
  </si>
  <si>
    <t>MT_354</t>
  </si>
  <si>
    <t>MT_360</t>
  </si>
  <si>
    <t>MT_362</t>
  </si>
  <si>
    <t>MT_363</t>
  </si>
  <si>
    <t>MT_364</t>
  </si>
  <si>
    <t>MT_365</t>
  </si>
  <si>
    <t>CSMosarASWMainstream93_TMC_PF19UHDCMP</t>
  </si>
  <si>
    <t>1.2</t>
  </si>
  <si>
    <t>2.1</t>
  </si>
  <si>
    <t>1.4</t>
  </si>
  <si>
    <t>1.1</t>
  </si>
  <si>
    <t>100.0.118.0</t>
  </si>
  <si>
    <t>118.0</t>
  </si>
  <si>
    <t>T521</t>
  </si>
  <si>
    <t>T522</t>
  </si>
  <si>
    <t>T523</t>
  </si>
  <si>
    <t>T524</t>
  </si>
  <si>
    <t>Line #45 : Can't cover case assignment to EPBLockMaxDurationTimer out range max. Because of max value of the variable EPBLockMaxDurationTimer is equal to 5 and tolerance is 0.005, and max value of local parameter C_SSMtVehSecuredReqMax is equal to 5, and the imported parameter P_AEBdT is equal to 0.005 (non-calib). =&gt; when the condition at line #42 is TRUE, local param C_SSMtVehSecuredReqMax = 5, variable EPBLockMaxDurationTimer = 4.995. =&gt; at line #45: max of value EPBLockMaxDurationTimer = 4.995 + 0.005 = 5
Line #76: Can't cover default case of switch case at "switch (SsmState)" at line #3. Because of type of variable SsmState is type enum "SSMState".</t>
  </si>
  <si>
    <t>Jun: 18</t>
  </si>
  <si>
    <t>Param 1D can't cover full C0/C1
'- Can't cover outrange max of VlcAXCKiMassDt at line #34, VlcAXCKpMass at line #35 because C_VlcAXCKiMassDt_High,C_VlcAXCKiMassDt_Middle,C_VlcAXCKiMassDt_Low,C_VlcAXCKiMassDt,C_VlcAXCKpMass_High,C_VlcAXCKpMass_Middle,C_VlcAXCKpMass_Low,C_VlcAXCKpMass never reach to max value</t>
  </si>
  <si>
    <t>Can't cover outrange max and outrange at line #1 because Out = Out (max: 1 - min: 0) + P_Kp(max: 1 - min: 0) * (In (max: 1 - min: 0) - Out(max: 1 - min: 0)); never &lt;0 and &gt; 1</t>
  </si>
  <si>
    <t>Can't cover outrange max and outrange at line #1 because Out = Out (max: 30000 - min: -30000) + P_Kp(max: 1 - min: 0) * (In (max: 30000 - min: -30000) - Out(max: 30000 - min: -30000)); never &lt;-30000 and &gt; 30000</t>
  </si>
  <si>
    <t>Jun: 19</t>
  </si>
  <si>
    <t>cannot cover default case of switch case because limition of enum SsmState (0-3)</t>
  </si>
  <si>
    <t>Cannot cover full C0/C1 because of Param1D at line 6</t>
  </si>
  <si>
    <t>Can't cover division by zero for mTar_sint16 = modelError_raw / ax.abs(); at line #29 because if ax.abs() = 0 -&gt; line #24 if (ax.abs() &gt; P_axLim (min:0.1 )) = False - &gt; this line never reach</t>
  </si>
  <si>
    <t>na</t>
  </si>
  <si>
    <t xml:space="preserve">+ At calc #5:
 cannot cover (_t1uint32 == 0U) ? (asdWriteUserError "Run Time Error: division by zero with variable &lt;EXPR&gt; in component &lt;Toyota_ax_From_PT::Impl&gt;\n", _t1sint32.
_t1uint32 =  P_Vehiclemass*loc_Par_wheelRadius
_t1uint32 always &gt; 0 because P_Vehiclemass[100;16000], loc_Par_wheelRadius[1.25,3] </t>
  </si>
  <si>
    <t>- Get phase 3: 20200616 =&gt; Complete 20200618</t>
  </si>
  <si>
    <t>KX63_FL_ACC_232961_BSS04</t>
  </si>
  <si>
    <t>CHERY_ESP93_CMP_RBEI_INTEGRATION</t>
  </si>
  <si>
    <t>BB81384, BB81652</t>
  </si>
  <si>
    <t>Moogambika Ratha Krishnan (RBEI/EBB7)</t>
  </si>
  <si>
    <t>-Can't cover for MAX value of Node_RespPositive_Counter at line #23 due to conflict above condition.
Can't cover MAX value of Node_RespArbitrate_Counter at line #45 due to conflict above condition.</t>
  </si>
  <si>
    <t>CHERY_ESP93_CMP_RBEI_INTEGRATION\MainstreamF30\rba\Bldr\config\ApplicationLayer\rba_BldrCmp\src</t>
  </si>
  <si>
    <t>Couldn’t coverage MCDC – 01 of decision if at line#46 because when line#43 was executed</t>
  </si>
  <si>
    <t>-Re-use OPL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</si>
</sst>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51"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sz val="12"/>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0"/>
      <color rgb="FF9C6500"/>
      <name val="Calibri"/>
      <family val="2"/>
      <scheme val="minor"/>
    </font>
    <font>
      <sz val="10"/>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0"/>
      <color theme="1"/>
      <name val="Symbol"/>
      <family val="1"/>
      <charset val="2"/>
    </font>
    <font>
      <sz val="7"/>
      <color theme="1"/>
      <name val="Times New Roman"/>
      <family val="1"/>
    </font>
    <font>
      <sz val="10"/>
      <color rgb="FF000000"/>
      <name val="Courier New"/>
      <family val="3"/>
    </font>
    <font>
      <sz val="11"/>
      <color theme="1"/>
      <name val="Calibri"/>
      <family val="2"/>
    </font>
    <font>
      <sz val="11"/>
      <color rgb="FF000000"/>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color theme="1"/>
      <name val="Arial"/>
      <family val="2"/>
    </font>
    <font>
      <sz val="11"/>
      <color rgb="FFFFFF00"/>
      <name val="Calibri"/>
      <family val="2"/>
    </font>
    <font>
      <sz val="11"/>
      <color theme="1"/>
      <name val="Calibri"/>
      <family val="2"/>
      <scheme val="minor"/>
    </font>
    <font>
      <sz val="11"/>
      <color theme="1"/>
      <name val="Bosch Office Sans"/>
    </font>
    <font>
      <sz val="11"/>
      <color theme="1"/>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0" tint="-0.499984740745262"/>
        <bgColor indexed="65"/>
      </patternFill>
    </fill>
    <fill>
      <patternFill patternType="solid">
        <fgColor rgb="FFFFC0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
      <patternFill patternType="solid">
        <fgColor theme="9" tint="0.39997558519241921"/>
        <bgColor indexed="64"/>
      </patternFill>
    </fill>
    <fill>
      <patternFill patternType="solid">
        <fgColor rgb="FFC6EFCE"/>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C000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bgColor indexed="64"/>
      </patternFill>
    </fill>
    <fill>
      <patternFill patternType="solid">
        <fgColor rgb="FF92D050"/>
        <bgColor indexed="64"/>
      </patternFill>
    </fill>
    <fill>
      <patternFill patternType="solid">
        <fgColor theme="8"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s>
  <cellStyleXfs count="3">
    <xf numFmtId="0" fontId="0" fillId="0" borderId="0"/>
    <xf numFmtId="0" fontId="7" fillId="0" borderId="0"/>
    <xf numFmtId="0" fontId="9" fillId="7" borderId="0" applyNumberFormat="0" applyBorder="0" applyAlignment="0" applyProtection="0"/>
  </cellStyleXfs>
  <cellXfs count="260">
    <xf numFmtId="0" fontId="0" fillId="0" borderId="0" xfId="0"/>
    <xf numFmtId="0" fontId="4" fillId="0" borderId="0" xfId="0" applyFont="1"/>
    <xf numFmtId="0" fontId="4" fillId="0" borderId="1" xfId="0" applyFont="1" applyBorder="1"/>
    <xf numFmtId="0" fontId="0" fillId="0" borderId="1" xfId="0" applyBorder="1"/>
    <xf numFmtId="0" fontId="4" fillId="0" borderId="1" xfId="0" applyFont="1" applyFill="1" applyBorder="1"/>
    <xf numFmtId="0" fontId="0" fillId="0" borderId="0" xfId="0" applyBorder="1"/>
    <xf numFmtId="14" fontId="0" fillId="0" borderId="0" xfId="0" applyNumberFormat="1"/>
    <xf numFmtId="0" fontId="0" fillId="0" borderId="0" xfId="0" applyNumberFormat="1"/>
    <xf numFmtId="0" fontId="4" fillId="2" borderId="1" xfId="0" applyFont="1" applyFill="1" applyBorder="1" applyAlignment="1">
      <alignment horizontal="center" vertical="center" wrapText="1"/>
    </xf>
    <xf numFmtId="0" fontId="5" fillId="0" borderId="0" xfId="0" applyFont="1"/>
    <xf numFmtId="0" fontId="4"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6" fillId="0" borderId="1" xfId="0" applyNumberFormat="1" applyFont="1" applyFill="1" applyBorder="1" applyAlignment="1" applyProtection="1">
      <alignment horizontal="left" vertical="top"/>
    </xf>
    <xf numFmtId="0" fontId="3" fillId="0" borderId="0" xfId="0" applyFont="1" applyAlignment="1">
      <alignment vertical="center"/>
    </xf>
    <xf numFmtId="0" fontId="3" fillId="0" borderId="0" xfId="0" quotePrefix="1" applyFont="1" applyAlignment="1">
      <alignment vertical="center"/>
    </xf>
    <xf numFmtId="0" fontId="0" fillId="0" borderId="0" xfId="0" applyAlignment="1">
      <alignment vertical="top"/>
    </xf>
    <xf numFmtId="0" fontId="8" fillId="2" borderId="1" xfId="0" applyFont="1" applyFill="1" applyBorder="1" applyAlignment="1">
      <alignment horizontal="center"/>
    </xf>
    <xf numFmtId="0" fontId="8" fillId="5" borderId="2"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6" fillId="2" borderId="1" xfId="0" applyNumberFormat="1" applyFont="1" applyFill="1" applyBorder="1" applyAlignment="1" applyProtection="1">
      <alignment horizontal="left" vertical="top"/>
    </xf>
    <xf numFmtId="0" fontId="10" fillId="0" borderId="0" xfId="0" applyFont="1"/>
    <xf numFmtId="0" fontId="10" fillId="2" borderId="1" xfId="0" applyFont="1" applyFill="1" applyBorder="1" applyAlignment="1">
      <alignment horizontal="center" vertical="center"/>
    </xf>
    <xf numFmtId="0" fontId="10" fillId="2" borderId="1" xfId="0" applyFont="1" applyFill="1" applyBorder="1" applyAlignment="1">
      <alignment horizontal="center" vertical="center" wrapText="1"/>
    </xf>
    <xf numFmtId="0" fontId="0" fillId="0" borderId="1" xfId="0" applyBorder="1" applyAlignment="1">
      <alignment horizontal="right" vertical="center"/>
    </xf>
    <xf numFmtId="0" fontId="4"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4" fillId="2" borderId="5" xfId="0" applyFont="1" applyFill="1" applyBorder="1" applyAlignment="1">
      <alignment vertical="center"/>
    </xf>
    <xf numFmtId="0" fontId="4" fillId="2" borderId="6" xfId="0" applyFont="1" applyFill="1" applyBorder="1" applyAlignment="1">
      <alignment vertical="center"/>
    </xf>
    <xf numFmtId="0" fontId="4" fillId="2" borderId="7" xfId="0" applyFont="1" applyFill="1" applyBorder="1" applyAlignment="1">
      <alignment vertical="center"/>
    </xf>
    <xf numFmtId="0" fontId="0" fillId="8" borderId="1" xfId="0" quotePrefix="1" applyFont="1" applyFill="1" applyBorder="1" applyAlignment="1">
      <alignment horizontal="left" vertical="top"/>
    </xf>
    <xf numFmtId="0" fontId="4" fillId="2" borderId="1" xfId="0" applyFont="1" applyFill="1" applyBorder="1" applyAlignment="1">
      <alignment horizontal="left" vertical="top"/>
    </xf>
    <xf numFmtId="0" fontId="4" fillId="2" borderId="1" xfId="0" applyFont="1" applyFill="1" applyBorder="1" applyAlignment="1">
      <alignment horizontal="center" vertical="center"/>
    </xf>
    <xf numFmtId="0" fontId="0" fillId="0" borderId="1" xfId="0" applyFill="1" applyBorder="1" applyAlignment="1">
      <alignment horizontal="center" vertical="center"/>
    </xf>
    <xf numFmtId="0" fontId="4" fillId="0" borderId="1" xfId="0" applyFont="1" applyBorder="1" applyAlignment="1">
      <alignment horizontal="left" vertical="top"/>
    </xf>
    <xf numFmtId="0" fontId="4"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4" fillId="0" borderId="1" xfId="0" applyFont="1" applyBorder="1" applyAlignment="1">
      <alignment vertical="top"/>
    </xf>
    <xf numFmtId="0" fontId="4"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4" fillId="0" borderId="0" xfId="0" applyFont="1" applyAlignment="1">
      <alignment vertical="top"/>
    </xf>
    <xf numFmtId="0" fontId="9"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4" borderId="1" xfId="0" applyFont="1" applyFill="1" applyBorder="1" applyAlignment="1">
      <alignment vertical="top"/>
    </xf>
    <xf numFmtId="0" fontId="11" fillId="2" borderId="0" xfId="0" applyFont="1" applyFill="1"/>
    <xf numFmtId="0" fontId="0" fillId="9" borderId="0" xfId="0" applyFill="1"/>
    <xf numFmtId="0" fontId="0" fillId="4" borderId="1" xfId="0" applyFont="1" applyFill="1" applyBorder="1" applyAlignment="1">
      <alignment vertical="top"/>
    </xf>
    <xf numFmtId="0" fontId="0" fillId="0" borderId="1" xfId="0" quotePrefix="1" applyBorder="1" applyAlignment="1">
      <alignment horizontal="left" vertical="top"/>
    </xf>
    <xf numFmtId="0" fontId="12" fillId="0" borderId="0" xfId="0" applyFont="1" applyAlignment="1">
      <alignment vertical="top"/>
    </xf>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4" fillId="2" borderId="1" xfId="0" applyFont="1" applyFill="1" applyBorder="1" applyAlignment="1">
      <alignment vertical="top"/>
    </xf>
    <xf numFmtId="0" fontId="4" fillId="5" borderId="1" xfId="0" applyFont="1" applyFill="1" applyBorder="1" applyAlignment="1">
      <alignment vertical="top"/>
    </xf>
    <xf numFmtId="0" fontId="15" fillId="0" borderId="1" xfId="0" applyFont="1" applyBorder="1"/>
    <xf numFmtId="0" fontId="0" fillId="5" borderId="1" xfId="0" applyFont="1" applyFill="1" applyBorder="1" applyAlignment="1">
      <alignment horizontal="left" vertical="top"/>
    </xf>
    <xf numFmtId="164" fontId="0" fillId="0" borderId="1" xfId="0" applyNumberFormat="1" applyBorder="1" applyAlignment="1">
      <alignment horizontal="left" vertical="top"/>
    </xf>
    <xf numFmtId="0" fontId="6" fillId="10" borderId="1" xfId="0" applyNumberFormat="1" applyFont="1" applyFill="1" applyBorder="1" applyAlignment="1" applyProtection="1">
      <alignment horizontal="left" vertical="top"/>
    </xf>
    <xf numFmtId="0" fontId="0" fillId="2" borderId="0" xfId="0" applyFill="1"/>
    <xf numFmtId="0" fontId="16"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6" fillId="13" borderId="1" xfId="0" applyNumberFormat="1" applyFont="1" applyFill="1" applyBorder="1" applyAlignment="1" applyProtection="1">
      <alignment horizontal="left" vertical="top"/>
    </xf>
    <xf numFmtId="0" fontId="6" fillId="14" borderId="1" xfId="0" applyNumberFormat="1" applyFont="1" applyFill="1" applyBorder="1" applyAlignment="1" applyProtection="1">
      <alignment horizontal="left" vertical="top"/>
    </xf>
    <xf numFmtId="0" fontId="17" fillId="0" borderId="1" xfId="0" quotePrefix="1" applyFont="1" applyBorder="1" applyAlignment="1">
      <alignment horizontal="left" vertical="top"/>
    </xf>
    <xf numFmtId="0" fontId="6" fillId="15" borderId="1" xfId="0" applyNumberFormat="1" applyFont="1" applyFill="1" applyBorder="1" applyAlignment="1" applyProtection="1">
      <alignment horizontal="left" vertical="top"/>
    </xf>
    <xf numFmtId="0" fontId="6" fillId="16" borderId="1" xfId="0" applyNumberFormat="1" applyFont="1" applyFill="1" applyBorder="1" applyAlignment="1" applyProtection="1">
      <alignment horizontal="left" vertical="top"/>
    </xf>
    <xf numFmtId="0" fontId="18" fillId="0" borderId="1" xfId="0" applyFont="1" applyBorder="1" applyAlignment="1">
      <alignment horizontal="left" vertical="top"/>
    </xf>
    <xf numFmtId="0" fontId="0" fillId="12" borderId="1" xfId="0"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17" fillId="0" borderId="0" xfId="0" applyFont="1"/>
    <xf numFmtId="0" fontId="17" fillId="2" borderId="1" xfId="0" applyFont="1" applyFill="1" applyBorder="1" applyAlignment="1">
      <alignment horizontal="center" vertical="center"/>
    </xf>
    <xf numFmtId="0" fontId="17" fillId="2" borderId="1" xfId="0" applyFont="1" applyFill="1" applyBorder="1" applyAlignment="1">
      <alignment horizontal="center" vertical="center" wrapText="1"/>
    </xf>
    <xf numFmtId="0" fontId="19" fillId="0" borderId="0" xfId="0" quotePrefix="1" applyFont="1"/>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1" borderId="1" xfId="0" quotePrefix="1" applyFont="1" applyFill="1" applyBorder="1" applyAlignment="1">
      <alignment horizontal="left" vertical="top"/>
    </xf>
    <xf numFmtId="0" fontId="18" fillId="0" borderId="1" xfId="0" quotePrefix="1" applyFont="1" applyBorder="1" applyAlignment="1">
      <alignment horizontal="left" vertical="top"/>
    </xf>
    <xf numFmtId="0" fontId="0" fillId="0" borderId="0" xfId="0" applyFont="1" applyFill="1"/>
    <xf numFmtId="164" fontId="20" fillId="0" borderId="1" xfId="0" applyNumberFormat="1" applyFont="1" applyFill="1" applyBorder="1" applyAlignment="1">
      <alignment horizontal="left" vertical="top"/>
    </xf>
    <xf numFmtId="10" fontId="20" fillId="0" borderId="1" xfId="0" applyNumberFormat="1" applyFont="1" applyFill="1" applyBorder="1" applyAlignment="1">
      <alignment horizontal="left" vertical="top"/>
    </xf>
    <xf numFmtId="0" fontId="20" fillId="0" borderId="0" xfId="0" applyFont="1" applyFill="1"/>
    <xf numFmtId="0" fontId="20" fillId="0" borderId="1" xfId="0" applyFont="1" applyFill="1" applyBorder="1" applyAlignment="1">
      <alignment horizontal="left" vertical="top"/>
    </xf>
    <xf numFmtId="0" fontId="20" fillId="0" borderId="1" xfId="0" quotePrefix="1" applyFont="1" applyFill="1" applyBorder="1" applyAlignment="1">
      <alignment horizontal="left" vertical="top"/>
    </xf>
    <xf numFmtId="0" fontId="20" fillId="0" borderId="1" xfId="0" applyFont="1" applyBorder="1" applyAlignment="1">
      <alignment horizontal="left" vertical="top"/>
    </xf>
    <xf numFmtId="0" fontId="21" fillId="0" borderId="0" xfId="0" applyFont="1"/>
    <xf numFmtId="0" fontId="21" fillId="2" borderId="1" xfId="0" applyFont="1" applyFill="1" applyBorder="1" applyAlignment="1">
      <alignment horizontal="center" vertical="center"/>
    </xf>
    <xf numFmtId="0" fontId="21" fillId="2" borderId="1" xfId="0" applyFont="1" applyFill="1" applyBorder="1" applyAlignment="1">
      <alignment horizontal="center" vertical="center" wrapText="1"/>
    </xf>
    <xf numFmtId="0" fontId="22" fillId="0" borderId="0" xfId="0" quotePrefix="1" applyFont="1"/>
    <xf numFmtId="0" fontId="24" fillId="15" borderId="1" xfId="0" applyNumberFormat="1" applyFont="1" applyFill="1" applyBorder="1" applyAlignment="1" applyProtection="1">
      <alignment horizontal="left" vertical="top"/>
    </xf>
    <xf numFmtId="0" fontId="25" fillId="8" borderId="1" xfId="0" quotePrefix="1" applyFont="1" applyFill="1" applyBorder="1" applyAlignment="1">
      <alignment horizontal="left" vertical="top"/>
    </xf>
    <xf numFmtId="0" fontId="25" fillId="11" borderId="1" xfId="0" quotePrefix="1" applyFont="1" applyFill="1" applyBorder="1" applyAlignment="1">
      <alignment horizontal="left" vertical="top"/>
    </xf>
    <xf numFmtId="0" fontId="25" fillId="0" borderId="1" xfId="0" applyFont="1" applyBorder="1" applyAlignment="1">
      <alignment horizontal="left" vertical="top"/>
    </xf>
    <xf numFmtId="0" fontId="23" fillId="2" borderId="1" xfId="0" applyFont="1" applyFill="1" applyBorder="1" applyAlignment="1">
      <alignment horizontal="center" vertical="center" wrapText="1"/>
    </xf>
    <xf numFmtId="0" fontId="25" fillId="0" borderId="1" xfId="0" applyFont="1" applyFill="1" applyBorder="1" applyAlignment="1">
      <alignment horizontal="left" vertical="top"/>
    </xf>
    <xf numFmtId="164" fontId="25" fillId="0" borderId="1" xfId="0" applyNumberFormat="1" applyFont="1" applyFill="1" applyBorder="1" applyAlignment="1">
      <alignment horizontal="left" vertical="top"/>
    </xf>
    <xf numFmtId="10" fontId="25" fillId="0" borderId="1" xfId="0" applyNumberFormat="1" applyFont="1" applyFill="1" applyBorder="1" applyAlignment="1">
      <alignment horizontal="left" vertical="top"/>
    </xf>
    <xf numFmtId="0" fontId="25" fillId="0" borderId="0" xfId="0" applyFont="1" applyFill="1"/>
    <xf numFmtId="0" fontId="25" fillId="0" borderId="1" xfId="0" quotePrefix="1" applyFont="1" applyFill="1" applyBorder="1" applyAlignment="1">
      <alignment horizontal="left" vertical="top"/>
    </xf>
    <xf numFmtId="16" fontId="0" fillId="0" borderId="1" xfId="0" quotePrefix="1" applyNumberFormat="1" applyFill="1" applyBorder="1" applyAlignment="1">
      <alignment horizontal="center" vertical="center"/>
    </xf>
    <xf numFmtId="0" fontId="6" fillId="17" borderId="1" xfId="0" applyNumberFormat="1" applyFont="1" applyFill="1" applyBorder="1" applyAlignment="1" applyProtection="1">
      <alignment horizontal="left" vertical="top"/>
    </xf>
    <xf numFmtId="0" fontId="6" fillId="18" borderId="1" xfId="0" applyNumberFormat="1" applyFont="1" applyFill="1" applyBorder="1" applyAlignment="1" applyProtection="1">
      <alignment horizontal="left" vertical="top"/>
    </xf>
    <xf numFmtId="0" fontId="0" fillId="0" borderId="1" xfId="0" quotePrefix="1" applyBorder="1" applyAlignment="1"/>
    <xf numFmtId="0" fontId="25" fillId="5" borderId="1" xfId="0" applyFont="1" applyFill="1" applyBorder="1" applyAlignment="1">
      <alignment horizontal="left" vertical="top"/>
    </xf>
    <xf numFmtId="0" fontId="25" fillId="0" borderId="1" xfId="0" quotePrefix="1" applyFont="1" applyBorder="1" applyAlignment="1">
      <alignment horizontal="left" vertical="top"/>
    </xf>
    <xf numFmtId="0" fontId="23" fillId="5" borderId="1" xfId="0" quotePrefix="1" applyFont="1" applyFill="1" applyBorder="1" applyAlignment="1">
      <alignment horizontal="left" vertical="top"/>
    </xf>
    <xf numFmtId="0" fontId="23" fillId="0" borderId="0" xfId="0" applyFont="1"/>
    <xf numFmtId="0" fontId="23" fillId="2" borderId="1" xfId="0" applyFont="1" applyFill="1" applyBorder="1" applyAlignment="1">
      <alignment horizontal="center" vertical="center"/>
    </xf>
    <xf numFmtId="0" fontId="24" fillId="0" borderId="0" xfId="0" quotePrefix="1" applyFont="1"/>
    <xf numFmtId="0" fontId="0" fillId="0" borderId="1" xfId="0" applyFill="1" applyBorder="1" applyAlignment="1">
      <alignment horizontal="left" vertical="top"/>
    </xf>
    <xf numFmtId="0" fontId="6" fillId="20" borderId="1" xfId="0" applyNumberFormat="1" applyFont="1" applyFill="1" applyBorder="1" applyAlignment="1" applyProtection="1">
      <alignment horizontal="left" vertical="top"/>
    </xf>
    <xf numFmtId="0" fontId="26" fillId="0" borderId="1" xfId="0" applyFont="1" applyFill="1" applyBorder="1" applyAlignment="1">
      <alignment horizontal="left" vertical="top"/>
    </xf>
    <xf numFmtId="164" fontId="26" fillId="0" borderId="1" xfId="0" applyNumberFormat="1" applyFont="1" applyFill="1" applyBorder="1" applyAlignment="1">
      <alignment horizontal="left" vertical="top"/>
    </xf>
    <xf numFmtId="0" fontId="26" fillId="0" borderId="0" xfId="0" applyFont="1" applyFill="1"/>
    <xf numFmtId="164" fontId="25" fillId="0" borderId="1" xfId="0" applyNumberFormat="1" applyFont="1" applyBorder="1" applyAlignment="1">
      <alignment horizontal="left" vertical="top"/>
    </xf>
    <xf numFmtId="10" fontId="25" fillId="0" borderId="1" xfId="0" applyNumberFormat="1" applyFont="1" applyBorder="1" applyAlignment="1">
      <alignment horizontal="left" vertical="top"/>
    </xf>
    <xf numFmtId="0" fontId="6" fillId="3" borderId="1" xfId="0" applyNumberFormat="1" applyFont="1" applyFill="1" applyBorder="1" applyAlignment="1" applyProtection="1">
      <alignment horizontal="left" vertical="top"/>
    </xf>
    <xf numFmtId="164" fontId="0" fillId="19" borderId="1" xfId="0" applyNumberFormat="1" applyFill="1" applyBorder="1" applyAlignment="1">
      <alignment horizontal="left" vertical="top"/>
    </xf>
    <xf numFmtId="0" fontId="27" fillId="14" borderId="1" xfId="0" applyNumberFormat="1" applyFont="1" applyFill="1" applyBorder="1" applyAlignment="1" applyProtection="1">
      <alignment horizontal="left" vertical="top"/>
    </xf>
    <xf numFmtId="0" fontId="25" fillId="2" borderId="1" xfId="0" applyFont="1" applyFill="1" applyBorder="1" applyAlignment="1">
      <alignment horizontal="left" vertical="top"/>
    </xf>
    <xf numFmtId="0" fontId="0" fillId="0" borderId="0" xfId="0" applyBorder="1" applyAlignment="1"/>
    <xf numFmtId="0" fontId="0" fillId="0" borderId="0" xfId="0" quotePrefix="1" applyBorder="1" applyAlignment="1"/>
    <xf numFmtId="0" fontId="0" fillId="0" borderId="0" xfId="0" applyFill="1" applyBorder="1" applyAlignment="1"/>
    <xf numFmtId="0" fontId="0" fillId="0" borderId="0" xfId="0" quotePrefix="1" applyFill="1" applyBorder="1" applyAlignment="1"/>
    <xf numFmtId="10" fontId="0" fillId="0" borderId="1" xfId="0" quotePrefix="1" applyNumberFormat="1" applyBorder="1" applyAlignment="1">
      <alignment horizontal="left" vertical="top"/>
    </xf>
    <xf numFmtId="0" fontId="0" fillId="0" borderId="1" xfId="0" quotePrefix="1" applyFill="1" applyBorder="1" applyAlignment="1"/>
    <xf numFmtId="0" fontId="6" fillId="12" borderId="1" xfId="0" applyNumberFormat="1" applyFont="1" applyFill="1" applyBorder="1" applyAlignment="1" applyProtection="1">
      <alignment horizontal="left" vertical="top"/>
    </xf>
    <xf numFmtId="0" fontId="23" fillId="2" borderId="1" xfId="0" quotePrefix="1" applyFont="1" applyFill="1" applyBorder="1" applyAlignment="1">
      <alignment horizontal="left" vertical="top"/>
    </xf>
    <xf numFmtId="0" fontId="23" fillId="2" borderId="1" xfId="0" applyFont="1" applyFill="1" applyBorder="1" applyAlignment="1">
      <alignment horizontal="left" vertical="top"/>
    </xf>
    <xf numFmtId="0" fontId="6" fillId="5" borderId="0" xfId="0" applyFont="1" applyFill="1"/>
    <xf numFmtId="0" fontId="6" fillId="21" borderId="1" xfId="0" applyNumberFormat="1" applyFont="1" applyFill="1" applyBorder="1" applyAlignment="1" applyProtection="1">
      <alignment horizontal="left" vertical="top"/>
    </xf>
    <xf numFmtId="10" fontId="0" fillId="0" borderId="1" xfId="0" applyNumberFormat="1" applyBorder="1" applyAlignment="1">
      <alignment horizontal="left" vertical="top"/>
    </xf>
    <xf numFmtId="46" fontId="0" fillId="0" borderId="1" xfId="0" quotePrefix="1" applyNumberFormat="1" applyFill="1" applyBorder="1" applyAlignment="1">
      <alignment horizontal="center" vertical="center"/>
    </xf>
    <xf numFmtId="0" fontId="0" fillId="0" borderId="1" xfId="0" quotePrefix="1" applyNumberFormat="1" applyFill="1" applyBorder="1" applyAlignment="1">
      <alignment horizontal="center" vertical="center"/>
    </xf>
    <xf numFmtId="0" fontId="0" fillId="0" borderId="4" xfId="0" applyBorder="1"/>
    <xf numFmtId="164" fontId="28" fillId="0" borderId="1" xfId="0" applyNumberFormat="1" applyFont="1" applyFill="1" applyBorder="1" applyAlignment="1">
      <alignment horizontal="left" vertical="top"/>
    </xf>
    <xf numFmtId="0" fontId="28" fillId="0" borderId="1" xfId="0" quotePrefix="1" applyFont="1" applyBorder="1" applyAlignment="1">
      <alignment horizontal="left" vertical="top"/>
    </xf>
    <xf numFmtId="0" fontId="4" fillId="0" borderId="1" xfId="0" quotePrefix="1" applyFont="1" applyBorder="1" applyAlignment="1">
      <alignment horizontal="left" vertical="top"/>
    </xf>
    <xf numFmtId="0" fontId="4" fillId="5" borderId="1" xfId="0" quotePrefix="1" applyFont="1" applyFill="1" applyBorder="1" applyAlignment="1">
      <alignment horizontal="left" vertical="top"/>
    </xf>
    <xf numFmtId="0" fontId="6" fillId="22" borderId="1" xfId="0" applyNumberFormat="1" applyFont="1" applyFill="1" applyBorder="1" applyAlignment="1" applyProtection="1">
      <alignment horizontal="left" vertical="top"/>
    </xf>
    <xf numFmtId="164" fontId="0" fillId="5" borderId="1" xfId="0" applyNumberFormat="1" applyFont="1" applyFill="1" applyBorder="1" applyAlignment="1">
      <alignment horizontal="left" vertical="top"/>
    </xf>
    <xf numFmtId="0" fontId="29" fillId="2" borderId="1" xfId="0" applyFont="1" applyFill="1" applyBorder="1" applyAlignment="1">
      <alignment horizontal="left" vertical="top"/>
    </xf>
    <xf numFmtId="0" fontId="6" fillId="9" borderId="1" xfId="0" applyNumberFormat="1" applyFont="1" applyFill="1" applyBorder="1" applyAlignment="1" applyProtection="1">
      <alignment horizontal="left" vertical="top"/>
    </xf>
    <xf numFmtId="0" fontId="6" fillId="23" borderId="1" xfId="0" applyNumberFormat="1" applyFont="1" applyFill="1" applyBorder="1" applyAlignment="1" applyProtection="1">
      <alignment horizontal="left" vertical="top"/>
    </xf>
    <xf numFmtId="0" fontId="4" fillId="5" borderId="1" xfId="0" applyFont="1" applyFill="1" applyBorder="1" applyAlignment="1">
      <alignment horizontal="left" vertical="top"/>
    </xf>
    <xf numFmtId="0" fontId="29" fillId="5" borderId="1" xfId="0" applyFont="1" applyFill="1" applyBorder="1" applyAlignment="1">
      <alignment horizontal="left" vertical="top"/>
    </xf>
    <xf numFmtId="0" fontId="0" fillId="0" borderId="8" xfId="0" applyBorder="1"/>
    <xf numFmtId="0" fontId="29" fillId="0" borderId="0" xfId="0" applyFont="1"/>
    <xf numFmtId="0" fontId="29" fillId="2" borderId="1" xfId="0" applyFont="1" applyFill="1" applyBorder="1" applyAlignment="1">
      <alignment horizontal="center" vertical="center"/>
    </xf>
    <xf numFmtId="0" fontId="29" fillId="2" borderId="1" xfId="0" applyFont="1" applyFill="1" applyBorder="1" applyAlignment="1">
      <alignment horizontal="center" vertical="center" wrapText="1"/>
    </xf>
    <xf numFmtId="0" fontId="30" fillId="0" borderId="0" xfId="0" quotePrefix="1" applyFont="1"/>
    <xf numFmtId="0" fontId="28" fillId="0" borderId="1" xfId="0" applyFont="1" applyFill="1" applyBorder="1" applyAlignment="1">
      <alignment horizontal="left" vertical="top"/>
    </xf>
    <xf numFmtId="0" fontId="4" fillId="12" borderId="1" xfId="0" quotePrefix="1" applyFont="1" applyFill="1" applyBorder="1" applyAlignment="1">
      <alignment horizontal="left" vertical="top"/>
    </xf>
    <xf numFmtId="0" fontId="0" fillId="12" borderId="1" xfId="0" applyFill="1" applyBorder="1" applyAlignment="1">
      <alignment horizontal="left" vertical="top"/>
    </xf>
    <xf numFmtId="0" fontId="31" fillId="0" borderId="0" xfId="0" applyFont="1"/>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3" fillId="0" borderId="0" xfId="0" applyFont="1" applyAlignment="1">
      <alignment horizontal="left" vertical="center" indent="5"/>
    </xf>
    <xf numFmtId="0" fontId="32" fillId="4" borderId="1" xfId="0" applyFont="1" applyFill="1" applyBorder="1" applyAlignment="1">
      <alignment vertical="top"/>
    </xf>
    <xf numFmtId="0" fontId="32" fillId="0" borderId="1" xfId="0" quotePrefix="1" applyFont="1" applyBorder="1" applyAlignment="1">
      <alignment horizontal="left" vertical="top"/>
    </xf>
    <xf numFmtId="0" fontId="0" fillId="0" borderId="1" xfId="0" applyFont="1" applyBorder="1" applyAlignment="1">
      <alignment horizontal="left" vertical="top" wrapText="1"/>
    </xf>
    <xf numFmtId="0" fontId="6" fillId="24" borderId="1" xfId="0" applyNumberFormat="1" applyFont="1" applyFill="1" applyBorder="1" applyAlignment="1" applyProtection="1">
      <alignment horizontal="left" vertical="top"/>
    </xf>
    <xf numFmtId="0" fontId="0" fillId="0" borderId="0" xfId="0" applyAlignment="1">
      <alignment vertical="center"/>
    </xf>
    <xf numFmtId="0" fontId="37" fillId="0" borderId="0" xfId="0" quotePrefix="1" applyFont="1"/>
    <xf numFmtId="0" fontId="6" fillId="25" borderId="1" xfId="0" applyNumberFormat="1" applyFont="1" applyFill="1" applyBorder="1" applyAlignment="1" applyProtection="1">
      <alignment horizontal="left" vertical="top"/>
    </xf>
    <xf numFmtId="0" fontId="38" fillId="0" borderId="1" xfId="0" quotePrefix="1" applyFont="1" applyBorder="1" applyAlignment="1">
      <alignment horizontal="left" vertical="top"/>
    </xf>
    <xf numFmtId="0" fontId="39" fillId="0" borderId="1" xfId="0" quotePrefix="1" applyFont="1" applyBorder="1" applyAlignment="1">
      <alignment horizontal="left" vertical="top"/>
    </xf>
    <xf numFmtId="0" fontId="4" fillId="0" borderId="1" xfId="0" quotePrefix="1" applyFont="1" applyFill="1" applyBorder="1" applyAlignment="1">
      <alignment horizontal="left" vertical="top"/>
    </xf>
    <xf numFmtId="0" fontId="6" fillId="26" borderId="1" xfId="0" applyNumberFormat="1" applyFont="1" applyFill="1" applyBorder="1" applyAlignment="1" applyProtection="1">
      <alignment horizontal="left" vertical="top"/>
    </xf>
    <xf numFmtId="0" fontId="40" fillId="0" borderId="0" xfId="0" applyFont="1"/>
    <xf numFmtId="0" fontId="40" fillId="2" borderId="1" xfId="0" applyFont="1" applyFill="1" applyBorder="1" applyAlignment="1">
      <alignment horizontal="center" vertical="center"/>
    </xf>
    <xf numFmtId="0" fontId="40" fillId="2" borderId="1" xfId="0" applyFont="1" applyFill="1" applyBorder="1" applyAlignment="1">
      <alignment horizontal="center" vertical="center" wrapText="1"/>
    </xf>
    <xf numFmtId="0" fontId="41" fillId="0" borderId="0" xfId="0" quotePrefix="1" applyFont="1"/>
    <xf numFmtId="0" fontId="6" fillId="5" borderId="1" xfId="0" applyFont="1" applyFill="1" applyBorder="1" applyAlignment="1">
      <alignment horizontal="left" vertical="top"/>
    </xf>
    <xf numFmtId="0" fontId="25" fillId="0" borderId="4" xfId="0" quotePrefix="1" applyFont="1" applyBorder="1" applyAlignment="1">
      <alignment horizontal="left" vertical="top"/>
    </xf>
    <xf numFmtId="0" fontId="36" fillId="0" borderId="1" xfId="0" quotePrefix="1" applyFont="1" applyBorder="1" applyAlignment="1">
      <alignment vertical="top"/>
    </xf>
    <xf numFmtId="0" fontId="32" fillId="0" borderId="1" xfId="0" quotePrefix="1" applyFont="1" applyBorder="1" applyAlignment="1">
      <alignment vertical="top"/>
    </xf>
    <xf numFmtId="0" fontId="6" fillId="4" borderId="1" xfId="0" applyNumberFormat="1" applyFont="1" applyFill="1" applyBorder="1" applyAlignment="1" applyProtection="1">
      <alignment horizontal="left" vertical="top"/>
    </xf>
    <xf numFmtId="0" fontId="0" fillId="0" borderId="0" xfId="0" applyFont="1" applyBorder="1" applyAlignment="1"/>
    <xf numFmtId="0" fontId="0" fillId="5" borderId="1" xfId="0" applyFont="1" applyFill="1" applyBorder="1" applyAlignment="1">
      <alignment horizontal="left"/>
    </xf>
    <xf numFmtId="0" fontId="0" fillId="0" borderId="1" xfId="0" applyFont="1" applyFill="1" applyBorder="1" applyAlignment="1">
      <alignment horizontal="left"/>
    </xf>
    <xf numFmtId="0" fontId="39" fillId="0" borderId="1" xfId="0" applyFont="1" applyFill="1" applyBorder="1" applyAlignment="1">
      <alignment horizontal="left" vertical="top"/>
    </xf>
    <xf numFmtId="0" fontId="0" fillId="0" borderId="1" xfId="0" quotePrefix="1" applyBorder="1" applyAlignment="1">
      <alignment horizontal="left"/>
    </xf>
    <xf numFmtId="0" fontId="6" fillId="27" borderId="1" xfId="0" applyNumberFormat="1" applyFont="1" applyFill="1" applyBorder="1" applyAlignment="1" applyProtection="1">
      <alignment horizontal="left" vertical="top"/>
    </xf>
    <xf numFmtId="0" fontId="42" fillId="0" borderId="1" xfId="0" quotePrefix="1" applyFont="1" applyBorder="1" applyAlignment="1">
      <alignment horizontal="left" vertical="top"/>
    </xf>
    <xf numFmtId="0" fontId="43" fillId="0" borderId="1" xfId="0" applyFont="1" applyBorder="1" applyAlignment="1">
      <alignment horizontal="left" vertical="top"/>
    </xf>
    <xf numFmtId="0" fontId="44" fillId="0" borderId="0" xfId="0" quotePrefix="1" applyFont="1"/>
    <xf numFmtId="0" fontId="0" fillId="2" borderId="1" xfId="0" applyFill="1" applyBorder="1" applyAlignment="1">
      <alignment horizontal="left" vertical="top"/>
    </xf>
    <xf numFmtId="0" fontId="0" fillId="0" borderId="9" xfId="0" applyBorder="1"/>
    <xf numFmtId="0" fontId="0" fillId="0" borderId="0" xfId="0" applyBorder="1" applyAlignment="1">
      <alignment vertical="top"/>
    </xf>
    <xf numFmtId="0" fontId="0" fillId="0" borderId="0" xfId="0" quotePrefix="1" applyBorder="1" applyAlignment="1">
      <alignment vertical="top"/>
    </xf>
    <xf numFmtId="0" fontId="7" fillId="0" borderId="1" xfId="1" applyFont="1" applyBorder="1" applyAlignment="1"/>
    <xf numFmtId="16" fontId="0" fillId="0" borderId="0" xfId="0" quotePrefix="1" applyNumberFormat="1"/>
    <xf numFmtId="0" fontId="0" fillId="0" borderId="1" xfId="0" applyBorder="1" applyAlignment="1">
      <alignment horizontal="left" vertical="center"/>
    </xf>
    <xf numFmtId="0" fontId="0" fillId="0" borderId="1" xfId="0" applyFont="1" applyFill="1" applyBorder="1" applyAlignment="1">
      <alignment horizontal="left" vertical="center"/>
    </xf>
    <xf numFmtId="0" fontId="42" fillId="0" borderId="0" xfId="0" applyFont="1"/>
    <xf numFmtId="0" fontId="42" fillId="2" borderId="1" xfId="0" applyFont="1" applyFill="1" applyBorder="1" applyAlignment="1">
      <alignment horizontal="center" vertical="center"/>
    </xf>
    <xf numFmtId="0" fontId="42" fillId="2" borderId="1" xfId="0" applyFont="1" applyFill="1" applyBorder="1" applyAlignment="1">
      <alignment horizontal="center" vertical="center" wrapText="1"/>
    </xf>
    <xf numFmtId="0" fontId="45" fillId="0" borderId="0" xfId="0" quotePrefix="1" applyFont="1"/>
    <xf numFmtId="0" fontId="46" fillId="0" borderId="0" xfId="0" applyFont="1"/>
    <xf numFmtId="0" fontId="6" fillId="28" borderId="1" xfId="0" applyNumberFormat="1" applyFont="1" applyFill="1" applyBorder="1" applyAlignment="1" applyProtection="1">
      <alignment horizontal="left" vertical="top"/>
    </xf>
    <xf numFmtId="0" fontId="29" fillId="5" borderId="1" xfId="0" applyFont="1" applyFill="1" applyBorder="1" applyAlignment="1">
      <alignment horizontal="left" vertical="top" wrapText="1"/>
    </xf>
    <xf numFmtId="0" fontId="6" fillId="0" borderId="1" xfId="0" applyFont="1" applyBorder="1" applyAlignment="1">
      <alignment horizontal="left" vertical="top"/>
    </xf>
    <xf numFmtId="164" fontId="48" fillId="0" borderId="1" xfId="0" applyNumberFormat="1" applyFont="1" applyFill="1" applyBorder="1" applyAlignment="1">
      <alignment horizontal="left" vertical="top"/>
    </xf>
    <xf numFmtId="0" fontId="48" fillId="0" borderId="10" xfId="0" applyFont="1" applyFill="1" applyBorder="1" applyAlignment="1">
      <alignment vertical="top"/>
    </xf>
    <xf numFmtId="0" fontId="48" fillId="0" borderId="0" xfId="0" applyFont="1" applyFill="1" applyBorder="1" applyAlignment="1">
      <alignment vertical="top"/>
    </xf>
    <xf numFmtId="0" fontId="0" fillId="0" borderId="6" xfId="0" applyFont="1" applyBorder="1" applyAlignment="1"/>
    <xf numFmtId="0" fontId="0" fillId="0" borderId="9" xfId="0" applyFont="1" applyBorder="1" applyAlignment="1"/>
    <xf numFmtId="18" fontId="4" fillId="0" borderId="1" xfId="0" quotePrefix="1" applyNumberFormat="1" applyFont="1" applyBorder="1" applyAlignment="1">
      <alignment horizontal="left" vertical="top"/>
    </xf>
    <xf numFmtId="0" fontId="0" fillId="0" borderId="8" xfId="0" applyFont="1" applyBorder="1" applyAlignment="1">
      <alignment horizontal="left" vertical="top"/>
    </xf>
    <xf numFmtId="0" fontId="0" fillId="0" borderId="8" xfId="0" applyBorder="1" applyAlignment="1">
      <alignment horizontal="left" vertical="top"/>
    </xf>
    <xf numFmtId="0" fontId="0" fillId="5" borderId="1" xfId="0" applyFill="1" applyBorder="1" applyAlignment="1">
      <alignment horizontal="left" vertical="top"/>
    </xf>
    <xf numFmtId="0" fontId="49" fillId="0" borderId="0" xfId="0" applyFont="1" applyAlignment="1">
      <alignment horizontal="left" vertical="center" indent="5"/>
    </xf>
    <xf numFmtId="0" fontId="2" fillId="0" borderId="0" xfId="0" applyFont="1" applyAlignment="1">
      <alignment horizontal="left" vertical="center" indent="5"/>
    </xf>
    <xf numFmtId="0" fontId="6" fillId="0" borderId="0" xfId="0" quotePrefix="1" applyFont="1"/>
    <xf numFmtId="0" fontId="0" fillId="0" borderId="0" xfId="0" quotePrefix="1" applyAlignment="1">
      <alignment vertical="top"/>
    </xf>
    <xf numFmtId="0" fontId="6" fillId="0" borderId="1" xfId="0" applyFont="1" applyFill="1" applyBorder="1" applyAlignment="1">
      <alignment horizontal="left" vertical="top"/>
    </xf>
    <xf numFmtId="164" fontId="0" fillId="29" borderId="1" xfId="0" applyNumberFormat="1" applyFont="1" applyFill="1" applyBorder="1" applyAlignment="1">
      <alignment horizontal="left" vertical="top"/>
    </xf>
    <xf numFmtId="0" fontId="9" fillId="0" borderId="0" xfId="0" applyFont="1"/>
    <xf numFmtId="0" fontId="0" fillId="0" borderId="0" xfId="0" applyFont="1" applyBorder="1"/>
    <xf numFmtId="0" fontId="0" fillId="0" borderId="6" xfId="0" applyBorder="1"/>
    <xf numFmtId="0" fontId="0" fillId="0" borderId="0" xfId="0" quotePrefix="1" applyFont="1" applyBorder="1" applyAlignment="1"/>
    <xf numFmtId="0" fontId="0" fillId="0" borderId="0" xfId="0" applyFont="1" applyFill="1" applyBorder="1" applyAlignment="1"/>
    <xf numFmtId="0" fontId="6" fillId="30" borderId="1" xfId="0" applyNumberFormat="1" applyFont="1" applyFill="1" applyBorder="1" applyAlignment="1" applyProtection="1">
      <alignment horizontal="left" vertical="top"/>
    </xf>
    <xf numFmtId="0" fontId="50" fillId="0" borderId="1" xfId="0" applyFont="1" applyFill="1" applyBorder="1" applyAlignment="1">
      <alignment horizontal="left" vertical="top"/>
    </xf>
    <xf numFmtId="0" fontId="7" fillId="0" borderId="1" xfId="0" quotePrefix="1" applyFont="1" applyBorder="1" applyAlignment="1"/>
    <xf numFmtId="0" fontId="0" fillId="0" borderId="0" xfId="0" applyNumberFormat="1" applyBorder="1" applyAlignment="1"/>
    <xf numFmtId="0" fontId="5" fillId="2" borderId="1" xfId="0" quotePrefix="1" applyFont="1" applyFill="1" applyBorder="1" applyAlignment="1">
      <alignment horizontal="left" vertical="top"/>
    </xf>
  </cellXfs>
  <cellStyles count="3">
    <cellStyle name="Bad" xfId="2" builtinId="27"/>
    <cellStyle name="Normal" xfId="0" builtinId="0"/>
    <cellStyle name="Normal 3" xfId="1"/>
  </cellStyles>
  <dxfs count="7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3.bin"/><Relationship Id="rId3" Type="http://schemas.openxmlformats.org/officeDocument/2006/relationships/printerSettings" Target="../printerSettings/printerSettings18.bin"/><Relationship Id="rId7" Type="http://schemas.openxmlformats.org/officeDocument/2006/relationships/printerSettings" Target="../printerSettings/printerSettings22.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1.bin"/><Relationship Id="rId13" Type="http://schemas.openxmlformats.org/officeDocument/2006/relationships/printerSettings" Target="../printerSettings/printerSettings36.bin"/><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12" Type="http://schemas.openxmlformats.org/officeDocument/2006/relationships/printerSettings" Target="../printerSettings/printerSettings35.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11" Type="http://schemas.openxmlformats.org/officeDocument/2006/relationships/printerSettings" Target="../printerSettings/printerSettings34.bin"/><Relationship Id="rId5" Type="http://schemas.openxmlformats.org/officeDocument/2006/relationships/printerSettings" Target="../printerSettings/printerSettings28.bin"/><Relationship Id="rId10" Type="http://schemas.openxmlformats.org/officeDocument/2006/relationships/printerSettings" Target="../printerSettings/printerSettings33.bin"/><Relationship Id="rId4" Type="http://schemas.openxmlformats.org/officeDocument/2006/relationships/printerSettings" Target="../printerSettings/printerSettings27.bin"/><Relationship Id="rId9" Type="http://schemas.openxmlformats.org/officeDocument/2006/relationships/printerSettings" Target="../printerSettings/printerSettings32.bin"/><Relationship Id="rId14" Type="http://schemas.openxmlformats.org/officeDocument/2006/relationships/printerSettings" Target="../printerSettings/printerSettings3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47.bin"/><Relationship Id="rId13" Type="http://schemas.openxmlformats.org/officeDocument/2006/relationships/printerSettings" Target="../printerSettings/printerSettings52.bin"/><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12" Type="http://schemas.openxmlformats.org/officeDocument/2006/relationships/printerSettings" Target="../printerSettings/printerSettings51.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11" Type="http://schemas.openxmlformats.org/officeDocument/2006/relationships/printerSettings" Target="../printerSettings/printerSettings50.bin"/><Relationship Id="rId5" Type="http://schemas.openxmlformats.org/officeDocument/2006/relationships/printerSettings" Target="../printerSettings/printerSettings44.bin"/><Relationship Id="rId15" Type="http://schemas.openxmlformats.org/officeDocument/2006/relationships/printerSettings" Target="../printerSettings/printerSettings54.bin"/><Relationship Id="rId10" Type="http://schemas.openxmlformats.org/officeDocument/2006/relationships/printerSettings" Target="../printerSettings/printerSettings49.bin"/><Relationship Id="rId4" Type="http://schemas.openxmlformats.org/officeDocument/2006/relationships/printerSettings" Target="../printerSettings/printerSettings43.bin"/><Relationship Id="rId9" Type="http://schemas.openxmlformats.org/officeDocument/2006/relationships/printerSettings" Target="../printerSettings/printerSettings48.bin"/><Relationship Id="rId14" Type="http://schemas.openxmlformats.org/officeDocument/2006/relationships/printerSettings" Target="../printerSettings/printerSettings5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7.bin"/><Relationship Id="rId7" Type="http://schemas.openxmlformats.org/officeDocument/2006/relationships/printerSettings" Target="../printerSettings/printerSettings61.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5" Type="http://schemas.openxmlformats.org/officeDocument/2006/relationships/printerSettings" Target="../printerSettings/printerSettings59.bin"/><Relationship Id="rId4" Type="http://schemas.openxmlformats.org/officeDocument/2006/relationships/printerSettings" Target="../printerSettings/printerSettings5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69.bin"/><Relationship Id="rId13" Type="http://schemas.openxmlformats.org/officeDocument/2006/relationships/printerSettings" Target="../printerSettings/printerSettings74.bin"/><Relationship Id="rId3" Type="http://schemas.openxmlformats.org/officeDocument/2006/relationships/printerSettings" Target="../printerSettings/printerSettings64.bin"/><Relationship Id="rId7" Type="http://schemas.openxmlformats.org/officeDocument/2006/relationships/printerSettings" Target="../printerSettings/printerSettings68.bin"/><Relationship Id="rId12" Type="http://schemas.openxmlformats.org/officeDocument/2006/relationships/printerSettings" Target="../printerSettings/printerSettings73.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6" Type="http://schemas.openxmlformats.org/officeDocument/2006/relationships/printerSettings" Target="../printerSettings/printerSettings67.bin"/><Relationship Id="rId11" Type="http://schemas.openxmlformats.org/officeDocument/2006/relationships/printerSettings" Target="../printerSettings/printerSettings72.bin"/><Relationship Id="rId5" Type="http://schemas.openxmlformats.org/officeDocument/2006/relationships/printerSettings" Target="../printerSettings/printerSettings66.bin"/><Relationship Id="rId15" Type="http://schemas.openxmlformats.org/officeDocument/2006/relationships/printerSettings" Target="../printerSettings/printerSettings76.bin"/><Relationship Id="rId10" Type="http://schemas.openxmlformats.org/officeDocument/2006/relationships/printerSettings" Target="../printerSettings/printerSettings71.bin"/><Relationship Id="rId4" Type="http://schemas.openxmlformats.org/officeDocument/2006/relationships/printerSettings" Target="../printerSettings/printerSettings65.bin"/><Relationship Id="rId9" Type="http://schemas.openxmlformats.org/officeDocument/2006/relationships/printerSettings" Target="../printerSettings/printerSettings70.bin"/><Relationship Id="rId14"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N559"/>
  <sheetViews>
    <sheetView topLeftCell="R50" zoomScale="85" zoomScaleNormal="70" workbookViewId="0">
      <selection activeCell="X381" sqref="X381"/>
    </sheetView>
  </sheetViews>
  <sheetFormatPr defaultRowHeight="15" x14ac:dyDescent="0.25"/>
  <cols>
    <col min="3" max="3" width="10.85546875" customWidth="1"/>
    <col min="4" max="4" width="12.28515625" bestFit="1" customWidth="1"/>
    <col min="5" max="5" width="56.28515625" bestFit="1" customWidth="1"/>
    <col min="6" max="6" width="128" customWidth="1"/>
    <col min="7" max="7" width="10.42578125" customWidth="1"/>
    <col min="8" max="8" width="12.140625" bestFit="1" customWidth="1"/>
    <col min="9" max="9" width="38.28515625" customWidth="1"/>
    <col min="10" max="10" width="4.5703125" customWidth="1"/>
    <col min="11" max="11" width="12" customWidth="1"/>
    <col min="12" max="12" width="10.7109375" customWidth="1"/>
    <col min="13" max="13" width="13" customWidth="1"/>
    <col min="14" max="14" width="14.28515625" customWidth="1"/>
    <col min="15" max="15" width="3" customWidth="1"/>
    <col min="16" max="16" width="7.7109375" customWidth="1"/>
    <col min="17" max="17" width="1.85546875" customWidth="1"/>
    <col min="18" max="18" width="10.42578125" customWidth="1"/>
    <col min="19" max="19" width="21.42578125" bestFit="1" customWidth="1"/>
    <col min="20" max="20" width="6.28515625" customWidth="1"/>
    <col min="21" max="21" width="5.7109375" customWidth="1"/>
    <col min="22" max="22" width="5.5703125" customWidth="1"/>
    <col min="23" max="23" width="8.42578125" customWidth="1"/>
    <col min="24" max="24" width="7" customWidth="1"/>
    <col min="25" max="25" width="6.140625" customWidth="1"/>
    <col min="26" max="26" width="6.5703125" customWidth="1"/>
    <col min="27" max="27" width="19.28515625" customWidth="1"/>
    <col min="28" max="28" width="15" bestFit="1" customWidth="1"/>
    <col min="29" max="29" width="13.5703125"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37.5703125" customWidth="1"/>
    <col min="38" max="38" width="48.85546875" customWidth="1"/>
    <col min="39" max="39" width="35.85546875" bestFit="1" customWidth="1"/>
    <col min="40" max="40" width="45.140625"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1507</v>
      </c>
      <c r="E3" s="61" t="s">
        <v>53</v>
      </c>
      <c r="F3" s="61" t="s">
        <v>130</v>
      </c>
      <c r="G3" s="61" t="s">
        <v>22</v>
      </c>
      <c r="H3" s="62" t="s">
        <v>24</v>
      </c>
      <c r="J3" s="68" t="s">
        <v>39</v>
      </c>
    </row>
    <row r="4" spans="1:12" x14ac:dyDescent="0.25">
      <c r="B4" s="63">
        <v>1</v>
      </c>
      <c r="C4" s="73" t="s">
        <v>6</v>
      </c>
      <c r="D4" s="65">
        <f>SUMIFS($W$60:$W$538,$D$60:$D$538,Table!$D$3,$S$60:$S$538,C4)</f>
        <v>10797</v>
      </c>
      <c r="E4" s="65">
        <f>SUMIFS($X$60:$X$538,$D$60:$D$538,Table!$D$3,$S$60:$S$538,C4)-SUM(SUMIFS($X$60:$X$538,$D$60:$D$538,Table!$D$3,$S$60:$S$538,C4,$AA$60:$AA$538,{"Ongoing","N\A",""}))</f>
        <v>10797</v>
      </c>
      <c r="F4" s="65">
        <f>ROUND(1/8*(SUMIFS($Z$60:$Z$538,$D$60:$D$538,Table!$D$3,$S$60:$S$538,C4)-SUM(SUMIFS($Z$60:$Z$538,$D$60:$D$538,Table!$D$3,$S$60:$S$538,C4,$AA$60:$AA$538,{"Ongoing","N/A",""}))),4)</f>
        <v>6.0625</v>
      </c>
      <c r="G4" s="65">
        <f>IF(ISERROR(E4/(F4)),"N/A",E4/F4)</f>
        <v>1780.9484536082475</v>
      </c>
      <c r="H4" s="66">
        <f>IF(ISERROR(E4/D4),"N/A",E4/D4)</f>
        <v>1</v>
      </c>
      <c r="K4" s="68" t="s">
        <v>41</v>
      </c>
    </row>
    <row r="5" spans="1:12" x14ac:dyDescent="0.25">
      <c r="B5" s="63">
        <v>2</v>
      </c>
      <c r="C5" s="76" t="s">
        <v>64</v>
      </c>
      <c r="D5" s="65">
        <f>SUMIFS($W$60:$W$538,$D$60:$D$538,Table!$D$3,$S$60:$S$538,C5)</f>
        <v>3058</v>
      </c>
      <c r="E5" s="65">
        <f>SUMIFS($X$60:$X$538,$D$60:$D$538,Table!$D$3,$S$60:$S$538,C5)-SUM(SUMIFS($X$60:$X$538,$D$60:$D$538,Table!$D$3,$S$60:$S$538,C5,$AA$60:$AA$538,{"Ongoing","N\A",""}))</f>
        <v>3058</v>
      </c>
      <c r="F5" s="65">
        <f>ROUND(1/8*(SUMIFS($Z$60:$Z$538,$D$60:$D$538,Table!$D$3,$S$60:$S$538,C5)-SUM(SUMIFS($Z$60:$Z$538,$D$60:$D$538,Table!$D$3,$S$60:$S$538,C5,$AA$60:$AA$538,{"Ongoing","N/A",""}))),4)</f>
        <v>1.875</v>
      </c>
      <c r="G5" s="65">
        <f t="shared" ref="G5:G6" si="0">IF(ISERROR(E5/(F5)),"N/A",E5/F5)</f>
        <v>1630.9333333333334</v>
      </c>
      <c r="H5" s="66">
        <f t="shared" ref="H5:H18" si="1">IF(ISERROR(E5/D5),"N/A",E5/D5)</f>
        <v>1</v>
      </c>
      <c r="L5" s="23" t="s">
        <v>40</v>
      </c>
    </row>
    <row r="6" spans="1:12" x14ac:dyDescent="0.25">
      <c r="B6" s="63">
        <v>3</v>
      </c>
      <c r="C6" s="76" t="s">
        <v>65</v>
      </c>
      <c r="D6" s="65">
        <f>SUMIFS($W$60:$W$538,$D$60:$D$538,Table!$D$3,$S$60:$S$538,C6)</f>
        <v>4693</v>
      </c>
      <c r="E6" s="65">
        <f>SUMIFS($X$60:$X$538,$D$60:$D$538,Table!$D$3,$S$60:$S$538,C6)-SUM(SUMIFS($X$60:$X$538,$D$60:$D$538,Table!$D$3,$S$60:$S$538,C6,$AA$60:$AA$538,{"Ongoing","N\A",""}))</f>
        <v>4693</v>
      </c>
      <c r="F6" s="65">
        <f>ROUND(1/8*(SUMIFS($Z$60:$Z$538,$D$60:$D$538,Table!$D$3,$S$60:$S$538,C6)-SUM(SUMIFS($Z$60:$Z$538,$D$60:$D$538,Table!$D$3,$S$60:$S$538,C6,$AA$60:$AA$538,{"Ongoing","N/A",""}))),4)</f>
        <v>2.8250000000000002</v>
      </c>
      <c r="G6" s="65">
        <f t="shared" si="0"/>
        <v>1661.2389380530972</v>
      </c>
      <c r="H6" s="66">
        <f t="shared" si="1"/>
        <v>1</v>
      </c>
      <c r="L6" s="23" t="s">
        <v>97</v>
      </c>
    </row>
    <row r="7" spans="1:12" x14ac:dyDescent="0.25">
      <c r="B7" s="63">
        <v>4</v>
      </c>
      <c r="C7" s="76" t="s">
        <v>66</v>
      </c>
      <c r="D7" s="65">
        <f>SUMIFS($W$60:$W$538,$D$60:$D$538,Table!$D$3,$S$60:$S$538,C7)</f>
        <v>0</v>
      </c>
      <c r="E7" s="65">
        <f>SUMIFS($X$60:$X$538,$D$60:$D$538,Table!$D$3,$S$60:$S$538,C7)-SUM(SUMIFS($X$60:$X$538,$D$60:$D$538,Table!$D$3,$S$60:$S$538,C7,$AA$60:$AA$538,{"Ongoing","N\A",""}))</f>
        <v>0</v>
      </c>
      <c r="F7" s="65">
        <f>ROUND(1/8*(SUMIFS($Z$60:$Z$538,$D$60:$D$538,Table!$D$3,$S$60:$S$538,C7)-SUM(SUMIFS($Z$60:$Z$538,$D$60:$D$538,Table!$D$3,$S$60:$S$538,C7,$AA$60:$AA$538,{"Ongoing","N/A",""}))),4)</f>
        <v>0</v>
      </c>
      <c r="G7" s="65" t="str">
        <f t="shared" ref="G7:G17" si="2">IF(ISERROR(E7/(F7)),"N/A",E7/F7)</f>
        <v>N/A</v>
      </c>
      <c r="H7" s="66" t="str">
        <f t="shared" ref="H7:H17" si="3">IF(ISERROR(E7/D7),"N/A",E7/D7)</f>
        <v>N/A</v>
      </c>
      <c r="K7" s="68"/>
    </row>
    <row r="8" spans="1:12" x14ac:dyDescent="0.25">
      <c r="B8" s="63">
        <v>5</v>
      </c>
      <c r="C8" s="73" t="s">
        <v>67</v>
      </c>
      <c r="D8" s="65">
        <f>SUMIFS($W$60:$W$538,$D$60:$D$538,Table!$D$3,$S$60:$S$538,C8)</f>
        <v>11542</v>
      </c>
      <c r="E8" s="65">
        <f>SUMIFS($X$60:$X$538,$D$60:$D$538,Table!$D$3,$S$60:$S$538,C8)-SUM(SUMIFS($X$60:$X$538,$D$60:$D$538,Table!$D$3,$S$60:$S$538,C8,$AA$60:$AA$538,{"Ongoing","N\A",""}))</f>
        <v>11542</v>
      </c>
      <c r="F8" s="65">
        <f>ROUND(1/8*(SUMIFS($Z$60:$Z$538,$D$60:$D$538,Table!$D$3,$S$60:$S$538,C8)-SUM(SUMIFS($Z$60:$Z$538,$D$60:$D$538,Table!$D$3,$S$60:$S$538,C8,$AA$60:$AA$538,{"Ongoing","N/A",""}))),4)</f>
        <v>11.35</v>
      </c>
      <c r="G8" s="65">
        <f t="shared" si="2"/>
        <v>1016.9162995594714</v>
      </c>
      <c r="H8" s="66">
        <f t="shared" si="3"/>
        <v>1</v>
      </c>
      <c r="L8" s="23"/>
    </row>
    <row r="9" spans="1:12" x14ac:dyDescent="0.25">
      <c r="B9" s="63">
        <v>6</v>
      </c>
      <c r="C9" s="73" t="s">
        <v>68</v>
      </c>
      <c r="D9" s="65">
        <f>SUMIFS($W$60:$W$538,$D$60:$D$538,Table!$D$3,$S$60:$S$538,C9)</f>
        <v>10891</v>
      </c>
      <c r="E9" s="65">
        <f>SUMIFS($X$60:$X$538,$D$60:$D$538,Table!$D$3,$S$60:$S$538,C9)-SUM(SUMIFS($X$60:$X$538,$D$60:$D$538,Table!$D$3,$S$60:$S$538,C9,$AA$60:$AA$538,{"Ongoing","N\A",""}))</f>
        <v>10891</v>
      </c>
      <c r="F9" s="65">
        <f>ROUND(1/8*(SUMIFS($Z$60:$Z$538,$D$60:$D$538,Table!$D$3,$S$60:$S$538,C9)-SUM(SUMIFS($Z$60:$Z$538,$D$60:$D$538,Table!$D$3,$S$60:$S$538,C9,$AA$60:$AA$538,{"Ongoing","N/A",""}))),4)</f>
        <v>21.274999999999999</v>
      </c>
      <c r="G9" s="65">
        <f t="shared" si="2"/>
        <v>511.91539365452411</v>
      </c>
      <c r="H9" s="66">
        <f t="shared" si="3"/>
        <v>1</v>
      </c>
      <c r="L9" s="23"/>
    </row>
    <row r="10" spans="1:12" x14ac:dyDescent="0.25">
      <c r="B10" s="63">
        <v>7</v>
      </c>
      <c r="C10" s="73" t="s">
        <v>69</v>
      </c>
      <c r="D10" s="65">
        <f>SUMIFS($W$60:$W$538,$D$60:$D$538,Table!$D$3,$S$60:$S$538,C10)</f>
        <v>11727</v>
      </c>
      <c r="E10" s="65">
        <f>SUMIFS($X$60:$X$538,$D$60:$D$538,Table!$D$3,$S$60:$S$538,C10)-SUM(SUMIFS($X$60:$X$538,$D$60:$D$538,Table!$D$3,$S$60:$S$538,C10,$AA$60:$AA$538,{"Ongoing","N\A",""}))</f>
        <v>11727</v>
      </c>
      <c r="F10" s="65">
        <f>ROUND(1/8*(SUMIFS($Z$60:$Z$538,$D$60:$D$538,Table!$D$3,$S$60:$S$538,C10)-SUM(SUMIFS($Z$60:$Z$538,$D$60:$D$538,Table!$D$3,$S$60:$S$538,C10,$AA$60:$AA$538,{"Ongoing","N/A",""}))),4)</f>
        <v>18.462499999999999</v>
      </c>
      <c r="G10" s="65">
        <f t="shared" si="2"/>
        <v>635.17941773865948</v>
      </c>
      <c r="H10" s="66">
        <f t="shared" si="3"/>
        <v>1</v>
      </c>
    </row>
    <row r="11" spans="1:12" x14ac:dyDescent="0.25">
      <c r="B11" s="63">
        <v>8</v>
      </c>
      <c r="C11" s="73" t="s">
        <v>70</v>
      </c>
      <c r="D11" s="65">
        <f>SUMIFS($W$60:$W$538,$D$60:$D$538,Table!$D$3,$S$60:$S$538,C11)</f>
        <v>12419</v>
      </c>
      <c r="E11" s="65">
        <f>SUMIFS($X$60:$X$538,$D$60:$D$538,Table!$D$3,$S$60:$S$538,C11)-SUM(SUMIFS($X$60:$X$538,$D$60:$D$538,Table!$D$3,$S$60:$S$538,C11,$AA$60:$AA$538,{"Ongoing","N\A",""}))</f>
        <v>12419</v>
      </c>
      <c r="F11" s="65">
        <f>ROUND(1/8*(SUMIFS($Z$60:$Z$538,$D$60:$D$538,Table!$D$3,$S$60:$S$538,C11)-SUM(SUMIFS($Z$60:$Z$538,$D$60:$D$538,Table!$D$3,$S$60:$S$538,C11,$AA$60:$AA$538,{"Ongoing","N/A",""}))),4)</f>
        <v>8.9</v>
      </c>
      <c r="G11" s="65">
        <f t="shared" si="2"/>
        <v>1395.3932584269662</v>
      </c>
      <c r="H11" s="66">
        <f t="shared" si="3"/>
        <v>1</v>
      </c>
    </row>
    <row r="12" spans="1:12" x14ac:dyDescent="0.25">
      <c r="B12" s="63">
        <v>9</v>
      </c>
      <c r="C12" s="64" t="s">
        <v>141</v>
      </c>
      <c r="D12" s="65">
        <f>SUMIFS($W$60:$W$538,$D$60:$D$538,Table!$D$3,$S$60:$S$538,C12)</f>
        <v>0</v>
      </c>
      <c r="E12" s="65">
        <f>SUMIFS($X$60:$X$538,$D$60:$D$538,Table!$D$3,$S$60:$S$538,C12)-SUM(SUMIFS($X$60:$X$538,$D$60:$D$538,Table!$D$3,$S$60:$S$538,C12,$AA$60:$AA$538,{"Ongoing","N\A",""}))</f>
        <v>0</v>
      </c>
      <c r="F12" s="65">
        <f>ROUND(1/8*(SUMIFS($Z$60:$Z$538,$D$60:$D$538,Table!$D$3,$S$60:$S$538,C12)-SUM(SUMIFS($Z$60:$Z$538,$D$60:$D$538,Table!$D$3,$S$60:$S$538,C12,$AA$60:$AA$538,{"Ongoing","N/A",""}))),4)</f>
        <v>0</v>
      </c>
      <c r="G12" s="65" t="str">
        <f t="shared" si="2"/>
        <v>N/A</v>
      </c>
      <c r="H12" s="66" t="str">
        <f t="shared" si="3"/>
        <v>N/A</v>
      </c>
    </row>
    <row r="13" spans="1:12" x14ac:dyDescent="0.25">
      <c r="B13" s="63">
        <v>10</v>
      </c>
      <c r="C13" s="73" t="s">
        <v>142</v>
      </c>
      <c r="D13" s="65">
        <f>SUMIFS($W$60:$W$538,$D$60:$D$538,Table!$D$3,$S$60:$S$538,C13)</f>
        <v>9828</v>
      </c>
      <c r="E13" s="65">
        <f>SUMIFS($X$60:$X$538,$D$60:$D$538,Table!$D$3,$S$60:$S$538,C13)-SUM(SUMIFS($X$60:$X$538,$D$60:$D$538,Table!$D$3,$S$60:$S$538,C13,$AA$60:$AA$538,{"Ongoing","N\A",""}))</f>
        <v>9828</v>
      </c>
      <c r="F13" s="65">
        <f>ROUND(1/8*(SUMIFS($Z$60:$Z$538,$D$60:$D$538,Table!$D$3,$S$60:$S$538,C13)-SUM(SUMIFS($Z$60:$Z$538,$D$60:$D$538,Table!$D$3,$S$60:$S$538,C13,$AA$60:$AA$538,{"Ongoing","N/A",""}))),4)</f>
        <v>7.3150000000000004</v>
      </c>
      <c r="G13" s="65">
        <f t="shared" ref="G13:G16" si="4">IF(ISERROR(E13/(F13)),"N/A",E13/F13)</f>
        <v>1343.5406698564593</v>
      </c>
      <c r="H13" s="66">
        <f t="shared" ref="H13:H16" si="5">IF(ISERROR(E13/D13),"N/A",E13/D13)</f>
        <v>1</v>
      </c>
    </row>
    <row r="14" spans="1:12" x14ac:dyDescent="0.25">
      <c r="B14" s="63">
        <v>11</v>
      </c>
      <c r="C14" s="64" t="s">
        <v>1430</v>
      </c>
      <c r="D14" s="65">
        <f>SUMIFS($W$60:$W$538,$D$60:$D$538,Table!$D$3,$S$60:$S$538,C14)</f>
        <v>0</v>
      </c>
      <c r="E14" s="65">
        <f>SUMIFS($X$60:$X$538,$D$60:$D$538,Table!$D$3,$S$60:$S$538,C14)-SUM(SUMIFS($X$60:$X$538,$D$60:$D$538,Table!$D$3,$S$60:$S$538,C14,$AA$60:$AA$538,{"Ongoing","N\A",""}))</f>
        <v>0</v>
      </c>
      <c r="F14" s="65">
        <f>ROUND(1/8*(SUMIFS($Z$60:$Z$538,$D$60:$D$538,Table!$D$3,$S$60:$S$538,C14)-SUM(SUMIFS($Z$60:$Z$538,$D$60:$D$538,Table!$D$3,$S$60:$S$538,C14,$AA$60:$AA$538,{"Ongoing","N/A",""}))),4)</f>
        <v>0</v>
      </c>
      <c r="G14" s="65" t="str">
        <f t="shared" si="4"/>
        <v>N/A</v>
      </c>
      <c r="H14" s="66" t="str">
        <f t="shared" si="5"/>
        <v>N/A</v>
      </c>
    </row>
    <row r="15" spans="1:12" x14ac:dyDescent="0.25">
      <c r="B15" s="63">
        <v>12</v>
      </c>
      <c r="C15" s="64" t="s">
        <v>741</v>
      </c>
      <c r="D15" s="65">
        <f>SUMIFS($W$60:$W$538,$D$60:$D$538,Table!$D$3,$S$60:$S$538,C15)</f>
        <v>84</v>
      </c>
      <c r="E15" s="65">
        <f>SUMIFS($X$60:$X$538,$D$60:$D$538,Table!$D$3,$S$60:$S$538,C15)-SUM(SUMIFS($X$60:$X$538,$D$60:$D$538,Table!$D$3,$S$60:$S$538,C15,$AA$60:$AA$538,{"Ongoing","N\A",""}))</f>
        <v>84</v>
      </c>
      <c r="F15" s="65">
        <f>ROUND(1/8*(SUMIFS($Z$60:$Z$538,$D$60:$D$538,Table!$D$3,$S$60:$S$538,C15)-SUM(SUMIFS($Z$60:$Z$538,$D$60:$D$538,Table!$D$3,$S$60:$S$538,C15,$AA$60:$AA$538,{"Ongoing","N/A",""}))),4)</f>
        <v>0.25</v>
      </c>
      <c r="G15" s="65">
        <f t="shared" si="4"/>
        <v>336</v>
      </c>
      <c r="H15" s="66">
        <f t="shared" si="5"/>
        <v>1</v>
      </c>
    </row>
    <row r="16" spans="1:12" x14ac:dyDescent="0.25">
      <c r="B16" s="63">
        <v>13</v>
      </c>
      <c r="C16" s="64" t="s">
        <v>742</v>
      </c>
      <c r="D16" s="65">
        <f>SUMIFS($W$60:$W$538,$D$60:$D$538,Table!$D$3,$S$60:$S$538,C16)</f>
        <v>286</v>
      </c>
      <c r="E16" s="65">
        <f>SUMIFS($X$60:$X$538,$D$60:$D$538,Table!$D$3,$S$60:$S$538,C16)-SUM(SUMIFS($X$60:$X$538,$D$60:$D$538,Table!$D$3,$S$60:$S$538,C16,$AA$60:$AA$538,{"Ongoing","N\A",""}))</f>
        <v>286</v>
      </c>
      <c r="F16" s="65">
        <f>ROUND(1/8*(SUMIFS($Z$60:$Z$538,$D$60:$D$538,Table!$D$3,$S$60:$S$538,C16)-SUM(SUMIFS($Z$60:$Z$538,$D$60:$D$538,Table!$D$3,$S$60:$S$538,C16,$AA$60:$AA$538,{"Ongoing","N/A",""}))),4)</f>
        <v>0.375</v>
      </c>
      <c r="G16" s="65">
        <f t="shared" si="4"/>
        <v>762.66666666666663</v>
      </c>
      <c r="H16" s="66">
        <f t="shared" si="5"/>
        <v>1</v>
      </c>
    </row>
    <row r="17" spans="2:13" x14ac:dyDescent="0.25">
      <c r="B17" s="63">
        <v>14</v>
      </c>
      <c r="C17" s="76" t="s">
        <v>743</v>
      </c>
      <c r="D17" s="65">
        <f>SUMIFS($W$60:$W$538,$D$60:$D$538,Table!$D$3,$S$60:$S$538,C17)</f>
        <v>241</v>
      </c>
      <c r="E17" s="65">
        <f>SUMIFS($X$60:$X$538,$D$60:$D$538,Table!$D$3,$S$60:$S$538,C17)-SUM(SUMIFS($X$60:$X$538,$D$60:$D$538,Table!$D$3,$S$60:$S$538,C17,$AA$60:$AA$538,{"Ongoing","N\A",""}))</f>
        <v>241</v>
      </c>
      <c r="F17" s="65">
        <f>ROUND(1/8*(SUMIFS($Z$60:$Z$538,$D$60:$D$538,Table!$D$3,$S$60:$S$538,C17)-SUM(SUMIFS($Z$60:$Z$538,$D$60:$D$538,Table!$D$3,$S$60:$S$538,C17,$AA$60:$AA$538,{"Ongoing","N/A",""}))),4)</f>
        <v>0.375</v>
      </c>
      <c r="G17" s="65">
        <f t="shared" si="2"/>
        <v>642.66666666666663</v>
      </c>
      <c r="H17" s="66">
        <f t="shared" si="3"/>
        <v>1</v>
      </c>
      <c r="J17" s="68" t="s">
        <v>38</v>
      </c>
      <c r="K17" s="70">
        <f>Template_Total_Report!B23</f>
        <v>43972</v>
      </c>
      <c r="M17" s="70">
        <f>Template_Total_Report!D23</f>
        <v>44002</v>
      </c>
    </row>
    <row r="18" spans="2:13" x14ac:dyDescent="0.25">
      <c r="B18" s="61" t="s">
        <v>106</v>
      </c>
      <c r="C18" s="67"/>
      <c r="D18" s="69">
        <f>SUMIFS($W$60:$W$538,$D$60:$D$538,Table!$D$3)</f>
        <v>75566</v>
      </c>
      <c r="E18" s="69">
        <f>SUMIFS($W$60:$W$538,$D$60:$D$538,Table!$D$3)-SUM(SUMIFS($W$60:$W$538,$D$60:$D$538,Table!$D$3,$AA$60:$AA$538,{"Ongoing","N/A",""}))</f>
        <v>75566</v>
      </c>
      <c r="F18" s="69">
        <f>ROUND(1/8*(SUMIFS($Z$60:$Z$538,$D$60:$D$538,Table!$D$3)-SUM(SUMIFS($Z$60:$Z$538,$D$60:$D$538,Table!$D$3,$AA$60:$AA$538,{"Ongoing","N/A",""}))),4)</f>
        <v>79.064999999999998</v>
      </c>
      <c r="G18" s="65">
        <f>IF(ISERROR(E18/(F18)),"N/A",E18/F18)</f>
        <v>955.74527287674698</v>
      </c>
      <c r="H18" s="66">
        <f t="shared" si="1"/>
        <v>1</v>
      </c>
      <c r="J18" s="68" t="s">
        <v>30</v>
      </c>
      <c r="K18" s="71">
        <f>Template_Total_Report!B24</f>
        <v>22</v>
      </c>
    </row>
    <row r="19" spans="2:13" x14ac:dyDescent="0.25">
      <c r="J19" s="68" t="s">
        <v>136</v>
      </c>
      <c r="K19" s="71">
        <f>Template_Total_Report!B25</f>
        <v>0</v>
      </c>
      <c r="L19" s="72"/>
    </row>
    <row r="20" spans="2:13" x14ac:dyDescent="0.25">
      <c r="J20" s="68" t="s">
        <v>108</v>
      </c>
      <c r="K20" s="23">
        <f ca="1">Template_Total_Report!B26</f>
        <v>22</v>
      </c>
    </row>
    <row r="21" spans="2:13" x14ac:dyDescent="0.25">
      <c r="B21" s="68" t="s">
        <v>51</v>
      </c>
    </row>
    <row r="22" spans="2:13" x14ac:dyDescent="0.25">
      <c r="B22" s="61" t="s">
        <v>0</v>
      </c>
      <c r="C22" s="61" t="s">
        <v>8</v>
      </c>
      <c r="D22" s="61" t="s">
        <v>1507</v>
      </c>
      <c r="E22" s="61" t="s">
        <v>53</v>
      </c>
      <c r="F22" s="61" t="s">
        <v>130</v>
      </c>
      <c r="G22" s="61" t="s">
        <v>22</v>
      </c>
      <c r="H22" s="62" t="s">
        <v>24</v>
      </c>
    </row>
    <row r="23" spans="2:13" x14ac:dyDescent="0.25">
      <c r="B23" s="63">
        <v>1</v>
      </c>
      <c r="C23" s="73" t="s">
        <v>6</v>
      </c>
      <c r="D23" s="65">
        <f>SUMIFS($W$60:$W$538,$D$60:$D$538,Table!$C$3,$S$60:$S$538,C23)</f>
        <v>181</v>
      </c>
      <c r="E23" s="65">
        <f>SUMIFS($X$60:$X$538,$D$60:$D$538,Table!$C$3,$S$60:$S$538,C23)-SUM(SUMIFS($X$60:$X$538,$D$60:$D$538,Table!$C$3,$S$60:$S$538,C23,$AA$60:$AA$538,{"Ongoing","N/A",""}))</f>
        <v>181</v>
      </c>
      <c r="F23" s="65">
        <f>ROUND(1/8*(SUMIFS($Z$60:$Z$538,$D$60:$D$538,Table!$C$3,$S$60:$S$538,C23)-SUM(SUMIFS($Z$60:$Z$538,$D$60:$D$538,Table!$C$3,$S$60:$S$538,C23,$AA$60:$AA$538,{"Ongoing","N/A",""}))),4)</f>
        <v>0.75</v>
      </c>
      <c r="G23" s="65">
        <f>IF(ISERROR(E23/(F23)),"N/A",E23/F23)</f>
        <v>241.33333333333334</v>
      </c>
      <c r="H23" s="66">
        <f>IF(ISERROR(E23/D23),"N/A",E23/D23)</f>
        <v>1</v>
      </c>
      <c r="J23" s="78"/>
      <c r="K23" s="70"/>
      <c r="M23" s="70"/>
    </row>
    <row r="24" spans="2:13" x14ac:dyDescent="0.25">
      <c r="B24" s="63">
        <v>2</v>
      </c>
      <c r="C24" s="76" t="s">
        <v>64</v>
      </c>
      <c r="D24" s="65">
        <f>SUMIFS($W$60:$W$538,$D$60:$D$538,Table!$C$3,$S$60:$S$538,C24)</f>
        <v>145</v>
      </c>
      <c r="E24" s="65">
        <f>SUMIFS($X$60:$X$538,$D$60:$D$538,Table!$C$3,$S$60:$S$538,C24)-SUM(SUMIFS($X$60:$X$538,$D$60:$D$538,Table!$C$3,$S$60:$S$538,C24,$AA$60:$AA$538,{"Ongoing","N/A",""}))</f>
        <v>145</v>
      </c>
      <c r="F24" s="65">
        <f>ROUND(1/8*(SUMIFS($Z$60:$Z$538,$D$60:$D$538,Table!$C$3,$S$60:$S$538,C24)-SUM(SUMIFS($Z$60:$Z$538,$D$60:$D$538,Table!$C$3,$S$60:$S$538,C24,$AA$60:$AA$538,{"Ongoing","N/A",""}))),4)</f>
        <v>1</v>
      </c>
      <c r="G24" s="65">
        <f t="shared" ref="G24:G37" si="6">IF(ISERROR(E24/(F24)),"N/A",E24/F24)</f>
        <v>145</v>
      </c>
      <c r="H24" s="66">
        <f t="shared" ref="H24:H37" si="7">IF(ISERROR(E24/D24),"N/A",E24/D24)</f>
        <v>1</v>
      </c>
      <c r="J24" s="78"/>
      <c r="K24" s="23"/>
    </row>
    <row r="25" spans="2:13" x14ac:dyDescent="0.25">
      <c r="B25" s="63">
        <v>3</v>
      </c>
      <c r="C25" s="76" t="s">
        <v>65</v>
      </c>
      <c r="D25" s="65">
        <f>SUMIFS($W$60:$W$538,$D$60:$D$538,Table!$C$3,$S$60:$S$538,C25)</f>
        <v>0</v>
      </c>
      <c r="E25" s="65">
        <f>SUMIFS($X$60:$X$538,$D$60:$D$538,Table!$C$3,$S$60:$S$538,C25)-SUM(SUMIFS($X$60:$X$538,$D$60:$D$538,Table!$C$3,$S$60:$S$538,C25,$AA$60:$AA$538,{"Ongoing","N/A",""}))</f>
        <v>0</v>
      </c>
      <c r="F25" s="65">
        <f>ROUND(1/8*(SUMIFS($Z$60:$Z$538,$D$60:$D$538,Table!$C$3,$S$60:$S$538,C25)-SUM(SUMIFS($Z$60:$Z$538,$D$60:$D$538,Table!$C$3,$S$60:$S$538,C25,$AA$60:$AA$538,{"Ongoing","N/A",""}))),4)</f>
        <v>0</v>
      </c>
      <c r="G25" s="65" t="str">
        <f t="shared" ref="G25:G31" si="8">IF(ISERROR(E25/(F25)),"N/A",E25/F25)</f>
        <v>N/A</v>
      </c>
      <c r="H25" s="66" t="str">
        <f t="shared" ref="H25:H31" si="9">IF(ISERROR(E25/D25),"N/A",E25/D25)</f>
        <v>N/A</v>
      </c>
      <c r="J25" s="78"/>
      <c r="K25" s="23"/>
      <c r="L25" s="72"/>
    </row>
    <row r="26" spans="2:13" x14ac:dyDescent="0.25">
      <c r="B26" s="63">
        <v>4</v>
      </c>
      <c r="C26" s="76" t="s">
        <v>66</v>
      </c>
      <c r="D26" s="65">
        <f>SUMIFS($W$60:$W$538,$D$60:$D$538,Table!$C$3,$S$60:$S$538,C26)</f>
        <v>0</v>
      </c>
      <c r="E26" s="65">
        <f>SUMIFS($X$60:$X$538,$D$60:$D$538,Table!$C$3,$S$60:$S$538,C26)-SUM(SUMIFS($X$60:$X$538,$D$60:$D$538,Table!$C$3,$S$60:$S$538,C26,$AA$60:$AA$538,{"Ongoing","N/A",""}))</f>
        <v>0</v>
      </c>
      <c r="F26" s="65">
        <f>ROUND(1/8*(SUMIFS($Z$60:$Z$538,$D$60:$D$538,Table!$C$3,$S$60:$S$538,C26)-SUM(SUMIFS($Z$60:$Z$538,$D$60:$D$538,Table!$C$3,$S$60:$S$538,C26,$AA$60:$AA$538,{"Ongoing","N/A",""}))),4)</f>
        <v>0</v>
      </c>
      <c r="G26" s="65" t="str">
        <f t="shared" si="8"/>
        <v>N/A</v>
      </c>
      <c r="H26" s="66" t="str">
        <f t="shared" si="9"/>
        <v>N/A</v>
      </c>
      <c r="J26" s="78"/>
      <c r="K26" s="23"/>
    </row>
    <row r="27" spans="2:13" x14ac:dyDescent="0.25">
      <c r="B27" s="63">
        <v>5</v>
      </c>
      <c r="C27" s="73" t="s">
        <v>67</v>
      </c>
      <c r="D27" s="65">
        <f>SUMIFS($W$60:$W$538,$D$60:$D$538,Table!$C$3,$S$60:$S$538,C27)</f>
        <v>676</v>
      </c>
      <c r="E27" s="65">
        <f>SUMIFS($X$60:$X$538,$D$60:$D$538,Table!$C$3,$S$60:$S$538,C27)-SUM(SUMIFS($X$60:$X$538,$D$60:$D$538,Table!$C$3,$S$60:$S$538,C27,$AA$60:$AA$538,{"Ongoing","N/A",""}))</f>
        <v>676</v>
      </c>
      <c r="F27" s="65">
        <f>ROUND(1/8*(SUMIFS($Z$60:$Z$538,$D$60:$D$538,Table!$C$3,$S$60:$S$538,C27)-SUM(SUMIFS($Z$60:$Z$538,$D$60:$D$538,Table!$C$3,$S$60:$S$538,C27,$AA$60:$AA$538,{"Ongoing","N/A",""}))),4)</f>
        <v>4.2750000000000004</v>
      </c>
      <c r="G27" s="65">
        <f t="shared" si="8"/>
        <v>158.12865497076021</v>
      </c>
      <c r="H27" s="66">
        <f t="shared" si="9"/>
        <v>1</v>
      </c>
    </row>
    <row r="28" spans="2:13" x14ac:dyDescent="0.25">
      <c r="B28" s="63">
        <v>6</v>
      </c>
      <c r="C28" s="73" t="s">
        <v>68</v>
      </c>
      <c r="D28" s="65">
        <f>SUMIFS($W$60:$W$538,$D$60:$D$538,Table!$C$3,$S$60:$S$538,C28)</f>
        <v>182</v>
      </c>
      <c r="E28" s="65">
        <f>SUMIFS($X$60:$X$538,$D$60:$D$538,Table!$C$3,$S$60:$S$538,C28)-SUM(SUMIFS($X$60:$X$538,$D$60:$D$538,Table!$C$3,$S$60:$S$538,C28,$AA$60:$AA$538,{"Ongoing","N/A",""}))</f>
        <v>182</v>
      </c>
      <c r="F28" s="65">
        <f>ROUND(1/8*(SUMIFS($Z$60:$Z$538,$D$60:$D$538,Table!$C$3,$S$60:$S$538,C28)-SUM(SUMIFS($Z$60:$Z$538,$D$60:$D$538,Table!$C$3,$S$60:$S$538,C28,$AA$60:$AA$538,{"Ongoing","N/A",""}))),4)</f>
        <v>11.875</v>
      </c>
      <c r="G28" s="65">
        <f t="shared" si="8"/>
        <v>15.326315789473684</v>
      </c>
      <c r="H28" s="66">
        <f t="shared" si="9"/>
        <v>1</v>
      </c>
    </row>
    <row r="29" spans="2:13" x14ac:dyDescent="0.25">
      <c r="B29" s="63">
        <v>7</v>
      </c>
      <c r="C29" s="73" t="s">
        <v>69</v>
      </c>
      <c r="D29" s="65">
        <f>SUMIFS($W$60:$W$538,$D$60:$D$538,Table!$C$3,$S$60:$S$538,C29)</f>
        <v>176</v>
      </c>
      <c r="E29" s="65">
        <f>SUMIFS($X$60:$X$538,$D$60:$D$538,Table!$C$3,$S$60:$S$538,C29)-SUM(SUMIFS($X$60:$X$538,$D$60:$D$538,Table!$C$3,$S$60:$S$538,C29,$AA$60:$AA$538,{"Ongoing","N/A",""}))</f>
        <v>176</v>
      </c>
      <c r="F29" s="65">
        <f>ROUND(1/8*(SUMIFS($Z$60:$Z$538,$D$60:$D$538,Table!$C$3,$S$60:$S$538,C29)-SUM(SUMIFS($Z$60:$Z$538,$D$60:$D$538,Table!$C$3,$S$60:$S$538,C29,$AA$60:$AA$538,{"Ongoing","N/A",""}))),4)</f>
        <v>1.2124999999999999</v>
      </c>
      <c r="G29" s="65">
        <f t="shared" si="8"/>
        <v>145.15463917525776</v>
      </c>
      <c r="H29" s="66">
        <f t="shared" si="9"/>
        <v>1</v>
      </c>
    </row>
    <row r="30" spans="2:13" x14ac:dyDescent="0.25">
      <c r="B30" s="63">
        <v>8</v>
      </c>
      <c r="C30" s="73" t="s">
        <v>70</v>
      </c>
      <c r="D30" s="65">
        <f>SUMIFS($W$60:$W$538,$D$60:$D$538,Table!$C$3,$S$60:$S$538,C30)</f>
        <v>218</v>
      </c>
      <c r="E30" s="65">
        <f>SUMIFS($X$60:$X$538,$D$60:$D$538,Table!$C$3,$S$60:$S$538,C30)-SUM(SUMIFS($X$60:$X$538,$D$60:$D$538,Table!$C$3,$S$60:$S$538,C30,$AA$60:$AA$538,{"Ongoing","N/A",""}))</f>
        <v>218</v>
      </c>
      <c r="F30" s="65">
        <f>ROUND(1/8*(SUMIFS($Z$60:$Z$538,$D$60:$D$538,Table!$C$3,$S$60:$S$538,C30)-SUM(SUMIFS($Z$60:$Z$538,$D$60:$D$538,Table!$C$3,$S$60:$S$538,C30,$AA$60:$AA$538,{"Ongoing","N/A",""}))),4)</f>
        <v>1.8125</v>
      </c>
      <c r="G30" s="65">
        <f t="shared" si="8"/>
        <v>120.27586206896552</v>
      </c>
      <c r="H30" s="66">
        <f t="shared" si="9"/>
        <v>1</v>
      </c>
    </row>
    <row r="31" spans="2:13" x14ac:dyDescent="0.25">
      <c r="B31" s="63">
        <v>9</v>
      </c>
      <c r="C31" s="64" t="s">
        <v>141</v>
      </c>
      <c r="D31" s="65">
        <f>SUMIFS($W$60:$W$538,$D$60:$D$538,Table!$C$3,$S$60:$S$538,C31)</f>
        <v>0</v>
      </c>
      <c r="E31" s="65">
        <f>SUMIFS($X$60:$X$538,$D$60:$D$538,Table!$C$3,$S$60:$S$538,C31)-SUM(SUMIFS($X$60:$X$538,$D$60:$D$538,Table!$C$3,$S$60:$S$538,C31,$AA$60:$AA$538,{"Ongoing","N/A",""}))</f>
        <v>0</v>
      </c>
      <c r="F31" s="65">
        <f>ROUND(1/8*(SUMIFS($Z$60:$Z$538,$D$60:$D$538,Table!$C$3,$S$60:$S$538,C31)-SUM(SUMIFS($Z$60:$Z$538,$D$60:$D$538,Table!$C$3,$S$60:$S$538,C31,$AA$60:$AA$538,{"Ongoing","N/A",""}))),4)</f>
        <v>0</v>
      </c>
      <c r="G31" s="65" t="str">
        <f t="shared" si="8"/>
        <v>N/A</v>
      </c>
      <c r="H31" s="66" t="str">
        <f t="shared" si="9"/>
        <v>N/A</v>
      </c>
    </row>
    <row r="32" spans="2:13" x14ac:dyDescent="0.25">
      <c r="B32" s="63">
        <v>10</v>
      </c>
      <c r="C32" s="73" t="s">
        <v>142</v>
      </c>
      <c r="D32" s="65">
        <f>SUMIFS($W$60:$W$538,$D$60:$D$538,Table!$C$3,$S$60:$S$538,C32)</f>
        <v>190</v>
      </c>
      <c r="E32" s="65">
        <f>SUMIFS($X$60:$X$538,$D$60:$D$538,Table!$C$3,$S$60:$S$538,C32)-SUM(SUMIFS($X$60:$X$538,$D$60:$D$538,Table!$C$3,$S$60:$S$538,C32,$AA$60:$AA$538,{"Ongoing","N/A",""}))</f>
        <v>190</v>
      </c>
      <c r="F32" s="65">
        <f>ROUND(1/8*(SUMIFS($Z$60:$Z$538,$D$60:$D$538,Table!$C$3,$S$60:$S$538,C32)-SUM(SUMIFS($Z$60:$Z$538,$D$60:$D$538,Table!$C$3,$S$60:$S$538,C32,$AA$60:$AA$538,{"Ongoing","N/A",""}))),4)</f>
        <v>1.25</v>
      </c>
      <c r="G32" s="65">
        <f t="shared" ref="G32:G36" si="10">IF(ISERROR(E32/(F32)),"N/A",E32/F32)</f>
        <v>152</v>
      </c>
      <c r="H32" s="66">
        <f t="shared" ref="H32:H36" si="11">IF(ISERROR(E32/D32),"N/A",E32/D32)</f>
        <v>1</v>
      </c>
    </row>
    <row r="33" spans="1:17" x14ac:dyDescent="0.25">
      <c r="B33" s="63">
        <v>11</v>
      </c>
      <c r="C33" s="64" t="s">
        <v>1430</v>
      </c>
      <c r="D33" s="65">
        <f>SUMIFS($W$60:$W$538,$D$60:$D$538,Table!$C$3,$S$60:$S$538,C33)</f>
        <v>0</v>
      </c>
      <c r="E33" s="65">
        <f>SUMIFS($X$60:$X$538,$D$60:$D$538,Table!$C$3,$S$60:$S$538,C33)-SUM(SUMIFS($X$60:$X$538,$D$60:$D$538,Table!$C$3,$S$60:$S$538,C33,$AA$60:$AA$538,{"Ongoing","N/A",""}))</f>
        <v>0</v>
      </c>
      <c r="F33" s="65">
        <f>ROUND(1/8*(SUMIFS($Z$60:$Z$538,$D$60:$D$538,Table!$C$3,$S$60:$S$538,C33)-SUM(SUMIFS($Z$60:$Z$538,$D$60:$D$538,Table!$C$3,$S$60:$S$538,C33,$AA$60:$AA$538,{"Ongoing","N/A",""}))),4)</f>
        <v>0</v>
      </c>
      <c r="G33" s="65" t="str">
        <f t="shared" si="10"/>
        <v>N/A</v>
      </c>
      <c r="H33" s="66" t="str">
        <f t="shared" si="11"/>
        <v>N/A</v>
      </c>
    </row>
    <row r="34" spans="1:17" x14ac:dyDescent="0.25">
      <c r="B34" s="63">
        <v>12</v>
      </c>
      <c r="C34" s="64" t="s">
        <v>741</v>
      </c>
      <c r="D34" s="65">
        <f>SUMIFS($W$60:$W$538,$D$60:$D$538,Table!$C$3,$S$60:$S$538,C34)</f>
        <v>28</v>
      </c>
      <c r="E34" s="65">
        <f>SUMIFS($X$60:$X$538,$D$60:$D$538,Table!$C$3,$S$60:$S$538,C34)-SUM(SUMIFS($X$60:$X$538,$D$60:$D$538,Table!$C$3,$S$60:$S$538,C34,$AA$60:$AA$538,{"Ongoing","N/A",""}))</f>
        <v>28</v>
      </c>
      <c r="F34" s="65">
        <f>ROUND(1/8*(SUMIFS($Z$60:$Z$538,$D$60:$D$538,Table!$C$3,$S$60:$S$538,C34)-SUM(SUMIFS($Z$60:$Z$538,$D$60:$D$538,Table!$C$3,$S$60:$S$538,C34,$AA$60:$AA$538,{"Ongoing","N/A",""}))),4)</f>
        <v>0.25</v>
      </c>
      <c r="G34" s="65">
        <f t="shared" si="10"/>
        <v>112</v>
      </c>
      <c r="H34" s="66">
        <f t="shared" si="11"/>
        <v>1</v>
      </c>
    </row>
    <row r="35" spans="1:17" x14ac:dyDescent="0.25">
      <c r="B35" s="63">
        <v>13</v>
      </c>
      <c r="C35" s="64" t="s">
        <v>742</v>
      </c>
      <c r="D35" s="65">
        <f>SUMIFS($W$60:$W$538,$D$60:$D$538,Table!$C$3,$S$60:$S$538,C35)</f>
        <v>0</v>
      </c>
      <c r="E35" s="65">
        <f>SUMIFS($X$60:$X$538,$D$60:$D$538,Table!$C$3,$S$60:$S$538,C35)-SUM(SUMIFS($X$60:$X$538,$D$60:$D$538,Table!$C$3,$S$60:$S$538,C35,$AA$60:$AA$538,{"Ongoing","N/A",""}))</f>
        <v>0</v>
      </c>
      <c r="F35" s="65">
        <f>ROUND(1/8*(SUMIFS($Z$60:$Z$538,$D$60:$D$538,Table!$C$3,$S$60:$S$538,C35)-SUM(SUMIFS($Z$60:$Z$538,$D$60:$D$538,Table!$C$3,$S$60:$S$538,C35,$AA$60:$AA$538,{"Ongoing","N/A",""}))),4)</f>
        <v>0</v>
      </c>
      <c r="G35" s="65" t="str">
        <f t="shared" si="10"/>
        <v>N/A</v>
      </c>
      <c r="H35" s="66" t="str">
        <f t="shared" si="11"/>
        <v>N/A</v>
      </c>
    </row>
    <row r="36" spans="1:17" x14ac:dyDescent="0.25">
      <c r="B36" s="63">
        <v>14</v>
      </c>
      <c r="C36" s="64" t="s">
        <v>743</v>
      </c>
      <c r="D36" s="65">
        <f>SUMIFS($W$60:$W$538,$D$60:$D$538,Table!$C$3,$S$60:$S$538,C36)</f>
        <v>0</v>
      </c>
      <c r="E36" s="65">
        <f>SUMIFS($X$60:$X$538,$D$60:$D$538,Table!$C$3,$S$60:$S$538,C36)-SUM(SUMIFS($X$60:$X$538,$D$60:$D$538,Table!$C$3,$S$60:$S$538,C36,$AA$60:$AA$538,{"Ongoing","N/A",""}))</f>
        <v>0</v>
      </c>
      <c r="F36" s="65">
        <f>ROUND(1/8*(SUMIFS($Z$60:$Z$538,$D$60:$D$538,Table!$C$3,$S$60:$S$538,C36)-SUM(SUMIFS($Z$60:$Z$538,$D$60:$D$538,Table!$C$3,$S$60:$S$538,C36,$AA$60:$AA$538,{"Ongoing","N/A",""}))),4)</f>
        <v>0</v>
      </c>
      <c r="G36" s="65" t="str">
        <f t="shared" si="10"/>
        <v>N/A</v>
      </c>
      <c r="H36" s="66" t="str">
        <f t="shared" si="11"/>
        <v>N/A</v>
      </c>
    </row>
    <row r="37" spans="1:17" x14ac:dyDescent="0.25">
      <c r="B37" s="61" t="s">
        <v>106</v>
      </c>
      <c r="C37" s="67"/>
      <c r="D37" s="69">
        <f>ROUND(SUMIFS($W$60:$W$538,$D$60:$D$538,Table!$C$3),3)</f>
        <v>1796</v>
      </c>
      <c r="E37" s="69">
        <f>ROUND(SUMIFS($W$60:$W$538,$D$60:$D$538,Table!$C$3)-SUM(SUMIFS($W$60:$W$538,$D$60:$D$538,Table!$C$3,$AA$60:$AA$538,{"Ongoing","N/A",""})),3)</f>
        <v>1796</v>
      </c>
      <c r="F37" s="69">
        <f>ROUND(1/8*(SUMIFS($Z$60:$Z$538,$D$60:$D$538,Table!$C$3)-SUM(SUMIFS($Z$60:$Z$538,$D$60:$D$538,Table!$C$3,$AA$60:$AA$538,{"Ongoing","N/A",""}))),4)</f>
        <v>22.425000000000001</v>
      </c>
      <c r="G37" s="65">
        <f t="shared" si="6"/>
        <v>80.08918617614269</v>
      </c>
      <c r="H37" s="66">
        <f t="shared" si="7"/>
        <v>1</v>
      </c>
      <c r="L37" s="6"/>
    </row>
    <row r="39" spans="1:17" ht="19.5" customHeight="1" x14ac:dyDescent="0.25"/>
    <row r="40" spans="1:17" x14ac:dyDescent="0.25">
      <c r="A40" s="1" t="s">
        <v>193</v>
      </c>
      <c r="B40" s="68" t="s">
        <v>107</v>
      </c>
    </row>
    <row r="41" spans="1:17" x14ac:dyDescent="0.25">
      <c r="B41" s="61" t="s">
        <v>0</v>
      </c>
      <c r="C41" s="61" t="s">
        <v>8</v>
      </c>
      <c r="D41" s="61" t="s">
        <v>1507</v>
      </c>
      <c r="E41" s="61" t="s">
        <v>53</v>
      </c>
      <c r="F41" s="61" t="s">
        <v>99</v>
      </c>
      <c r="G41" s="61" t="s">
        <v>22</v>
      </c>
      <c r="H41" s="62" t="s">
        <v>24</v>
      </c>
      <c r="I41" s="81" t="s">
        <v>139</v>
      </c>
      <c r="J41" s="82" t="s">
        <v>149</v>
      </c>
    </row>
    <row r="42" spans="1:17" ht="15.75" x14ac:dyDescent="0.25">
      <c r="B42" s="63">
        <v>1</v>
      </c>
      <c r="C42" s="73" t="s">
        <v>6</v>
      </c>
      <c r="D42" s="65">
        <f>SUM(D23*Table!$D$4/Table!$C$4,D4)</f>
        <v>11423.538461538461</v>
      </c>
      <c r="E42" s="65">
        <f>SUM(E23*Table!$D$4/Table!$C$4,E4)</f>
        <v>11423.538461538461</v>
      </c>
      <c r="F42" s="65">
        <f ca="1">$K$20</f>
        <v>22</v>
      </c>
      <c r="G42" s="65">
        <f t="shared" ref="G42" ca="1" si="12">IF(ISERROR(E42/(F42)),"N/A",E42/F42)</f>
        <v>519.25174825174827</v>
      </c>
      <c r="H42" s="66">
        <f t="shared" ref="H42:H56" si="13">IF(ISERROR(E42/D42),"N/A",E42/D42)</f>
        <v>1</v>
      </c>
      <c r="I42" s="83">
        <f>COUNTIFS($S$60:$S$538,C42,$AK$60:$AK$538,Table!$C$41)</f>
        <v>6</v>
      </c>
      <c r="J42" s="83">
        <f>COUNTIFS($S$60:$S$538,C42,$AK$60:$AK$538,Table!$C$42)</f>
        <v>0</v>
      </c>
    </row>
    <row r="43" spans="1:17" ht="15.75" x14ac:dyDescent="0.25">
      <c r="B43" s="63">
        <v>2</v>
      </c>
      <c r="C43" s="190" t="s">
        <v>64</v>
      </c>
      <c r="D43" s="65">
        <f>SUM(D24*Table!$D$4/Table!$C$4,D5)</f>
        <v>3559.9230769230771</v>
      </c>
      <c r="E43" s="65">
        <f>SUM(E24*Table!$D$4/Table!$C$4,E5)</f>
        <v>3559.9230769230771</v>
      </c>
      <c r="F43" s="65">
        <f t="shared" ref="F43:F55" ca="1" si="14">$K$20</f>
        <v>22</v>
      </c>
      <c r="G43" s="65">
        <f ca="1">IF(ISERROR(E43/(F43)),"N/A",E43/F43)</f>
        <v>161.81468531468533</v>
      </c>
      <c r="H43" s="66">
        <f t="shared" si="13"/>
        <v>1</v>
      </c>
      <c r="I43" s="83">
        <f>COUNTIFS($S$60:$S$538,C43,$AK$60:$AK$538,Table!$C$41)</f>
        <v>2</v>
      </c>
      <c r="J43" s="83">
        <f>COUNTIFS($S$60:$S$538,C43,$AK$60:$AK$538,Table!$C$42)</f>
        <v>0</v>
      </c>
    </row>
    <row r="44" spans="1:17" ht="15.75" x14ac:dyDescent="0.25">
      <c r="B44" s="63">
        <v>3</v>
      </c>
      <c r="C44" s="190" t="s">
        <v>65</v>
      </c>
      <c r="D44" s="65">
        <f>SUM(D25*Table!$D$4/Table!$C$4,D6)</f>
        <v>4693</v>
      </c>
      <c r="E44" s="65">
        <f>SUM(E25*Table!$D$4/Table!$C$4,E6)</f>
        <v>4693</v>
      </c>
      <c r="F44" s="65">
        <f t="shared" ca="1" si="14"/>
        <v>22</v>
      </c>
      <c r="G44" s="65">
        <f t="shared" ref="G44:G50" ca="1" si="15">IF(ISERROR(E44/(F44)),"N/A",E44/F44)</f>
        <v>213.31818181818181</v>
      </c>
      <c r="H44" s="66">
        <f t="shared" ref="H44:H50" si="16">IF(ISERROR(E44/D44),"N/A",E44/D44)</f>
        <v>1</v>
      </c>
      <c r="I44" s="83">
        <f>COUNTIFS($S$60:$S$538,C44,$AK$60:$AK$538,Table!$C$41)</f>
        <v>2</v>
      </c>
      <c r="J44" s="83">
        <f>COUNTIFS($S$60:$S$538,C44,$AK$60:$AK$538,Table!$C$42)</f>
        <v>0</v>
      </c>
    </row>
    <row r="45" spans="1:17" ht="15.75" x14ac:dyDescent="0.25">
      <c r="B45" s="63">
        <v>4</v>
      </c>
      <c r="C45" s="76" t="s">
        <v>66</v>
      </c>
      <c r="D45" s="65">
        <f>SUM(D26*Table!$D$4/Table!$C$4,D7)</f>
        <v>0</v>
      </c>
      <c r="E45" s="65">
        <f>SUM(E26*Table!$D$4/Table!$C$4,E7)</f>
        <v>0</v>
      </c>
      <c r="F45" s="65">
        <f t="shared" ca="1" si="14"/>
        <v>22</v>
      </c>
      <c r="G45" s="65">
        <f t="shared" ca="1" si="15"/>
        <v>0</v>
      </c>
      <c r="H45" s="66" t="str">
        <f t="shared" si="16"/>
        <v>N/A</v>
      </c>
      <c r="I45" s="83">
        <f>COUNTIFS($S$60:$S$538,C45,$AK$60:$AK$538,Table!$C$41)</f>
        <v>0</v>
      </c>
      <c r="J45" s="83">
        <f>COUNTIFS($S$60:$S$538,C45,$AK$60:$AK$538,Table!$C$42)</f>
        <v>0</v>
      </c>
    </row>
    <row r="46" spans="1:17" ht="16.5" customHeight="1" x14ac:dyDescent="0.25">
      <c r="B46" s="63">
        <v>5</v>
      </c>
      <c r="C46" s="73" t="s">
        <v>67</v>
      </c>
      <c r="D46" s="65">
        <f>SUM(D27*Table!$D$4/Table!$C$4,D8)</f>
        <v>13882</v>
      </c>
      <c r="E46" s="65">
        <f>SUM(E27*Table!$D$4/Table!$C$4,E8)</f>
        <v>13882</v>
      </c>
      <c r="F46" s="65">
        <f t="shared" ca="1" si="14"/>
        <v>22</v>
      </c>
      <c r="G46" s="65">
        <f t="shared" ca="1" si="15"/>
        <v>631</v>
      </c>
      <c r="H46" s="66">
        <f t="shared" si="16"/>
        <v>1</v>
      </c>
      <c r="I46" s="83">
        <f>COUNTIFS($S$60:$S$538,C46,$AK$60:$AK$538,Table!$C$41)</f>
        <v>11</v>
      </c>
      <c r="J46" s="83">
        <f>COUNTIFS($S$60:$S$538,C46,$AK$60:$AK$538,Table!$C$42)</f>
        <v>0</v>
      </c>
      <c r="M46" s="5"/>
      <c r="N46" s="5"/>
      <c r="O46" s="5"/>
      <c r="P46" s="5"/>
      <c r="Q46" s="5"/>
    </row>
    <row r="47" spans="1:17" ht="15.75" x14ac:dyDescent="0.25">
      <c r="B47" s="63">
        <v>6</v>
      </c>
      <c r="C47" s="73" t="s">
        <v>68</v>
      </c>
      <c r="D47" s="65">
        <f>SUM(D28*Table!$D$4/Table!$C$4,D9)</f>
        <v>11521</v>
      </c>
      <c r="E47" s="65">
        <f>SUM(E28*Table!$D$4/Table!$C$4,E9)</f>
        <v>11521</v>
      </c>
      <c r="F47" s="65">
        <f ca="1">$K$20</f>
        <v>22</v>
      </c>
      <c r="G47" s="65">
        <f t="shared" ca="1" si="15"/>
        <v>523.68181818181813</v>
      </c>
      <c r="H47" s="66">
        <f t="shared" si="16"/>
        <v>1</v>
      </c>
      <c r="I47" s="83">
        <f>COUNTIFS($S$60:$S$538,C47,$AK$60:$AK$538,Table!$C$41)</f>
        <v>4</v>
      </c>
      <c r="J47" s="83">
        <f>COUNTIFS($S$60:$S$538,C47,$AK$60:$AK$538,Table!$C$42)</f>
        <v>0</v>
      </c>
      <c r="M47" s="5"/>
      <c r="N47" s="89"/>
      <c r="O47" s="90"/>
      <c r="P47" s="89"/>
      <c r="Q47" s="5"/>
    </row>
    <row r="48" spans="1:17" ht="15.75" x14ac:dyDescent="0.25">
      <c r="A48" t="s">
        <v>1269</v>
      </c>
      <c r="B48" s="63">
        <v>7</v>
      </c>
      <c r="C48" s="73" t="s">
        <v>69</v>
      </c>
      <c r="D48" s="65">
        <f>SUM(D29*Table!$D$4/Table!$C$4,D10)</f>
        <v>12336.23076923077</v>
      </c>
      <c r="E48" s="65">
        <f>SUM(E29*Table!$D$4/Table!$C$4,E10)</f>
        <v>12336.23076923077</v>
      </c>
      <c r="F48" s="65">
        <f t="shared" ca="1" si="14"/>
        <v>22</v>
      </c>
      <c r="G48" s="65">
        <f t="shared" ca="1" si="15"/>
        <v>560.73776223776224</v>
      </c>
      <c r="H48" s="66">
        <f t="shared" si="16"/>
        <v>1</v>
      </c>
      <c r="I48" s="83">
        <f>COUNTIFS($S$60:$S$538,C48,$AK$60:$AK$538,Table!$C$41)</f>
        <v>8</v>
      </c>
      <c r="J48" s="83">
        <f>COUNTIFS($S$60:$S$538,C48,$AK$60:$AK$538,Table!$C$42)</f>
        <v>0</v>
      </c>
      <c r="M48" s="5"/>
      <c r="N48" s="5"/>
      <c r="O48" s="5"/>
      <c r="P48" s="5"/>
      <c r="Q48" s="5"/>
    </row>
    <row r="49" spans="2:40" ht="15.75" x14ac:dyDescent="0.25">
      <c r="B49" s="63">
        <v>8</v>
      </c>
      <c r="C49" s="73" t="s">
        <v>70</v>
      </c>
      <c r="D49" s="65">
        <f>SUM(D30*Table!$D$4/Table!$C$4,D11)</f>
        <v>13173.615384615385</v>
      </c>
      <c r="E49" s="65">
        <f>SUM(E30*Table!$D$4/Table!$C$4,E11)</f>
        <v>13173.615384615385</v>
      </c>
      <c r="F49" s="65">
        <f t="shared" ca="1" si="14"/>
        <v>22</v>
      </c>
      <c r="G49" s="65">
        <f t="shared" ca="1" si="15"/>
        <v>598.80069930069931</v>
      </c>
      <c r="H49" s="66">
        <f t="shared" si="16"/>
        <v>1</v>
      </c>
      <c r="I49" s="83">
        <f>COUNTIFS($S$60:$S$538,C49,$AK$60:$AK$538,Table!$C$41)</f>
        <v>7</v>
      </c>
      <c r="J49" s="83">
        <f>COUNTIFS($S$60:$S$538,C49,$AK$60:$AK$538,Table!$C$42)</f>
        <v>0</v>
      </c>
    </row>
    <row r="50" spans="2:40" ht="15.75" x14ac:dyDescent="0.25">
      <c r="B50" s="63">
        <v>9</v>
      </c>
      <c r="C50" s="64" t="s">
        <v>141</v>
      </c>
      <c r="D50" s="65">
        <f>SUM(D31*Table!$D$4/Table!$C$4,D12)</f>
        <v>0</v>
      </c>
      <c r="E50" s="65">
        <f>SUM(E31*Table!$D$4/Table!$C$4,E12)</f>
        <v>0</v>
      </c>
      <c r="F50" s="65">
        <f t="shared" ca="1" si="14"/>
        <v>22</v>
      </c>
      <c r="G50" s="65">
        <f t="shared" ca="1" si="15"/>
        <v>0</v>
      </c>
      <c r="H50" s="66" t="str">
        <f t="shared" si="16"/>
        <v>N/A</v>
      </c>
      <c r="I50" s="83">
        <f>COUNTIFS($S$60:$S$538,C50,$AK$60:$AK$538,Table!$C$41)</f>
        <v>0</v>
      </c>
      <c r="J50" s="83">
        <f>COUNTIFS($S$60:$S$538,C50,$AK$60:$AK$538,Table!$C$42)</f>
        <v>0</v>
      </c>
    </row>
    <row r="51" spans="2:40" ht="15.75" x14ac:dyDescent="0.25">
      <c r="B51" s="63">
        <v>10</v>
      </c>
      <c r="C51" s="73" t="s">
        <v>142</v>
      </c>
      <c r="D51" s="65">
        <f>SUM(D32*Table!$D$4/Table!$C$4,D13)</f>
        <v>10485.692307692309</v>
      </c>
      <c r="E51" s="65">
        <f>SUM(E32*Table!$D$4/Table!$C$4,E13)</f>
        <v>10485.692307692309</v>
      </c>
      <c r="F51" s="65">
        <f t="shared" ca="1" si="14"/>
        <v>22</v>
      </c>
      <c r="G51" s="65">
        <f t="shared" ref="G51:G55" ca="1" si="17">IF(ISERROR(E51/(F51)),"N/A",E51/F51)</f>
        <v>476.62237762237766</v>
      </c>
      <c r="H51" s="66">
        <f t="shared" ref="H51:H55" si="18">IF(ISERROR(E51/D51),"N/A",E51/D51)</f>
        <v>1</v>
      </c>
      <c r="I51" s="83">
        <f>COUNTIFS($S$60:$S$538,C51,$AK$60:$AK$538,Table!$C$41)</f>
        <v>6</v>
      </c>
      <c r="J51" s="83">
        <f>COUNTIFS($S$60:$S$538,C51,$AK$60:$AK$538,Table!$C$42)</f>
        <v>0</v>
      </c>
    </row>
    <row r="52" spans="2:40" ht="15.75" x14ac:dyDescent="0.25">
      <c r="B52" s="63">
        <v>11</v>
      </c>
      <c r="C52" s="64" t="s">
        <v>1430</v>
      </c>
      <c r="D52" s="65">
        <f>SUM(D33*Table!$D$4/Table!$C$4,D14)</f>
        <v>0</v>
      </c>
      <c r="E52" s="65">
        <f>SUM(E33*Table!$D$4/Table!$C$4,E14)</f>
        <v>0</v>
      </c>
      <c r="F52" s="65">
        <f t="shared" ca="1" si="14"/>
        <v>22</v>
      </c>
      <c r="G52" s="65">
        <f t="shared" ca="1" si="17"/>
        <v>0</v>
      </c>
      <c r="H52" s="66" t="str">
        <f t="shared" si="18"/>
        <v>N/A</v>
      </c>
      <c r="I52" s="83">
        <f>COUNTIFS($S$60:$S$538,C52,$AK$60:$AK$538,Table!$C$41)</f>
        <v>0</v>
      </c>
      <c r="J52" s="83">
        <f>COUNTIFS($S$60:$S$538,C52,$AK$60:$AK$538,Table!$C$42)</f>
        <v>0</v>
      </c>
    </row>
    <row r="53" spans="2:40" ht="15.75" x14ac:dyDescent="0.25">
      <c r="B53" s="63">
        <v>12</v>
      </c>
      <c r="C53" s="73" t="s">
        <v>741</v>
      </c>
      <c r="D53" s="65">
        <f>SUM(D34*Table!$D$4/Table!$C$4,D15)</f>
        <v>180.92307692307691</v>
      </c>
      <c r="E53" s="65">
        <f>SUM(E34*Table!$D$4/Table!$C$4,E15)</f>
        <v>180.92307692307691</v>
      </c>
      <c r="F53" s="65">
        <f t="shared" ca="1" si="14"/>
        <v>22</v>
      </c>
      <c r="G53" s="65">
        <f t="shared" ca="1" si="17"/>
        <v>8.2237762237762233</v>
      </c>
      <c r="H53" s="66">
        <f t="shared" si="18"/>
        <v>1</v>
      </c>
      <c r="I53" s="83">
        <f>COUNTIFS($S$60:$S$538,C53,$AK$60:$AK$538,Table!$C$41)</f>
        <v>1</v>
      </c>
      <c r="J53" s="83">
        <f>COUNTIFS($S$60:$S$538,C53,$AK$60:$AK$538,Table!$C$42)</f>
        <v>0</v>
      </c>
    </row>
    <row r="54" spans="2:40" ht="15.75" x14ac:dyDescent="0.25">
      <c r="B54" s="63">
        <v>13</v>
      </c>
      <c r="C54" s="73" t="s">
        <v>742</v>
      </c>
      <c r="D54" s="65">
        <f>SUM(D35*Table!$D$4/Table!$C$4,D16)</f>
        <v>286</v>
      </c>
      <c r="E54" s="65">
        <f>SUM(E35*Table!$D$4/Table!$C$4,E16)</f>
        <v>286</v>
      </c>
      <c r="F54" s="65">
        <f t="shared" ca="1" si="14"/>
        <v>22</v>
      </c>
      <c r="G54" s="65">
        <f t="shared" ca="1" si="17"/>
        <v>13</v>
      </c>
      <c r="H54" s="66">
        <f t="shared" si="18"/>
        <v>1</v>
      </c>
      <c r="I54" s="83">
        <f>COUNTIFS($S$60:$S$538,C54,$AK$60:$AK$538,Table!$C$41)</f>
        <v>0</v>
      </c>
      <c r="J54" s="83">
        <f>COUNTIFS($S$60:$S$538,C54,$AK$60:$AK$538,Table!$C$42)</f>
        <v>0</v>
      </c>
      <c r="V54" s="251"/>
      <c r="W54" s="251"/>
    </row>
    <row r="55" spans="2:40" ht="15.75" x14ac:dyDescent="0.25">
      <c r="B55" s="63">
        <v>14</v>
      </c>
      <c r="C55" s="73" t="s">
        <v>743</v>
      </c>
      <c r="D55" s="65">
        <f>SUM(D36*Table!$D$4/Table!$C$4,D17)</f>
        <v>241</v>
      </c>
      <c r="E55" s="65">
        <f>SUM(E36*Table!$D$4/Table!$C$4,E17)</f>
        <v>241</v>
      </c>
      <c r="F55" s="65">
        <f t="shared" ca="1" si="14"/>
        <v>22</v>
      </c>
      <c r="G55" s="65">
        <f t="shared" ca="1" si="17"/>
        <v>10.954545454545455</v>
      </c>
      <c r="H55" s="66">
        <f t="shared" si="18"/>
        <v>1</v>
      </c>
      <c r="I55" s="83">
        <f>COUNTIFS($S$60:$S$538,C55,$AK$60:$AK$538,Table!$C$41)</f>
        <v>0</v>
      </c>
      <c r="J55" s="83">
        <f>COUNTIFS($S$60:$S$538,C55,$AK$60:$AK$538,Table!$C$42)</f>
        <v>0</v>
      </c>
      <c r="V55" s="5"/>
      <c r="W55" s="5"/>
    </row>
    <row r="56" spans="2:40" ht="15.75" x14ac:dyDescent="0.25">
      <c r="B56" s="61" t="s">
        <v>106</v>
      </c>
      <c r="C56" s="67"/>
      <c r="D56" s="65">
        <f>SUM(D42:D55)</f>
        <v>81782.923076923093</v>
      </c>
      <c r="E56" s="65">
        <f>SUM(E42:E55)</f>
        <v>81782.923076923093</v>
      </c>
      <c r="F56" s="65">
        <f ca="1">$K$20*COUNTA(C42:C55)</f>
        <v>308</v>
      </c>
      <c r="G56" s="65">
        <f ca="1">IF(ISERROR(E56/(F56)),"N/A",E56/F56)</f>
        <v>265.52897102897106</v>
      </c>
      <c r="H56" s="66">
        <f t="shared" si="13"/>
        <v>1</v>
      </c>
      <c r="I56" s="83">
        <f>SUM(I42:I55)</f>
        <v>47</v>
      </c>
      <c r="J56" s="83">
        <f>SUM(J42:J55)</f>
        <v>0</v>
      </c>
      <c r="V56" s="251"/>
      <c r="W56" s="251"/>
      <c r="X56" s="5"/>
      <c r="Y56" s="5"/>
      <c r="Z56" s="5"/>
    </row>
    <row r="59" spans="2: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2:40" x14ac:dyDescent="0.25">
      <c r="B60" s="94">
        <v>1</v>
      </c>
      <c r="C60" s="16">
        <v>20200518</v>
      </c>
      <c r="D60" s="15" t="s">
        <v>3</v>
      </c>
      <c r="E60" s="15" t="s">
        <v>216</v>
      </c>
      <c r="F60" s="93" t="s">
        <v>309</v>
      </c>
      <c r="G60" s="17">
        <v>1452946</v>
      </c>
      <c r="H60" s="52" t="s">
        <v>61</v>
      </c>
      <c r="I60" s="15" t="s">
        <v>226</v>
      </c>
      <c r="J60" s="52" t="s">
        <v>61</v>
      </c>
      <c r="K60" s="15" t="s">
        <v>146</v>
      </c>
      <c r="L60" s="15" t="s">
        <v>263</v>
      </c>
      <c r="M60" s="15" t="s">
        <v>217</v>
      </c>
      <c r="N60" s="15" t="s">
        <v>220</v>
      </c>
      <c r="O60" s="17" t="s">
        <v>61</v>
      </c>
      <c r="P60" s="17" t="s">
        <v>259</v>
      </c>
      <c r="Q60" s="18"/>
      <c r="R60" s="52" t="s">
        <v>61</v>
      </c>
      <c r="S60" s="15" t="s">
        <v>68</v>
      </c>
      <c r="T60" s="15"/>
      <c r="U60" s="15"/>
      <c r="V60" s="15">
        <v>109</v>
      </c>
      <c r="W60" s="15">
        <f t="shared" ref="W60:W96" si="19">V60</f>
        <v>109</v>
      </c>
      <c r="X60" s="15">
        <f t="shared" ref="X60:X70" si="20">W60</f>
        <v>109</v>
      </c>
      <c r="Y60" s="15">
        <f>ROUNDDOWN(W60/HLOOKUP(D60,Table!$C$3:$D$4,2,0)*8,2)</f>
        <v>1.93</v>
      </c>
      <c r="Z60" s="15">
        <v>2</v>
      </c>
      <c r="AA60" s="15" t="s">
        <v>74</v>
      </c>
      <c r="AB60" s="19">
        <v>43973</v>
      </c>
      <c r="AC60" s="19">
        <v>43969</v>
      </c>
      <c r="AD60" s="19">
        <v>43973</v>
      </c>
      <c r="AE60" s="19">
        <v>43971</v>
      </c>
      <c r="AF60" s="19">
        <v>43971</v>
      </c>
      <c r="AG60" s="19" t="s">
        <v>176</v>
      </c>
      <c r="AH60" s="31">
        <v>1</v>
      </c>
      <c r="AI60" s="31">
        <v>1</v>
      </c>
      <c r="AJ60" s="31">
        <v>1</v>
      </c>
      <c r="AK60" s="19" t="s">
        <v>150</v>
      </c>
      <c r="AL60" s="17" t="s">
        <v>61</v>
      </c>
      <c r="AM60" s="17" t="s">
        <v>61</v>
      </c>
      <c r="AN60" s="17" t="s">
        <v>61</v>
      </c>
    </row>
    <row r="61" spans="2:40" x14ac:dyDescent="0.25">
      <c r="B61" s="94">
        <f>B60+1</f>
        <v>2</v>
      </c>
      <c r="C61" s="16">
        <v>20200518</v>
      </c>
      <c r="D61" s="15" t="s">
        <v>3</v>
      </c>
      <c r="E61" s="15" t="s">
        <v>216</v>
      </c>
      <c r="F61" s="93" t="s">
        <v>310</v>
      </c>
      <c r="G61" s="17">
        <v>1452946</v>
      </c>
      <c r="H61" s="52" t="s">
        <v>61</v>
      </c>
      <c r="I61" s="15" t="s">
        <v>232</v>
      </c>
      <c r="J61" s="52" t="s">
        <v>61</v>
      </c>
      <c r="K61" s="15" t="s">
        <v>146</v>
      </c>
      <c r="L61" s="15" t="s">
        <v>263</v>
      </c>
      <c r="M61" s="15" t="s">
        <v>217</v>
      </c>
      <c r="N61" s="15" t="s">
        <v>220</v>
      </c>
      <c r="O61" s="17" t="s">
        <v>61</v>
      </c>
      <c r="P61" s="17" t="s">
        <v>259</v>
      </c>
      <c r="Q61" s="18"/>
      <c r="R61" s="52" t="s">
        <v>61</v>
      </c>
      <c r="S61" s="15" t="s">
        <v>68</v>
      </c>
      <c r="T61" s="15"/>
      <c r="U61" s="15"/>
      <c r="V61" s="15">
        <v>59</v>
      </c>
      <c r="W61" s="15">
        <f t="shared" si="19"/>
        <v>59</v>
      </c>
      <c r="X61" s="15">
        <f t="shared" si="20"/>
        <v>59</v>
      </c>
      <c r="Y61" s="15">
        <f>ROUNDDOWN(W61/HLOOKUP(D61,Table!$C$3:$D$4,2,0)*8,2)</f>
        <v>1.04</v>
      </c>
      <c r="Z61" s="15">
        <v>1</v>
      </c>
      <c r="AA61" s="15" t="s">
        <v>74</v>
      </c>
      <c r="AB61" s="19">
        <v>43973</v>
      </c>
      <c r="AC61" s="19">
        <v>43969</v>
      </c>
      <c r="AD61" s="19">
        <v>43973</v>
      </c>
      <c r="AE61" s="19">
        <v>43971</v>
      </c>
      <c r="AF61" s="19">
        <v>43971</v>
      </c>
      <c r="AG61" s="19" t="s">
        <v>176</v>
      </c>
      <c r="AH61" s="31">
        <v>1</v>
      </c>
      <c r="AI61" s="31">
        <v>1</v>
      </c>
      <c r="AJ61" s="31">
        <v>1</v>
      </c>
      <c r="AK61" s="19" t="s">
        <v>150</v>
      </c>
      <c r="AL61" s="17" t="s">
        <v>61</v>
      </c>
      <c r="AM61" s="17" t="s">
        <v>61</v>
      </c>
      <c r="AN61" s="17" t="s">
        <v>61</v>
      </c>
    </row>
    <row r="62" spans="2:40" x14ac:dyDescent="0.25">
      <c r="B62" s="94">
        <f t="shared" ref="B62:B125" si="21">B61+1</f>
        <v>3</v>
      </c>
      <c r="C62" s="16">
        <v>20200518</v>
      </c>
      <c r="D62" s="15" t="s">
        <v>3</v>
      </c>
      <c r="E62" s="15" t="s">
        <v>216</v>
      </c>
      <c r="F62" s="93" t="s">
        <v>309</v>
      </c>
      <c r="G62" s="17">
        <v>1452946</v>
      </c>
      <c r="H62" s="52" t="s">
        <v>61</v>
      </c>
      <c r="I62" s="15" t="s">
        <v>227</v>
      </c>
      <c r="J62" s="52" t="s">
        <v>61</v>
      </c>
      <c r="K62" s="15" t="s">
        <v>146</v>
      </c>
      <c r="L62" s="15" t="s">
        <v>263</v>
      </c>
      <c r="M62" s="15" t="s">
        <v>217</v>
      </c>
      <c r="N62" s="15" t="s">
        <v>220</v>
      </c>
      <c r="O62" s="17" t="s">
        <v>61</v>
      </c>
      <c r="P62" s="17" t="s">
        <v>259</v>
      </c>
      <c r="Q62" s="18"/>
      <c r="R62" s="52" t="s">
        <v>61</v>
      </c>
      <c r="S62" s="15" t="s">
        <v>69</v>
      </c>
      <c r="T62" s="15"/>
      <c r="U62" s="15"/>
      <c r="V62" s="15">
        <v>125</v>
      </c>
      <c r="W62" s="15">
        <f t="shared" si="19"/>
        <v>125</v>
      </c>
      <c r="X62" s="15">
        <f t="shared" si="20"/>
        <v>125</v>
      </c>
      <c r="Y62" s="15">
        <f>ROUNDDOWN(W62/HLOOKUP(D62,Table!$C$3:$D$4,2,0)*8,2)</f>
        <v>2.2200000000000002</v>
      </c>
      <c r="Z62" s="15">
        <v>2</v>
      </c>
      <c r="AA62" s="15" t="s">
        <v>74</v>
      </c>
      <c r="AB62" s="19">
        <v>43973</v>
      </c>
      <c r="AC62" s="19">
        <v>43969</v>
      </c>
      <c r="AD62" s="19">
        <v>43973</v>
      </c>
      <c r="AE62" s="19">
        <v>43969</v>
      </c>
      <c r="AF62" s="19">
        <v>43969</v>
      </c>
      <c r="AG62" s="19" t="s">
        <v>176</v>
      </c>
      <c r="AH62" s="31">
        <v>1</v>
      </c>
      <c r="AI62" s="31">
        <v>1</v>
      </c>
      <c r="AJ62" s="31">
        <v>1</v>
      </c>
      <c r="AK62" s="19" t="s">
        <v>150</v>
      </c>
      <c r="AL62" s="17" t="s">
        <v>61</v>
      </c>
      <c r="AM62" s="17" t="s">
        <v>61</v>
      </c>
      <c r="AN62" s="17" t="s">
        <v>61</v>
      </c>
    </row>
    <row r="63" spans="2:40" s="113" customFormat="1" x14ac:dyDescent="0.25">
      <c r="B63" s="94">
        <f t="shared" si="21"/>
        <v>4</v>
      </c>
      <c r="C63" s="114">
        <v>20200518</v>
      </c>
      <c r="D63" s="114" t="s">
        <v>3</v>
      </c>
      <c r="E63" s="114" t="s">
        <v>216</v>
      </c>
      <c r="F63" s="93" t="s">
        <v>310</v>
      </c>
      <c r="G63" s="115">
        <v>1452946</v>
      </c>
      <c r="H63" s="122" t="s">
        <v>61</v>
      </c>
      <c r="I63" s="114" t="s">
        <v>200</v>
      </c>
      <c r="J63" s="122" t="s">
        <v>61</v>
      </c>
      <c r="K63" s="114" t="s">
        <v>146</v>
      </c>
      <c r="L63" s="114" t="s">
        <v>263</v>
      </c>
      <c r="M63" s="114" t="s">
        <v>217</v>
      </c>
      <c r="N63" s="114" t="s">
        <v>220</v>
      </c>
      <c r="O63" s="115" t="s">
        <v>61</v>
      </c>
      <c r="P63" s="115" t="s">
        <v>259</v>
      </c>
      <c r="Q63" s="18"/>
      <c r="R63" s="52" t="s">
        <v>61</v>
      </c>
      <c r="S63" s="114" t="s">
        <v>68</v>
      </c>
      <c r="T63" s="114"/>
      <c r="U63" s="114"/>
      <c r="V63" s="114">
        <v>18</v>
      </c>
      <c r="W63" s="114">
        <f>V63</f>
        <v>18</v>
      </c>
      <c r="X63" s="114">
        <f t="shared" si="20"/>
        <v>18</v>
      </c>
      <c r="Y63" s="114">
        <f>ROUNDDOWN(W63/HLOOKUP(D63,Table!$C$3:$D$4,2,0)*8,2)</f>
        <v>0.32</v>
      </c>
      <c r="Z63" s="114">
        <v>0.3</v>
      </c>
      <c r="AA63" s="15" t="s">
        <v>74</v>
      </c>
      <c r="AB63" s="19">
        <v>43973</v>
      </c>
      <c r="AC63" s="111">
        <v>43969</v>
      </c>
      <c r="AD63" s="111">
        <v>43973</v>
      </c>
      <c r="AE63" s="111">
        <v>43971</v>
      </c>
      <c r="AF63" s="111">
        <v>43971</v>
      </c>
      <c r="AG63" s="111" t="s">
        <v>176</v>
      </c>
      <c r="AH63" s="112">
        <v>1</v>
      </c>
      <c r="AI63" s="112">
        <v>1</v>
      </c>
      <c r="AJ63" s="112">
        <v>1</v>
      </c>
      <c r="AK63" s="111" t="s">
        <v>150</v>
      </c>
      <c r="AL63" s="115" t="s">
        <v>61</v>
      </c>
      <c r="AM63" s="115" t="s">
        <v>61</v>
      </c>
      <c r="AN63" s="115" t="s">
        <v>61</v>
      </c>
    </row>
    <row r="64" spans="2:40" x14ac:dyDescent="0.25">
      <c r="B64" s="94">
        <f t="shared" si="21"/>
        <v>5</v>
      </c>
      <c r="C64" s="16">
        <v>20200518</v>
      </c>
      <c r="D64" s="15" t="s">
        <v>3</v>
      </c>
      <c r="E64" s="15" t="s">
        <v>216</v>
      </c>
      <c r="F64" s="93" t="s">
        <v>311</v>
      </c>
      <c r="G64" s="17">
        <v>1452946</v>
      </c>
      <c r="H64" s="52" t="s">
        <v>61</v>
      </c>
      <c r="I64" s="15" t="s">
        <v>201</v>
      </c>
      <c r="J64" s="52" t="s">
        <v>61</v>
      </c>
      <c r="K64" s="15" t="s">
        <v>146</v>
      </c>
      <c r="L64" s="15" t="s">
        <v>263</v>
      </c>
      <c r="M64" s="15" t="s">
        <v>217</v>
      </c>
      <c r="N64" s="15" t="s">
        <v>220</v>
      </c>
      <c r="O64" s="17" t="s">
        <v>61</v>
      </c>
      <c r="P64" s="17" t="s">
        <v>259</v>
      </c>
      <c r="Q64" s="18"/>
      <c r="R64" s="52" t="s">
        <v>61</v>
      </c>
      <c r="S64" s="15" t="s">
        <v>67</v>
      </c>
      <c r="T64" s="15"/>
      <c r="U64" s="15"/>
      <c r="V64" s="15">
        <v>220</v>
      </c>
      <c r="W64" s="15">
        <f t="shared" si="19"/>
        <v>220</v>
      </c>
      <c r="X64" s="15">
        <f t="shared" si="20"/>
        <v>220</v>
      </c>
      <c r="Y64" s="15">
        <f>ROUNDDOWN(W64/HLOOKUP(D64,Table!$C$3:$D$4,2,0)*8,2)</f>
        <v>3.91</v>
      </c>
      <c r="Z64" s="15">
        <v>3</v>
      </c>
      <c r="AA64" s="15" t="s">
        <v>74</v>
      </c>
      <c r="AB64" s="19">
        <v>43973</v>
      </c>
      <c r="AC64" s="19">
        <v>43969</v>
      </c>
      <c r="AD64" s="19">
        <v>43973</v>
      </c>
      <c r="AE64" s="19">
        <v>43971</v>
      </c>
      <c r="AF64" s="19">
        <v>43971</v>
      </c>
      <c r="AG64" s="19" t="s">
        <v>176</v>
      </c>
      <c r="AH64" s="31">
        <v>1</v>
      </c>
      <c r="AI64" s="31">
        <v>1</v>
      </c>
      <c r="AJ64" s="31">
        <v>1</v>
      </c>
      <c r="AK64" s="19" t="s">
        <v>150</v>
      </c>
      <c r="AL64" s="17" t="s">
        <v>61</v>
      </c>
      <c r="AM64" s="17" t="s">
        <v>61</v>
      </c>
      <c r="AN64" s="17" t="s">
        <v>61</v>
      </c>
    </row>
    <row r="65" spans="2:40" s="113" customFormat="1" x14ac:dyDescent="0.25">
      <c r="B65" s="94">
        <f t="shared" si="21"/>
        <v>6</v>
      </c>
      <c r="C65" s="114">
        <v>20200518</v>
      </c>
      <c r="D65" s="114" t="s">
        <v>3</v>
      </c>
      <c r="E65" s="114" t="s">
        <v>216</v>
      </c>
      <c r="F65" s="93" t="s">
        <v>312</v>
      </c>
      <c r="G65" s="115">
        <v>1452946</v>
      </c>
      <c r="H65" s="122" t="s">
        <v>61</v>
      </c>
      <c r="I65" s="114" t="s">
        <v>233</v>
      </c>
      <c r="J65" s="122" t="s">
        <v>61</v>
      </c>
      <c r="K65" s="114" t="s">
        <v>146</v>
      </c>
      <c r="L65" s="114" t="s">
        <v>263</v>
      </c>
      <c r="M65" s="114" t="s">
        <v>217</v>
      </c>
      <c r="N65" s="114" t="s">
        <v>220</v>
      </c>
      <c r="O65" s="115" t="s">
        <v>61</v>
      </c>
      <c r="P65" s="115" t="s">
        <v>259</v>
      </c>
      <c r="Q65" s="18"/>
      <c r="R65" s="52" t="s">
        <v>61</v>
      </c>
      <c r="S65" s="114" t="s">
        <v>68</v>
      </c>
      <c r="T65" s="114"/>
      <c r="U65" s="114"/>
      <c r="V65" s="114">
        <v>117</v>
      </c>
      <c r="W65" s="114">
        <f>V65</f>
        <v>117</v>
      </c>
      <c r="X65" s="114">
        <f t="shared" si="20"/>
        <v>117</v>
      </c>
      <c r="Y65" s="114">
        <f>ROUNDDOWN(W65/HLOOKUP(D65,Table!$C$3:$D$4,2,0)*8,2)</f>
        <v>2.08</v>
      </c>
      <c r="Z65" s="114">
        <v>2</v>
      </c>
      <c r="AA65" s="15" t="s">
        <v>74</v>
      </c>
      <c r="AB65" s="19">
        <v>43973</v>
      </c>
      <c r="AC65" s="111">
        <v>43969</v>
      </c>
      <c r="AD65" s="111">
        <v>43973</v>
      </c>
      <c r="AE65" s="111">
        <v>43971</v>
      </c>
      <c r="AF65" s="111">
        <v>43971</v>
      </c>
      <c r="AG65" s="111" t="s">
        <v>176</v>
      </c>
      <c r="AH65" s="112">
        <v>1</v>
      </c>
      <c r="AI65" s="112">
        <v>1</v>
      </c>
      <c r="AJ65" s="112">
        <v>1</v>
      </c>
      <c r="AK65" s="111" t="s">
        <v>150</v>
      </c>
      <c r="AL65" s="115" t="s">
        <v>61</v>
      </c>
      <c r="AM65" s="115" t="s">
        <v>61</v>
      </c>
      <c r="AN65" s="115"/>
    </row>
    <row r="66" spans="2:40" x14ac:dyDescent="0.25">
      <c r="B66" s="94">
        <f t="shared" si="21"/>
        <v>7</v>
      </c>
      <c r="C66" s="16">
        <v>20200518</v>
      </c>
      <c r="D66" s="15" t="s">
        <v>3</v>
      </c>
      <c r="E66" s="15" t="s">
        <v>216</v>
      </c>
      <c r="F66" s="93" t="s">
        <v>312</v>
      </c>
      <c r="G66" s="17">
        <v>1452946</v>
      </c>
      <c r="H66" s="52" t="s">
        <v>61</v>
      </c>
      <c r="I66" s="15" t="s">
        <v>234</v>
      </c>
      <c r="J66" s="52" t="s">
        <v>61</v>
      </c>
      <c r="K66" s="15" t="s">
        <v>146</v>
      </c>
      <c r="L66" s="15" t="s">
        <v>263</v>
      </c>
      <c r="M66" s="15" t="s">
        <v>217</v>
      </c>
      <c r="N66" s="15" t="s">
        <v>220</v>
      </c>
      <c r="O66" s="17" t="s">
        <v>61</v>
      </c>
      <c r="P66" s="17" t="s">
        <v>259</v>
      </c>
      <c r="Q66" s="18"/>
      <c r="R66" s="52" t="s">
        <v>61</v>
      </c>
      <c r="S66" s="15" t="s">
        <v>69</v>
      </c>
      <c r="T66" s="15"/>
      <c r="U66" s="15"/>
      <c r="V66" s="15">
        <v>18</v>
      </c>
      <c r="W66" s="15">
        <f t="shared" si="19"/>
        <v>18</v>
      </c>
      <c r="X66" s="15">
        <f t="shared" si="20"/>
        <v>18</v>
      </c>
      <c r="Y66" s="15">
        <f>ROUNDDOWN(W66/HLOOKUP(D66,Table!$C$3:$D$4,2,0)*8,2)</f>
        <v>0.32</v>
      </c>
      <c r="Z66" s="15">
        <v>0.3</v>
      </c>
      <c r="AA66" s="15" t="s">
        <v>74</v>
      </c>
      <c r="AB66" s="19">
        <v>43973</v>
      </c>
      <c r="AC66" s="19">
        <v>43969</v>
      </c>
      <c r="AD66" s="19">
        <v>43973</v>
      </c>
      <c r="AE66" s="19">
        <v>43969</v>
      </c>
      <c r="AF66" s="19">
        <v>43969</v>
      </c>
      <c r="AG66" s="19" t="s">
        <v>176</v>
      </c>
      <c r="AH66" s="31">
        <v>1</v>
      </c>
      <c r="AI66" s="31">
        <v>1</v>
      </c>
      <c r="AJ66" s="31">
        <v>1</v>
      </c>
      <c r="AK66" s="19" t="s">
        <v>150</v>
      </c>
      <c r="AL66" s="17" t="s">
        <v>61</v>
      </c>
      <c r="AM66" s="17" t="s">
        <v>61</v>
      </c>
      <c r="AN66" s="17" t="s">
        <v>61</v>
      </c>
    </row>
    <row r="67" spans="2:40" s="110" customFormat="1" x14ac:dyDescent="0.25">
      <c r="B67" s="121">
        <f t="shared" si="21"/>
        <v>8</v>
      </c>
      <c r="C67" s="16">
        <v>20200518</v>
      </c>
      <c r="D67" s="16" t="s">
        <v>3</v>
      </c>
      <c r="E67" s="16" t="s">
        <v>216</v>
      </c>
      <c r="F67" s="93" t="s">
        <v>312</v>
      </c>
      <c r="G67" s="98">
        <v>1452946</v>
      </c>
      <c r="H67" s="52" t="s">
        <v>61</v>
      </c>
      <c r="I67" s="16" t="s">
        <v>235</v>
      </c>
      <c r="J67" s="52" t="s">
        <v>61</v>
      </c>
      <c r="K67" s="16" t="s">
        <v>146</v>
      </c>
      <c r="L67" s="16" t="s">
        <v>263</v>
      </c>
      <c r="M67" s="16" t="s">
        <v>217</v>
      </c>
      <c r="N67" s="16" t="s">
        <v>220</v>
      </c>
      <c r="O67" s="98" t="s">
        <v>61</v>
      </c>
      <c r="P67" s="98" t="s">
        <v>259</v>
      </c>
      <c r="Q67" s="18"/>
      <c r="R67" s="52" t="s">
        <v>61</v>
      </c>
      <c r="S67" s="16" t="s">
        <v>68</v>
      </c>
      <c r="T67" s="16"/>
      <c r="U67" s="16"/>
      <c r="V67" s="16">
        <v>49</v>
      </c>
      <c r="W67" s="16">
        <f>V67</f>
        <v>49</v>
      </c>
      <c r="X67" s="16">
        <f t="shared" si="20"/>
        <v>49</v>
      </c>
      <c r="Y67" s="16">
        <f>ROUNDDOWN(W67/HLOOKUP(D67,Table!$C$3:$D$4,2,0)*8,2)</f>
        <v>0.87</v>
      </c>
      <c r="Z67" s="16">
        <v>0.5</v>
      </c>
      <c r="AA67" s="15" t="s">
        <v>74</v>
      </c>
      <c r="AB67" s="19">
        <v>43973</v>
      </c>
      <c r="AC67" s="99">
        <v>43969</v>
      </c>
      <c r="AD67" s="99">
        <v>43973</v>
      </c>
      <c r="AE67" s="99">
        <v>43971</v>
      </c>
      <c r="AF67" s="99">
        <v>43971</v>
      </c>
      <c r="AG67" s="99" t="s">
        <v>176</v>
      </c>
      <c r="AH67" s="100">
        <v>1</v>
      </c>
      <c r="AI67" s="100">
        <v>1</v>
      </c>
      <c r="AJ67" s="100">
        <v>1</v>
      </c>
      <c r="AK67" s="99" t="s">
        <v>150</v>
      </c>
      <c r="AL67" s="98" t="s">
        <v>61</v>
      </c>
      <c r="AM67" s="98" t="s">
        <v>61</v>
      </c>
      <c r="AN67" s="98" t="s">
        <v>61</v>
      </c>
    </row>
    <row r="68" spans="2:40" x14ac:dyDescent="0.25">
      <c r="B68" s="94">
        <f t="shared" si="21"/>
        <v>9</v>
      </c>
      <c r="C68" s="16">
        <v>20200518</v>
      </c>
      <c r="D68" s="15" t="s">
        <v>3</v>
      </c>
      <c r="E68" s="15" t="s">
        <v>216</v>
      </c>
      <c r="F68" s="93" t="s">
        <v>312</v>
      </c>
      <c r="G68" s="17">
        <v>1452946</v>
      </c>
      <c r="H68" s="52" t="s">
        <v>61</v>
      </c>
      <c r="I68" s="15" t="s">
        <v>236</v>
      </c>
      <c r="J68" s="52" t="s">
        <v>61</v>
      </c>
      <c r="K68" s="15" t="s">
        <v>146</v>
      </c>
      <c r="L68" s="15" t="s">
        <v>263</v>
      </c>
      <c r="M68" s="15" t="s">
        <v>217</v>
      </c>
      <c r="N68" s="15" t="s">
        <v>220</v>
      </c>
      <c r="O68" s="17" t="s">
        <v>61</v>
      </c>
      <c r="P68" s="17" t="s">
        <v>259</v>
      </c>
      <c r="Q68" s="18"/>
      <c r="R68" s="52" t="s">
        <v>61</v>
      </c>
      <c r="S68" s="15" t="s">
        <v>69</v>
      </c>
      <c r="T68" s="15"/>
      <c r="U68" s="15"/>
      <c r="V68" s="15">
        <v>175</v>
      </c>
      <c r="W68" s="15">
        <f t="shared" si="19"/>
        <v>175</v>
      </c>
      <c r="X68" s="15">
        <f t="shared" si="20"/>
        <v>175</v>
      </c>
      <c r="Y68" s="15">
        <f>ROUNDDOWN(W68/HLOOKUP(D68,Table!$C$3:$D$4,2,0)*8,2)</f>
        <v>3.11</v>
      </c>
      <c r="Z68" s="15">
        <v>3</v>
      </c>
      <c r="AA68" s="15" t="s">
        <v>74</v>
      </c>
      <c r="AB68" s="19">
        <v>43973</v>
      </c>
      <c r="AC68" s="19">
        <v>43969</v>
      </c>
      <c r="AD68" s="19">
        <v>43973</v>
      </c>
      <c r="AE68" s="19">
        <v>43969</v>
      </c>
      <c r="AF68" s="19">
        <v>43969</v>
      </c>
      <c r="AG68" s="19" t="s">
        <v>176</v>
      </c>
      <c r="AH68" s="31">
        <v>1</v>
      </c>
      <c r="AI68" s="31">
        <v>1</v>
      </c>
      <c r="AJ68" s="31">
        <v>1</v>
      </c>
      <c r="AK68" s="19" t="s">
        <v>150</v>
      </c>
      <c r="AL68" s="17" t="s">
        <v>61</v>
      </c>
      <c r="AM68" s="17" t="s">
        <v>61</v>
      </c>
      <c r="AN68" s="17" t="s">
        <v>61</v>
      </c>
    </row>
    <row r="69" spans="2:40" x14ac:dyDescent="0.25">
      <c r="B69" s="94">
        <f t="shared" si="21"/>
        <v>10</v>
      </c>
      <c r="C69" s="16">
        <v>20200518</v>
      </c>
      <c r="D69" s="15" t="s">
        <v>3</v>
      </c>
      <c r="E69" s="15" t="s">
        <v>216</v>
      </c>
      <c r="F69" s="93" t="s">
        <v>312</v>
      </c>
      <c r="G69" s="17">
        <v>1452946</v>
      </c>
      <c r="H69" s="52" t="s">
        <v>61</v>
      </c>
      <c r="I69" s="15" t="s">
        <v>237</v>
      </c>
      <c r="J69" s="52" t="s">
        <v>61</v>
      </c>
      <c r="K69" s="15" t="s">
        <v>146</v>
      </c>
      <c r="L69" s="15" t="s">
        <v>263</v>
      </c>
      <c r="M69" s="15" t="s">
        <v>217</v>
      </c>
      <c r="N69" s="15" t="s">
        <v>220</v>
      </c>
      <c r="O69" s="17" t="s">
        <v>61</v>
      </c>
      <c r="P69" s="17" t="s">
        <v>259</v>
      </c>
      <c r="Q69" s="18"/>
      <c r="R69" s="52" t="s">
        <v>61</v>
      </c>
      <c r="S69" s="15" t="s">
        <v>69</v>
      </c>
      <c r="T69" s="15"/>
      <c r="U69" s="15"/>
      <c r="V69" s="15">
        <v>76</v>
      </c>
      <c r="W69" s="15">
        <f t="shared" si="19"/>
        <v>76</v>
      </c>
      <c r="X69" s="15">
        <f t="shared" si="20"/>
        <v>76</v>
      </c>
      <c r="Y69" s="15">
        <f>ROUNDDOWN(W69/HLOOKUP(D69,Table!$C$3:$D$4,2,0)*8,2)</f>
        <v>1.35</v>
      </c>
      <c r="Z69" s="15">
        <v>1</v>
      </c>
      <c r="AA69" s="15" t="s">
        <v>74</v>
      </c>
      <c r="AB69" s="19">
        <v>43973</v>
      </c>
      <c r="AC69" s="19">
        <v>43969</v>
      </c>
      <c r="AD69" s="19">
        <v>43973</v>
      </c>
      <c r="AE69" s="19">
        <v>43969</v>
      </c>
      <c r="AF69" s="19">
        <v>43969</v>
      </c>
      <c r="AG69" s="19" t="s">
        <v>176</v>
      </c>
      <c r="AH69" s="31">
        <v>1</v>
      </c>
      <c r="AI69" s="31">
        <v>1</v>
      </c>
      <c r="AJ69" s="31">
        <v>1</v>
      </c>
      <c r="AK69" s="19" t="s">
        <v>150</v>
      </c>
      <c r="AL69" s="17" t="s">
        <v>61</v>
      </c>
      <c r="AM69" s="17" t="s">
        <v>61</v>
      </c>
      <c r="AN69" s="17" t="s">
        <v>61</v>
      </c>
    </row>
    <row r="70" spans="2:40" x14ac:dyDescent="0.25">
      <c r="B70" s="94">
        <f t="shared" si="21"/>
        <v>11</v>
      </c>
      <c r="C70" s="16">
        <v>20200518</v>
      </c>
      <c r="D70" s="15" t="s">
        <v>3</v>
      </c>
      <c r="E70" s="15" t="s">
        <v>216</v>
      </c>
      <c r="F70" s="93" t="s">
        <v>312</v>
      </c>
      <c r="G70" s="107">
        <v>1452946</v>
      </c>
      <c r="H70" s="123" t="s">
        <v>61</v>
      </c>
      <c r="I70" s="106" t="s">
        <v>238</v>
      </c>
      <c r="J70" s="52" t="s">
        <v>61</v>
      </c>
      <c r="K70" s="15" t="s">
        <v>146</v>
      </c>
      <c r="L70" s="15" t="s">
        <v>263</v>
      </c>
      <c r="M70" s="15" t="s">
        <v>217</v>
      </c>
      <c r="N70" s="15" t="s">
        <v>220</v>
      </c>
      <c r="O70" s="17" t="s">
        <v>61</v>
      </c>
      <c r="P70" s="17" t="s">
        <v>259</v>
      </c>
      <c r="Q70" s="18"/>
      <c r="R70" s="52" t="s">
        <v>61</v>
      </c>
      <c r="S70" s="15" t="s">
        <v>68</v>
      </c>
      <c r="T70" s="15"/>
      <c r="U70" s="15"/>
      <c r="V70" s="15">
        <v>124</v>
      </c>
      <c r="W70" s="15">
        <f t="shared" si="19"/>
        <v>124</v>
      </c>
      <c r="X70" s="15">
        <f t="shared" si="20"/>
        <v>124</v>
      </c>
      <c r="Y70" s="15">
        <f>ROUNDDOWN(W70/HLOOKUP(D70,Table!$C$3:$D$4,2,0)*8,2)</f>
        <v>2.2000000000000002</v>
      </c>
      <c r="Z70" s="15">
        <v>2</v>
      </c>
      <c r="AA70" s="15" t="s">
        <v>74</v>
      </c>
      <c r="AB70" s="19">
        <v>43973</v>
      </c>
      <c r="AC70" s="19">
        <v>43969</v>
      </c>
      <c r="AD70" s="19">
        <v>43973</v>
      </c>
      <c r="AE70" s="19">
        <v>43971</v>
      </c>
      <c r="AF70" s="19">
        <v>43971</v>
      </c>
      <c r="AG70" s="19" t="s">
        <v>176</v>
      </c>
      <c r="AH70" s="31">
        <v>1</v>
      </c>
      <c r="AI70" s="31">
        <v>1</v>
      </c>
      <c r="AJ70" s="31">
        <v>1</v>
      </c>
      <c r="AK70" s="19" t="s">
        <v>150</v>
      </c>
      <c r="AL70" s="17" t="s">
        <v>61</v>
      </c>
      <c r="AM70" s="17" t="s">
        <v>61</v>
      </c>
      <c r="AN70" s="17" t="s">
        <v>61</v>
      </c>
    </row>
    <row r="71" spans="2:40" x14ac:dyDescent="0.25">
      <c r="B71" s="94">
        <f t="shared" si="21"/>
        <v>12</v>
      </c>
      <c r="C71" s="16">
        <v>20200518</v>
      </c>
      <c r="D71" s="15" t="s">
        <v>3</v>
      </c>
      <c r="E71" s="15" t="s">
        <v>216</v>
      </c>
      <c r="F71" s="93" t="s">
        <v>312</v>
      </c>
      <c r="G71" s="17">
        <v>1452946</v>
      </c>
      <c r="H71" s="52" t="s">
        <v>61</v>
      </c>
      <c r="I71" s="15" t="s">
        <v>239</v>
      </c>
      <c r="J71" s="52" t="s">
        <v>61</v>
      </c>
      <c r="K71" s="15" t="s">
        <v>146</v>
      </c>
      <c r="L71" s="15" t="s">
        <v>263</v>
      </c>
      <c r="M71" s="15" t="s">
        <v>217</v>
      </c>
      <c r="N71" s="15" t="s">
        <v>220</v>
      </c>
      <c r="O71" s="17" t="s">
        <v>61</v>
      </c>
      <c r="P71" s="17" t="s">
        <v>259</v>
      </c>
      <c r="Q71" s="18"/>
      <c r="R71" s="52" t="s">
        <v>61</v>
      </c>
      <c r="S71" s="15" t="s">
        <v>67</v>
      </c>
      <c r="T71" s="15"/>
      <c r="U71" s="15"/>
      <c r="V71" s="15">
        <v>29</v>
      </c>
      <c r="W71" s="15">
        <f t="shared" si="19"/>
        <v>29</v>
      </c>
      <c r="X71" s="15">
        <f t="shared" ref="X71:X78" si="22">W71</f>
        <v>29</v>
      </c>
      <c r="Y71" s="15">
        <f>ROUNDDOWN(W71/HLOOKUP(D71,Table!$C$3:$D$4,2,0)*8,2)</f>
        <v>0.51</v>
      </c>
      <c r="Z71" s="15">
        <v>0.5</v>
      </c>
      <c r="AA71" s="15" t="s">
        <v>74</v>
      </c>
      <c r="AB71" s="19">
        <v>43973</v>
      </c>
      <c r="AC71" s="19">
        <v>43969</v>
      </c>
      <c r="AD71" s="19">
        <v>43973</v>
      </c>
      <c r="AE71" s="19">
        <v>43971</v>
      </c>
      <c r="AF71" s="19">
        <v>43971</v>
      </c>
      <c r="AG71" s="19" t="s">
        <v>176</v>
      </c>
      <c r="AH71" s="31">
        <v>1</v>
      </c>
      <c r="AI71" s="31">
        <v>1</v>
      </c>
      <c r="AJ71" s="31">
        <v>1</v>
      </c>
      <c r="AK71" s="19" t="s">
        <v>150</v>
      </c>
      <c r="AL71" s="17" t="s">
        <v>61</v>
      </c>
      <c r="AM71" s="17" t="s">
        <v>61</v>
      </c>
      <c r="AN71" s="17" t="s">
        <v>61</v>
      </c>
    </row>
    <row r="72" spans="2:40" x14ac:dyDescent="0.25">
      <c r="B72" s="94">
        <f t="shared" si="21"/>
        <v>13</v>
      </c>
      <c r="C72" s="16">
        <v>20200518</v>
      </c>
      <c r="D72" s="15" t="s">
        <v>3</v>
      </c>
      <c r="E72" s="15" t="s">
        <v>216</v>
      </c>
      <c r="F72" s="93" t="s">
        <v>312</v>
      </c>
      <c r="G72" s="17">
        <v>1452946</v>
      </c>
      <c r="H72" s="52" t="s">
        <v>61</v>
      </c>
      <c r="I72" s="15" t="s">
        <v>240</v>
      </c>
      <c r="J72" s="52" t="s">
        <v>61</v>
      </c>
      <c r="K72" s="15" t="s">
        <v>146</v>
      </c>
      <c r="L72" s="15" t="s">
        <v>263</v>
      </c>
      <c r="M72" s="15" t="s">
        <v>217</v>
      </c>
      <c r="N72" s="15" t="s">
        <v>220</v>
      </c>
      <c r="O72" s="17" t="s">
        <v>61</v>
      </c>
      <c r="P72" s="17" t="s">
        <v>259</v>
      </c>
      <c r="Q72" s="18"/>
      <c r="R72" s="52" t="s">
        <v>61</v>
      </c>
      <c r="S72" s="15" t="s">
        <v>70</v>
      </c>
      <c r="T72" s="15"/>
      <c r="U72" s="15"/>
      <c r="V72" s="15">
        <v>17</v>
      </c>
      <c r="W72" s="15">
        <f t="shared" si="19"/>
        <v>17</v>
      </c>
      <c r="X72" s="15">
        <f t="shared" si="22"/>
        <v>17</v>
      </c>
      <c r="Y72" s="15">
        <f>ROUNDDOWN(W72/HLOOKUP(D72,Table!$C$3:$D$4,2,0)*8,2)</f>
        <v>0.3</v>
      </c>
      <c r="Z72" s="15">
        <v>0.5</v>
      </c>
      <c r="AA72" s="15" t="s">
        <v>74</v>
      </c>
      <c r="AB72" s="19">
        <v>43973</v>
      </c>
      <c r="AC72" s="19">
        <v>43969</v>
      </c>
      <c r="AD72" s="19">
        <v>43973</v>
      </c>
      <c r="AE72" s="19">
        <v>43969</v>
      </c>
      <c r="AF72" s="19">
        <v>43969</v>
      </c>
      <c r="AG72" s="19" t="s">
        <v>176</v>
      </c>
      <c r="AH72" s="31">
        <v>1</v>
      </c>
      <c r="AI72" s="31">
        <v>1</v>
      </c>
      <c r="AJ72" s="31">
        <v>1</v>
      </c>
      <c r="AK72" s="19" t="s">
        <v>150</v>
      </c>
      <c r="AL72" s="17" t="s">
        <v>61</v>
      </c>
      <c r="AM72" s="17" t="s">
        <v>61</v>
      </c>
      <c r="AN72" s="17" t="s">
        <v>61</v>
      </c>
    </row>
    <row r="73" spans="2:40" s="101" customFormat="1" x14ac:dyDescent="0.25">
      <c r="B73" s="94">
        <f t="shared" si="21"/>
        <v>14</v>
      </c>
      <c r="C73" s="16">
        <v>20200518</v>
      </c>
      <c r="D73" s="16" t="s">
        <v>3</v>
      </c>
      <c r="E73" s="16" t="s">
        <v>216</v>
      </c>
      <c r="F73" s="93" t="s">
        <v>312</v>
      </c>
      <c r="G73" s="98">
        <v>1452946</v>
      </c>
      <c r="H73" s="52" t="s">
        <v>61</v>
      </c>
      <c r="I73" s="16" t="s">
        <v>241</v>
      </c>
      <c r="J73" s="52" t="s">
        <v>61</v>
      </c>
      <c r="K73" s="16" t="s">
        <v>146</v>
      </c>
      <c r="L73" s="16" t="s">
        <v>263</v>
      </c>
      <c r="M73" s="16" t="s">
        <v>217</v>
      </c>
      <c r="N73" s="16" t="s">
        <v>220</v>
      </c>
      <c r="O73" s="98" t="s">
        <v>61</v>
      </c>
      <c r="P73" s="98" t="s">
        <v>259</v>
      </c>
      <c r="Q73" s="18"/>
      <c r="R73" s="52" t="s">
        <v>61</v>
      </c>
      <c r="S73" s="16" t="s">
        <v>69</v>
      </c>
      <c r="T73" s="16"/>
      <c r="U73" s="16"/>
      <c r="V73" s="16">
        <v>90</v>
      </c>
      <c r="W73" s="16">
        <f t="shared" si="19"/>
        <v>90</v>
      </c>
      <c r="X73" s="16">
        <f t="shared" si="22"/>
        <v>90</v>
      </c>
      <c r="Y73" s="16">
        <f>ROUNDDOWN(W73/HLOOKUP(D73,Table!$C$3:$D$4,2,0)*8,2)</f>
        <v>1.6</v>
      </c>
      <c r="Z73" s="16">
        <v>0.5</v>
      </c>
      <c r="AA73" s="15" t="s">
        <v>74</v>
      </c>
      <c r="AB73" s="19">
        <v>43973</v>
      </c>
      <c r="AC73" s="99">
        <v>43969</v>
      </c>
      <c r="AD73" s="99">
        <v>43973</v>
      </c>
      <c r="AE73" s="99">
        <v>43970</v>
      </c>
      <c r="AF73" s="99">
        <v>43970</v>
      </c>
      <c r="AG73" s="99" t="s">
        <v>176</v>
      </c>
      <c r="AH73" s="100">
        <v>1</v>
      </c>
      <c r="AI73" s="100">
        <v>1</v>
      </c>
      <c r="AJ73" s="100">
        <v>1</v>
      </c>
      <c r="AK73" s="99" t="s">
        <v>150</v>
      </c>
      <c r="AL73" s="98" t="s">
        <v>61</v>
      </c>
      <c r="AM73" s="98" t="s">
        <v>61</v>
      </c>
      <c r="AN73" s="98" t="s">
        <v>61</v>
      </c>
    </row>
    <row r="74" spans="2:40" x14ac:dyDescent="0.25">
      <c r="B74" s="94">
        <f t="shared" si="21"/>
        <v>15</v>
      </c>
      <c r="C74" s="16">
        <v>20200518</v>
      </c>
      <c r="D74" s="15" t="s">
        <v>3</v>
      </c>
      <c r="E74" s="15" t="s">
        <v>216</v>
      </c>
      <c r="F74" s="93" t="s">
        <v>312</v>
      </c>
      <c r="G74" s="17">
        <v>1452946</v>
      </c>
      <c r="H74" s="52" t="s">
        <v>61</v>
      </c>
      <c r="I74" s="15" t="s">
        <v>242</v>
      </c>
      <c r="J74" s="52" t="s">
        <v>61</v>
      </c>
      <c r="K74" s="15" t="s">
        <v>146</v>
      </c>
      <c r="L74" s="15" t="s">
        <v>263</v>
      </c>
      <c r="M74" s="15" t="s">
        <v>217</v>
      </c>
      <c r="N74" s="15" t="s">
        <v>220</v>
      </c>
      <c r="O74" s="17" t="s">
        <v>61</v>
      </c>
      <c r="P74" s="17" t="s">
        <v>259</v>
      </c>
      <c r="Q74" s="18"/>
      <c r="R74" s="52" t="s">
        <v>61</v>
      </c>
      <c r="S74" s="15" t="s">
        <v>69</v>
      </c>
      <c r="T74" s="15"/>
      <c r="U74" s="15"/>
      <c r="V74" s="15">
        <v>48</v>
      </c>
      <c r="W74" s="15">
        <f t="shared" si="19"/>
        <v>48</v>
      </c>
      <c r="X74" s="15">
        <f t="shared" si="22"/>
        <v>48</v>
      </c>
      <c r="Y74" s="15">
        <f>ROUNDDOWN(W74/HLOOKUP(D74,Table!$C$3:$D$4,2,0)*8,2)</f>
        <v>0.85</v>
      </c>
      <c r="Z74" s="15">
        <v>0.5</v>
      </c>
      <c r="AA74" s="15" t="s">
        <v>74</v>
      </c>
      <c r="AB74" s="19">
        <v>43973</v>
      </c>
      <c r="AC74" s="19">
        <v>43969</v>
      </c>
      <c r="AD74" s="19">
        <v>43973</v>
      </c>
      <c r="AE74" s="19">
        <v>43970</v>
      </c>
      <c r="AF74" s="19">
        <v>43970</v>
      </c>
      <c r="AG74" s="19" t="s">
        <v>176</v>
      </c>
      <c r="AH74" s="31">
        <v>1</v>
      </c>
      <c r="AI74" s="31">
        <v>1</v>
      </c>
      <c r="AJ74" s="31">
        <v>1</v>
      </c>
      <c r="AK74" s="19" t="s">
        <v>150</v>
      </c>
      <c r="AL74" s="17" t="s">
        <v>61</v>
      </c>
      <c r="AM74" s="17" t="s">
        <v>61</v>
      </c>
      <c r="AN74" s="17" t="s">
        <v>61</v>
      </c>
    </row>
    <row r="75" spans="2:40" x14ac:dyDescent="0.25">
      <c r="B75" s="94">
        <f t="shared" si="21"/>
        <v>16</v>
      </c>
      <c r="C75" s="16">
        <v>20200518</v>
      </c>
      <c r="D75" s="15" t="s">
        <v>3</v>
      </c>
      <c r="E75" s="15" t="s">
        <v>216</v>
      </c>
      <c r="F75" s="93" t="s">
        <v>312</v>
      </c>
      <c r="G75" s="17">
        <v>1452946</v>
      </c>
      <c r="H75" s="52" t="s">
        <v>61</v>
      </c>
      <c r="I75" s="15" t="s">
        <v>243</v>
      </c>
      <c r="J75" s="52" t="s">
        <v>61</v>
      </c>
      <c r="K75" s="15" t="s">
        <v>146</v>
      </c>
      <c r="L75" s="15" t="s">
        <v>263</v>
      </c>
      <c r="M75" s="15" t="s">
        <v>217</v>
      </c>
      <c r="N75" s="15" t="s">
        <v>220</v>
      </c>
      <c r="O75" s="17" t="s">
        <v>61</v>
      </c>
      <c r="P75" s="17" t="s">
        <v>259</v>
      </c>
      <c r="Q75" s="18"/>
      <c r="R75" s="52" t="s">
        <v>61</v>
      </c>
      <c r="S75" s="15" t="s">
        <v>70</v>
      </c>
      <c r="T75" s="15"/>
      <c r="U75" s="15"/>
      <c r="V75" s="15">
        <v>125</v>
      </c>
      <c r="W75" s="15">
        <f t="shared" si="19"/>
        <v>125</v>
      </c>
      <c r="X75" s="15">
        <f t="shared" si="22"/>
        <v>125</v>
      </c>
      <c r="Y75" s="15">
        <f>ROUNDDOWN(W75/HLOOKUP(D75,Table!$C$3:$D$4,2,0)*8,2)</f>
        <v>2.2200000000000002</v>
      </c>
      <c r="Z75" s="15">
        <v>0.5</v>
      </c>
      <c r="AA75" s="15" t="s">
        <v>74</v>
      </c>
      <c r="AB75" s="19">
        <v>43973</v>
      </c>
      <c r="AC75" s="19">
        <v>43969</v>
      </c>
      <c r="AD75" s="19">
        <v>43973</v>
      </c>
      <c r="AE75" s="19">
        <v>43970</v>
      </c>
      <c r="AF75" s="19">
        <v>43970</v>
      </c>
      <c r="AG75" s="19" t="s">
        <v>176</v>
      </c>
      <c r="AH75" s="31">
        <v>1</v>
      </c>
      <c r="AI75" s="31">
        <v>1</v>
      </c>
      <c r="AJ75" s="31">
        <v>1</v>
      </c>
      <c r="AK75" s="19" t="s">
        <v>150</v>
      </c>
      <c r="AL75" s="17" t="s">
        <v>61</v>
      </c>
      <c r="AM75" s="17" t="s">
        <v>61</v>
      </c>
      <c r="AN75" s="17" t="s">
        <v>61</v>
      </c>
    </row>
    <row r="76" spans="2:40" x14ac:dyDescent="0.25">
      <c r="B76" s="94">
        <f t="shared" si="21"/>
        <v>17</v>
      </c>
      <c r="C76" s="16">
        <v>20200518</v>
      </c>
      <c r="D76" s="15" t="s">
        <v>3</v>
      </c>
      <c r="E76" s="15" t="s">
        <v>216</v>
      </c>
      <c r="F76" s="93" t="s">
        <v>312</v>
      </c>
      <c r="G76" s="107">
        <v>1452946</v>
      </c>
      <c r="H76" s="108" t="s">
        <v>61</v>
      </c>
      <c r="I76" s="106" t="s">
        <v>244</v>
      </c>
      <c r="J76" s="52" t="s">
        <v>61</v>
      </c>
      <c r="K76" s="15" t="s">
        <v>146</v>
      </c>
      <c r="L76" s="15" t="s">
        <v>263</v>
      </c>
      <c r="M76" s="15" t="s">
        <v>217</v>
      </c>
      <c r="N76" s="15" t="s">
        <v>220</v>
      </c>
      <c r="O76" s="17" t="s">
        <v>61</v>
      </c>
      <c r="P76" s="17" t="s">
        <v>259</v>
      </c>
      <c r="Q76" s="18"/>
      <c r="R76" s="52" t="s">
        <v>61</v>
      </c>
      <c r="S76" s="15" t="s">
        <v>68</v>
      </c>
      <c r="T76" s="15"/>
      <c r="U76" s="15"/>
      <c r="V76" s="15">
        <v>58</v>
      </c>
      <c r="W76" s="15">
        <f t="shared" si="19"/>
        <v>58</v>
      </c>
      <c r="X76" s="15">
        <f t="shared" si="22"/>
        <v>58</v>
      </c>
      <c r="Y76" s="15">
        <f>ROUNDDOWN(W76/HLOOKUP(D76,Table!$C$3:$D$4,2,0)*8,2)</f>
        <v>1.03</v>
      </c>
      <c r="Z76" s="15">
        <v>1</v>
      </c>
      <c r="AA76" s="15" t="s">
        <v>74</v>
      </c>
      <c r="AB76" s="19">
        <v>43973</v>
      </c>
      <c r="AC76" s="19">
        <v>43969</v>
      </c>
      <c r="AD76" s="19">
        <v>43973</v>
      </c>
      <c r="AE76" s="19">
        <v>43971</v>
      </c>
      <c r="AF76" s="19">
        <v>43971</v>
      </c>
      <c r="AG76" s="19" t="s">
        <v>176</v>
      </c>
      <c r="AH76" s="31">
        <v>1</v>
      </c>
      <c r="AI76" s="31">
        <v>1</v>
      </c>
      <c r="AJ76" s="31">
        <v>1</v>
      </c>
      <c r="AK76" s="19" t="s">
        <v>150</v>
      </c>
      <c r="AL76" s="17" t="s">
        <v>61</v>
      </c>
      <c r="AM76" s="17" t="s">
        <v>61</v>
      </c>
      <c r="AN76" s="17" t="s">
        <v>61</v>
      </c>
    </row>
    <row r="77" spans="2:40" x14ac:dyDescent="0.25">
      <c r="B77" s="94">
        <f t="shared" si="21"/>
        <v>18</v>
      </c>
      <c r="C77" s="16">
        <v>20200518</v>
      </c>
      <c r="D77" s="15" t="s">
        <v>3</v>
      </c>
      <c r="E77" s="15" t="s">
        <v>216</v>
      </c>
      <c r="F77" s="93" t="s">
        <v>312</v>
      </c>
      <c r="G77" s="17">
        <v>1452946</v>
      </c>
      <c r="H77" s="52" t="s">
        <v>61</v>
      </c>
      <c r="I77" s="15" t="s">
        <v>245</v>
      </c>
      <c r="J77" s="52" t="s">
        <v>61</v>
      </c>
      <c r="K77" s="15" t="s">
        <v>146</v>
      </c>
      <c r="L77" s="15" t="s">
        <v>263</v>
      </c>
      <c r="M77" s="15" t="s">
        <v>217</v>
      </c>
      <c r="N77" s="15" t="s">
        <v>220</v>
      </c>
      <c r="O77" s="17" t="s">
        <v>61</v>
      </c>
      <c r="P77" s="17" t="s">
        <v>259</v>
      </c>
      <c r="Q77" s="18"/>
      <c r="R77" s="52" t="s">
        <v>61</v>
      </c>
      <c r="S77" s="15" t="s">
        <v>69</v>
      </c>
      <c r="T77" s="15"/>
      <c r="U77" s="15"/>
      <c r="V77" s="15">
        <v>98</v>
      </c>
      <c r="W77" s="15">
        <f t="shared" si="19"/>
        <v>98</v>
      </c>
      <c r="X77" s="15">
        <f t="shared" si="22"/>
        <v>98</v>
      </c>
      <c r="Y77" s="15">
        <f>ROUNDDOWN(W77/HLOOKUP(D77,Table!$C$3:$D$4,2,0)*8,2)</f>
        <v>1.74</v>
      </c>
      <c r="Z77" s="15">
        <v>1</v>
      </c>
      <c r="AA77" s="15" t="s">
        <v>74</v>
      </c>
      <c r="AB77" s="19">
        <v>43973</v>
      </c>
      <c r="AC77" s="19">
        <v>43969</v>
      </c>
      <c r="AD77" s="19">
        <v>43973</v>
      </c>
      <c r="AE77" s="19">
        <v>43970</v>
      </c>
      <c r="AF77" s="19">
        <v>43970</v>
      </c>
      <c r="AG77" s="19" t="s">
        <v>176</v>
      </c>
      <c r="AH77" s="31">
        <v>1</v>
      </c>
      <c r="AI77" s="31">
        <v>1</v>
      </c>
      <c r="AJ77" s="31">
        <v>1</v>
      </c>
      <c r="AK77" s="19" t="s">
        <v>150</v>
      </c>
      <c r="AL77" s="17" t="s">
        <v>61</v>
      </c>
      <c r="AM77" s="17" t="s">
        <v>61</v>
      </c>
      <c r="AN77" s="17" t="s">
        <v>61</v>
      </c>
    </row>
    <row r="78" spans="2:40" x14ac:dyDescent="0.25">
      <c r="B78" s="94">
        <f t="shared" si="21"/>
        <v>19</v>
      </c>
      <c r="C78" s="16">
        <v>20200518</v>
      </c>
      <c r="D78" s="15" t="s">
        <v>3</v>
      </c>
      <c r="E78" s="15" t="s">
        <v>216</v>
      </c>
      <c r="F78" s="93" t="s">
        <v>312</v>
      </c>
      <c r="G78" s="107">
        <v>1452946</v>
      </c>
      <c r="H78" s="108" t="s">
        <v>61</v>
      </c>
      <c r="I78" s="106" t="s">
        <v>246</v>
      </c>
      <c r="J78" s="52" t="s">
        <v>61</v>
      </c>
      <c r="K78" s="15" t="s">
        <v>146</v>
      </c>
      <c r="L78" s="15" t="s">
        <v>263</v>
      </c>
      <c r="M78" s="15" t="s">
        <v>217</v>
      </c>
      <c r="N78" s="15" t="s">
        <v>220</v>
      </c>
      <c r="O78" s="17" t="s">
        <v>61</v>
      </c>
      <c r="P78" s="17" t="s">
        <v>259</v>
      </c>
      <c r="Q78" s="18"/>
      <c r="R78" s="52" t="s">
        <v>61</v>
      </c>
      <c r="S78" s="15" t="s">
        <v>68</v>
      </c>
      <c r="T78" s="15"/>
      <c r="U78" s="15"/>
      <c r="V78" s="15">
        <v>58</v>
      </c>
      <c r="W78" s="15">
        <f t="shared" si="19"/>
        <v>58</v>
      </c>
      <c r="X78" s="15">
        <f t="shared" si="22"/>
        <v>58</v>
      </c>
      <c r="Y78" s="15">
        <f>ROUNDDOWN(W78/HLOOKUP(D78,Table!$C$3:$D$4,2,0)*8,2)</f>
        <v>1.03</v>
      </c>
      <c r="Z78" s="15">
        <v>1</v>
      </c>
      <c r="AA78" s="15" t="s">
        <v>74</v>
      </c>
      <c r="AB78" s="19">
        <v>43973</v>
      </c>
      <c r="AC78" s="19">
        <v>43969</v>
      </c>
      <c r="AD78" s="19">
        <v>43973</v>
      </c>
      <c r="AE78" s="19">
        <v>43971</v>
      </c>
      <c r="AF78" s="19">
        <v>43971</v>
      </c>
      <c r="AG78" s="19" t="s">
        <v>176</v>
      </c>
      <c r="AH78" s="31">
        <v>1</v>
      </c>
      <c r="AI78" s="31">
        <v>1</v>
      </c>
      <c r="AJ78" s="31">
        <v>1</v>
      </c>
      <c r="AK78" s="19" t="s">
        <v>150</v>
      </c>
      <c r="AL78" s="17" t="s">
        <v>61</v>
      </c>
      <c r="AM78" s="17" t="s">
        <v>61</v>
      </c>
      <c r="AN78" s="17" t="s">
        <v>61</v>
      </c>
    </row>
    <row r="79" spans="2:40" x14ac:dyDescent="0.25">
      <c r="B79" s="94">
        <f t="shared" si="21"/>
        <v>20</v>
      </c>
      <c r="C79" s="16">
        <v>20200518</v>
      </c>
      <c r="D79" s="15" t="s">
        <v>3</v>
      </c>
      <c r="E79" s="15" t="s">
        <v>216</v>
      </c>
      <c r="F79" s="93" t="s">
        <v>312</v>
      </c>
      <c r="G79" s="17">
        <v>1452946</v>
      </c>
      <c r="H79" s="52" t="s">
        <v>61</v>
      </c>
      <c r="I79" s="15" t="s">
        <v>247</v>
      </c>
      <c r="J79" s="52" t="s">
        <v>61</v>
      </c>
      <c r="K79" s="15" t="s">
        <v>146</v>
      </c>
      <c r="L79" s="15" t="s">
        <v>263</v>
      </c>
      <c r="M79" s="15" t="s">
        <v>217</v>
      </c>
      <c r="N79" s="15" t="s">
        <v>220</v>
      </c>
      <c r="O79" s="17" t="s">
        <v>61</v>
      </c>
      <c r="P79" s="17" t="s">
        <v>259</v>
      </c>
      <c r="Q79" s="18"/>
      <c r="R79" s="52" t="s">
        <v>61</v>
      </c>
      <c r="S79" s="15" t="s">
        <v>67</v>
      </c>
      <c r="T79" s="15"/>
      <c r="U79" s="15"/>
      <c r="V79" s="15">
        <v>12</v>
      </c>
      <c r="W79" s="15">
        <f t="shared" si="19"/>
        <v>12</v>
      </c>
      <c r="X79" s="15">
        <f t="shared" ref="X79:X90" si="23">W79</f>
        <v>12</v>
      </c>
      <c r="Y79" s="15">
        <f>ROUNDDOWN(W79/HLOOKUP(D79,Table!$C$3:$D$4,2,0)*8,2)</f>
        <v>0.21</v>
      </c>
      <c r="Z79" s="15">
        <v>0.2</v>
      </c>
      <c r="AA79" s="15" t="s">
        <v>74</v>
      </c>
      <c r="AB79" s="19">
        <v>43973</v>
      </c>
      <c r="AC79" s="19">
        <v>43969</v>
      </c>
      <c r="AD79" s="19">
        <v>43973</v>
      </c>
      <c r="AE79" s="19">
        <v>43971</v>
      </c>
      <c r="AF79" s="19">
        <v>43971</v>
      </c>
      <c r="AG79" s="19" t="s">
        <v>176</v>
      </c>
      <c r="AH79" s="31">
        <v>1</v>
      </c>
      <c r="AI79" s="31">
        <v>1</v>
      </c>
      <c r="AJ79" s="31">
        <v>1</v>
      </c>
      <c r="AK79" s="19" t="s">
        <v>150</v>
      </c>
      <c r="AL79" s="17" t="s">
        <v>61</v>
      </c>
      <c r="AM79" s="17" t="s">
        <v>61</v>
      </c>
      <c r="AN79" s="17" t="s">
        <v>61</v>
      </c>
    </row>
    <row r="80" spans="2:40" x14ac:dyDescent="0.25">
      <c r="B80" s="94">
        <f t="shared" si="21"/>
        <v>21</v>
      </c>
      <c r="C80" s="16">
        <v>20200518</v>
      </c>
      <c r="D80" s="15" t="s">
        <v>3</v>
      </c>
      <c r="E80" s="15" t="s">
        <v>216</v>
      </c>
      <c r="F80" s="93" t="s">
        <v>312</v>
      </c>
      <c r="G80" s="107">
        <v>1452946</v>
      </c>
      <c r="H80" s="108" t="s">
        <v>61</v>
      </c>
      <c r="I80" s="106" t="s">
        <v>248</v>
      </c>
      <c r="J80" s="52" t="s">
        <v>61</v>
      </c>
      <c r="K80" s="15" t="s">
        <v>146</v>
      </c>
      <c r="L80" s="15" t="s">
        <v>263</v>
      </c>
      <c r="M80" s="15" t="s">
        <v>217</v>
      </c>
      <c r="N80" s="15" t="s">
        <v>220</v>
      </c>
      <c r="O80" s="17" t="s">
        <v>61</v>
      </c>
      <c r="P80" s="17" t="s">
        <v>259</v>
      </c>
      <c r="Q80" s="18"/>
      <c r="R80" s="52" t="s">
        <v>61</v>
      </c>
      <c r="S80" s="15" t="s">
        <v>68</v>
      </c>
      <c r="T80" s="15"/>
      <c r="U80" s="15"/>
      <c r="V80" s="15">
        <v>73</v>
      </c>
      <c r="W80" s="15">
        <f t="shared" si="19"/>
        <v>73</v>
      </c>
      <c r="X80" s="15">
        <f t="shared" si="23"/>
        <v>73</v>
      </c>
      <c r="Y80" s="15">
        <f>ROUNDDOWN(W80/HLOOKUP(D80,Table!$C$3:$D$4,2,0)*8,2)</f>
        <v>1.29</v>
      </c>
      <c r="Z80" s="15">
        <v>1</v>
      </c>
      <c r="AA80" s="15" t="s">
        <v>74</v>
      </c>
      <c r="AB80" s="19">
        <v>43973</v>
      </c>
      <c r="AC80" s="19">
        <v>43969</v>
      </c>
      <c r="AD80" s="19">
        <v>43973</v>
      </c>
      <c r="AE80" s="19">
        <v>43971</v>
      </c>
      <c r="AF80" s="19">
        <v>43971</v>
      </c>
      <c r="AG80" s="19" t="s">
        <v>176</v>
      </c>
      <c r="AH80" s="31">
        <v>1</v>
      </c>
      <c r="AI80" s="31">
        <v>1</v>
      </c>
      <c r="AJ80" s="31">
        <v>1</v>
      </c>
      <c r="AK80" s="19" t="s">
        <v>150</v>
      </c>
      <c r="AL80" s="17" t="s">
        <v>61</v>
      </c>
      <c r="AM80" s="17" t="s">
        <v>61</v>
      </c>
      <c r="AN80" s="17" t="s">
        <v>61</v>
      </c>
    </row>
    <row r="81" spans="2:40" s="101" customFormat="1" x14ac:dyDescent="0.25">
      <c r="B81" s="94">
        <f t="shared" si="21"/>
        <v>22</v>
      </c>
      <c r="C81" s="16">
        <v>20200518</v>
      </c>
      <c r="D81" s="16" t="s">
        <v>3</v>
      </c>
      <c r="E81" s="16" t="s">
        <v>216</v>
      </c>
      <c r="F81" s="93" t="s">
        <v>312</v>
      </c>
      <c r="G81" s="98">
        <v>1452946</v>
      </c>
      <c r="H81" s="52" t="s">
        <v>61</v>
      </c>
      <c r="I81" s="16" t="s">
        <v>249</v>
      </c>
      <c r="J81" s="52" t="s">
        <v>61</v>
      </c>
      <c r="K81" s="16" t="s">
        <v>146</v>
      </c>
      <c r="L81" s="16" t="s">
        <v>263</v>
      </c>
      <c r="M81" s="16" t="s">
        <v>217</v>
      </c>
      <c r="N81" s="16" t="s">
        <v>220</v>
      </c>
      <c r="O81" s="98" t="s">
        <v>61</v>
      </c>
      <c r="P81" s="98" t="s">
        <v>259</v>
      </c>
      <c r="Q81" s="18"/>
      <c r="R81" s="52" t="s">
        <v>61</v>
      </c>
      <c r="S81" s="16" t="s">
        <v>69</v>
      </c>
      <c r="T81" s="16"/>
      <c r="U81" s="16"/>
      <c r="V81" s="16">
        <v>72</v>
      </c>
      <c r="W81" s="16">
        <f t="shared" si="19"/>
        <v>72</v>
      </c>
      <c r="X81" s="16">
        <f t="shared" si="23"/>
        <v>72</v>
      </c>
      <c r="Y81" s="16">
        <f>ROUNDDOWN(W81/HLOOKUP(D81,Table!$C$3:$D$4,2,0)*8,2)</f>
        <v>1.28</v>
      </c>
      <c r="Z81" s="16">
        <v>0.5</v>
      </c>
      <c r="AA81" s="15" t="s">
        <v>74</v>
      </c>
      <c r="AB81" s="19">
        <v>43973</v>
      </c>
      <c r="AC81" s="99">
        <v>43969</v>
      </c>
      <c r="AD81" s="99">
        <v>43973</v>
      </c>
      <c r="AE81" s="99">
        <v>43970</v>
      </c>
      <c r="AF81" s="99">
        <v>43970</v>
      </c>
      <c r="AG81" s="99" t="s">
        <v>176</v>
      </c>
      <c r="AH81" s="100">
        <v>1</v>
      </c>
      <c r="AI81" s="100">
        <v>1</v>
      </c>
      <c r="AJ81" s="100">
        <v>1</v>
      </c>
      <c r="AK81" s="99" t="s">
        <v>150</v>
      </c>
      <c r="AL81" s="98" t="s">
        <v>61</v>
      </c>
      <c r="AM81" s="98" t="s">
        <v>61</v>
      </c>
      <c r="AN81" s="98" t="s">
        <v>61</v>
      </c>
    </row>
    <row r="82" spans="2:40" x14ac:dyDescent="0.25">
      <c r="B82" s="94">
        <f t="shared" si="21"/>
        <v>23</v>
      </c>
      <c r="C82" s="16">
        <v>20200518</v>
      </c>
      <c r="D82" s="15" t="s">
        <v>3</v>
      </c>
      <c r="E82" s="15" t="s">
        <v>216</v>
      </c>
      <c r="F82" s="93" t="s">
        <v>312</v>
      </c>
      <c r="G82" s="107">
        <v>1452946</v>
      </c>
      <c r="H82" s="108" t="s">
        <v>61</v>
      </c>
      <c r="I82" s="106" t="s">
        <v>250</v>
      </c>
      <c r="J82" s="52" t="s">
        <v>61</v>
      </c>
      <c r="K82" s="15" t="s">
        <v>146</v>
      </c>
      <c r="L82" s="15" t="s">
        <v>263</v>
      </c>
      <c r="M82" s="15" t="s">
        <v>217</v>
      </c>
      <c r="N82" s="15" t="s">
        <v>220</v>
      </c>
      <c r="O82" s="17" t="s">
        <v>61</v>
      </c>
      <c r="P82" s="17" t="s">
        <v>259</v>
      </c>
      <c r="Q82" s="18"/>
      <c r="R82" s="52" t="s">
        <v>61</v>
      </c>
      <c r="S82" s="15" t="s">
        <v>68</v>
      </c>
      <c r="T82" s="15"/>
      <c r="U82" s="15"/>
      <c r="V82" s="15">
        <v>14</v>
      </c>
      <c r="W82" s="15">
        <f t="shared" si="19"/>
        <v>14</v>
      </c>
      <c r="X82" s="15">
        <f t="shared" si="23"/>
        <v>14</v>
      </c>
      <c r="Y82" s="15">
        <f>ROUNDDOWN(W82/HLOOKUP(D82,Table!$C$3:$D$4,2,0)*8,2)</f>
        <v>0.24</v>
      </c>
      <c r="Z82" s="15">
        <v>0.2</v>
      </c>
      <c r="AA82" s="15" t="s">
        <v>74</v>
      </c>
      <c r="AB82" s="19">
        <v>43973</v>
      </c>
      <c r="AC82" s="19">
        <v>43969</v>
      </c>
      <c r="AD82" s="19">
        <v>43973</v>
      </c>
      <c r="AE82" s="19">
        <v>43971</v>
      </c>
      <c r="AF82" s="19">
        <v>43971</v>
      </c>
      <c r="AG82" s="19" t="s">
        <v>176</v>
      </c>
      <c r="AH82" s="31">
        <v>1</v>
      </c>
      <c r="AI82" s="31">
        <v>1</v>
      </c>
      <c r="AJ82" s="31">
        <v>1</v>
      </c>
      <c r="AK82" s="19" t="s">
        <v>150</v>
      </c>
      <c r="AL82" s="17" t="s">
        <v>61</v>
      </c>
      <c r="AM82" s="17" t="s">
        <v>61</v>
      </c>
      <c r="AN82" s="17" t="s">
        <v>61</v>
      </c>
    </row>
    <row r="83" spans="2:40" x14ac:dyDescent="0.25">
      <c r="B83" s="94">
        <f t="shared" si="21"/>
        <v>24</v>
      </c>
      <c r="C83" s="16">
        <v>20200518</v>
      </c>
      <c r="D83" s="15" t="s">
        <v>3</v>
      </c>
      <c r="E83" s="15" t="s">
        <v>216</v>
      </c>
      <c r="F83" s="93" t="s">
        <v>313</v>
      </c>
      <c r="G83" s="17">
        <v>1472741</v>
      </c>
      <c r="H83" s="52" t="s">
        <v>61</v>
      </c>
      <c r="I83" s="15" t="s">
        <v>251</v>
      </c>
      <c r="J83" s="52" t="s">
        <v>61</v>
      </c>
      <c r="K83" s="15" t="s">
        <v>146</v>
      </c>
      <c r="L83" s="15" t="s">
        <v>150</v>
      </c>
      <c r="M83" s="15" t="s">
        <v>217</v>
      </c>
      <c r="N83" s="15" t="s">
        <v>220</v>
      </c>
      <c r="O83" s="17" t="s">
        <v>61</v>
      </c>
      <c r="P83" s="17" t="s">
        <v>260</v>
      </c>
      <c r="Q83" s="18"/>
      <c r="R83" s="52" t="s">
        <v>61</v>
      </c>
      <c r="S83" s="15" t="s">
        <v>67</v>
      </c>
      <c r="T83" s="15"/>
      <c r="U83" s="15"/>
      <c r="V83" s="15">
        <v>3</v>
      </c>
      <c r="W83" s="84">
        <v>355</v>
      </c>
      <c r="X83" s="15">
        <f t="shared" si="23"/>
        <v>355</v>
      </c>
      <c r="Y83" s="15">
        <f>ROUNDDOWN(W83/HLOOKUP(D83,Table!$C$3:$D$4,2,0)*8,2)</f>
        <v>6.31</v>
      </c>
      <c r="Z83" s="15">
        <v>4</v>
      </c>
      <c r="AA83" s="15" t="s">
        <v>74</v>
      </c>
      <c r="AB83" s="19">
        <v>43973</v>
      </c>
      <c r="AC83" s="19">
        <v>43969</v>
      </c>
      <c r="AD83" s="19">
        <v>43973</v>
      </c>
      <c r="AE83" s="19">
        <v>43971</v>
      </c>
      <c r="AF83" s="19">
        <v>43971</v>
      </c>
      <c r="AG83" s="19" t="s">
        <v>176</v>
      </c>
      <c r="AH83" s="31">
        <v>1</v>
      </c>
      <c r="AI83" s="31">
        <v>1</v>
      </c>
      <c r="AJ83" s="31">
        <v>1</v>
      </c>
      <c r="AK83" s="19" t="s">
        <v>150</v>
      </c>
      <c r="AL83" s="17" t="s">
        <v>61</v>
      </c>
      <c r="AM83" s="17" t="s">
        <v>61</v>
      </c>
      <c r="AN83" s="17" t="s">
        <v>61</v>
      </c>
    </row>
    <row r="84" spans="2:40" x14ac:dyDescent="0.25">
      <c r="B84" s="94">
        <f t="shared" si="21"/>
        <v>25</v>
      </c>
      <c r="C84" s="16">
        <v>20200518</v>
      </c>
      <c r="D84" s="15" t="s">
        <v>3</v>
      </c>
      <c r="E84" s="15" t="s">
        <v>216</v>
      </c>
      <c r="F84" s="93" t="s">
        <v>314</v>
      </c>
      <c r="G84" s="17">
        <v>1472757</v>
      </c>
      <c r="H84" s="52" t="s">
        <v>61</v>
      </c>
      <c r="I84" s="15" t="s">
        <v>159</v>
      </c>
      <c r="J84" s="52" t="s">
        <v>61</v>
      </c>
      <c r="K84" s="15" t="s">
        <v>146</v>
      </c>
      <c r="L84" s="15" t="s">
        <v>150</v>
      </c>
      <c r="M84" s="15" t="s">
        <v>217</v>
      </c>
      <c r="N84" s="15" t="s">
        <v>220</v>
      </c>
      <c r="O84" s="17" t="s">
        <v>61</v>
      </c>
      <c r="P84" s="17" t="s">
        <v>261</v>
      </c>
      <c r="Q84" s="18"/>
      <c r="R84" s="52" t="s">
        <v>61</v>
      </c>
      <c r="S84" s="15" t="s">
        <v>67</v>
      </c>
      <c r="T84" s="15"/>
      <c r="U84" s="15"/>
      <c r="V84" s="15">
        <v>3</v>
      </c>
      <c r="W84" s="84">
        <v>92</v>
      </c>
      <c r="X84" s="15">
        <f t="shared" si="23"/>
        <v>92</v>
      </c>
      <c r="Y84" s="15">
        <f>ROUNDDOWN(W84/HLOOKUP(D84,Table!$C$3:$D$4,2,0)*8,2)</f>
        <v>1.63</v>
      </c>
      <c r="Z84" s="15">
        <v>2</v>
      </c>
      <c r="AA84" s="15" t="s">
        <v>74</v>
      </c>
      <c r="AB84" s="19">
        <v>43973</v>
      </c>
      <c r="AC84" s="19">
        <v>43969</v>
      </c>
      <c r="AD84" s="19">
        <v>43973</v>
      </c>
      <c r="AE84" s="19">
        <v>43971</v>
      </c>
      <c r="AF84" s="19">
        <v>43971</v>
      </c>
      <c r="AG84" s="19" t="s">
        <v>176</v>
      </c>
      <c r="AH84" s="31">
        <v>1</v>
      </c>
      <c r="AI84" s="31">
        <v>1</v>
      </c>
      <c r="AJ84" s="31">
        <v>1</v>
      </c>
      <c r="AK84" s="19" t="s">
        <v>150</v>
      </c>
      <c r="AL84" s="17" t="s">
        <v>61</v>
      </c>
      <c r="AM84" s="17" t="s">
        <v>61</v>
      </c>
      <c r="AN84" s="17" t="s">
        <v>61</v>
      </c>
    </row>
    <row r="85" spans="2:40" x14ac:dyDescent="0.25">
      <c r="B85" s="94">
        <f t="shared" si="21"/>
        <v>26</v>
      </c>
      <c r="C85" s="16">
        <v>20200518</v>
      </c>
      <c r="D85" s="15" t="s">
        <v>3</v>
      </c>
      <c r="E85" s="15" t="s">
        <v>216</v>
      </c>
      <c r="F85" s="93" t="s">
        <v>314</v>
      </c>
      <c r="G85" s="17">
        <v>1472757</v>
      </c>
      <c r="H85" s="52" t="s">
        <v>61</v>
      </c>
      <c r="I85" s="15" t="s">
        <v>252</v>
      </c>
      <c r="J85" s="52" t="s">
        <v>61</v>
      </c>
      <c r="K85" s="15" t="s">
        <v>146</v>
      </c>
      <c r="L85" s="15" t="s">
        <v>150</v>
      </c>
      <c r="M85" s="15" t="s">
        <v>217</v>
      </c>
      <c r="N85" s="15" t="s">
        <v>220</v>
      </c>
      <c r="O85" s="17" t="s">
        <v>61</v>
      </c>
      <c r="P85" s="17" t="s">
        <v>261</v>
      </c>
      <c r="Q85" s="18"/>
      <c r="R85" s="52" t="s">
        <v>61</v>
      </c>
      <c r="S85" s="15" t="s">
        <v>67</v>
      </c>
      <c r="T85" s="15"/>
      <c r="U85" s="15"/>
      <c r="V85" s="15">
        <v>3</v>
      </c>
      <c r="W85" s="15">
        <v>0</v>
      </c>
      <c r="X85" s="15">
        <f>W85</f>
        <v>0</v>
      </c>
      <c r="Y85" s="15">
        <f>ROUNDDOWN(W85/HLOOKUP(D85,Table!$C$3:$D$4,2,0)*8,2)</f>
        <v>0</v>
      </c>
      <c r="Z85" s="15">
        <v>0.1</v>
      </c>
      <c r="AA85" s="15" t="s">
        <v>74</v>
      </c>
      <c r="AB85" s="19">
        <v>43973</v>
      </c>
      <c r="AC85" s="19">
        <v>43969</v>
      </c>
      <c r="AD85" s="19">
        <v>43973</v>
      </c>
      <c r="AE85" s="19">
        <v>43971</v>
      </c>
      <c r="AF85" s="19">
        <v>43971</v>
      </c>
      <c r="AG85" s="19" t="s">
        <v>176</v>
      </c>
      <c r="AH85" s="79" t="s">
        <v>61</v>
      </c>
      <c r="AI85" s="79" t="s">
        <v>61</v>
      </c>
      <c r="AJ85" s="79" t="s">
        <v>61</v>
      </c>
      <c r="AK85" s="19" t="s">
        <v>150</v>
      </c>
      <c r="AL85" s="17" t="s">
        <v>61</v>
      </c>
      <c r="AM85" s="17" t="s">
        <v>61</v>
      </c>
      <c r="AN85" s="53" t="s">
        <v>194</v>
      </c>
    </row>
    <row r="86" spans="2:40" x14ac:dyDescent="0.25">
      <c r="B86" s="94">
        <f t="shared" si="21"/>
        <v>27</v>
      </c>
      <c r="C86" s="16">
        <v>20200518</v>
      </c>
      <c r="D86" s="15" t="s">
        <v>3</v>
      </c>
      <c r="E86" s="15" t="s">
        <v>216</v>
      </c>
      <c r="F86" s="93" t="s">
        <v>314</v>
      </c>
      <c r="G86" s="17">
        <v>1472757</v>
      </c>
      <c r="H86" s="52" t="s">
        <v>61</v>
      </c>
      <c r="I86" s="15" t="s">
        <v>153</v>
      </c>
      <c r="J86" s="52" t="s">
        <v>61</v>
      </c>
      <c r="K86" s="15" t="s">
        <v>146</v>
      </c>
      <c r="L86" s="15" t="s">
        <v>150</v>
      </c>
      <c r="M86" s="15" t="s">
        <v>217</v>
      </c>
      <c r="N86" s="15" t="s">
        <v>220</v>
      </c>
      <c r="O86" s="17" t="s">
        <v>61</v>
      </c>
      <c r="P86" s="17" t="s">
        <v>261</v>
      </c>
      <c r="Q86" s="18"/>
      <c r="R86" s="52" t="s">
        <v>61</v>
      </c>
      <c r="S86" s="15" t="s">
        <v>67</v>
      </c>
      <c r="T86" s="15"/>
      <c r="U86" s="15"/>
      <c r="V86" s="15">
        <v>3</v>
      </c>
      <c r="W86" s="84">
        <v>95</v>
      </c>
      <c r="X86" s="15">
        <f t="shared" si="23"/>
        <v>95</v>
      </c>
      <c r="Y86" s="15">
        <f>ROUNDDOWN(W86/HLOOKUP(D86,Table!$C$3:$D$4,2,0)*8,2)</f>
        <v>1.68</v>
      </c>
      <c r="Z86" s="15">
        <v>1</v>
      </c>
      <c r="AA86" s="15" t="s">
        <v>74</v>
      </c>
      <c r="AB86" s="19">
        <v>43973</v>
      </c>
      <c r="AC86" s="19">
        <v>43969</v>
      </c>
      <c r="AD86" s="19">
        <v>43973</v>
      </c>
      <c r="AE86" s="19">
        <v>43972</v>
      </c>
      <c r="AF86" s="19">
        <v>43972</v>
      </c>
      <c r="AG86" s="19" t="s">
        <v>177</v>
      </c>
      <c r="AH86" s="31">
        <v>1</v>
      </c>
      <c r="AI86" s="31">
        <v>0.87</v>
      </c>
      <c r="AJ86" s="31">
        <v>1</v>
      </c>
      <c r="AK86" s="19" t="s">
        <v>139</v>
      </c>
      <c r="AL86" s="17" t="s">
        <v>390</v>
      </c>
      <c r="AM86" s="17" t="s">
        <v>61</v>
      </c>
      <c r="AN86" s="17" t="s">
        <v>61</v>
      </c>
    </row>
    <row r="87" spans="2:40" x14ac:dyDescent="0.25">
      <c r="B87" s="94">
        <f t="shared" si="21"/>
        <v>28</v>
      </c>
      <c r="C87" s="16">
        <v>20200518</v>
      </c>
      <c r="D87" s="15" t="s">
        <v>3</v>
      </c>
      <c r="E87" s="15" t="s">
        <v>216</v>
      </c>
      <c r="F87" s="93" t="s">
        <v>315</v>
      </c>
      <c r="G87" s="17">
        <v>1472757</v>
      </c>
      <c r="H87" s="52" t="s">
        <v>61</v>
      </c>
      <c r="I87" s="15" t="s">
        <v>223</v>
      </c>
      <c r="J87" s="52" t="s">
        <v>61</v>
      </c>
      <c r="K87" s="15" t="s">
        <v>146</v>
      </c>
      <c r="L87" s="15" t="s">
        <v>150</v>
      </c>
      <c r="M87" s="15" t="s">
        <v>217</v>
      </c>
      <c r="N87" s="15" t="s">
        <v>220</v>
      </c>
      <c r="O87" s="17" t="s">
        <v>61</v>
      </c>
      <c r="P87" s="17" t="s">
        <v>261</v>
      </c>
      <c r="Q87" s="18"/>
      <c r="R87" s="52" t="s">
        <v>61</v>
      </c>
      <c r="S87" s="15" t="s">
        <v>67</v>
      </c>
      <c r="T87" s="15"/>
      <c r="U87" s="15"/>
      <c r="V87" s="15">
        <v>3</v>
      </c>
      <c r="W87" s="84">
        <f>157</f>
        <v>157</v>
      </c>
      <c r="X87" s="15">
        <f t="shared" si="23"/>
        <v>157</v>
      </c>
      <c r="Y87" s="15">
        <f>ROUNDDOWN(W87/HLOOKUP(D87,Table!$C$3:$D$4,2,0)*8,2)</f>
        <v>2.79</v>
      </c>
      <c r="Z87" s="15">
        <v>2</v>
      </c>
      <c r="AA87" s="15" t="s">
        <v>74</v>
      </c>
      <c r="AB87" s="19">
        <v>43973</v>
      </c>
      <c r="AC87" s="19">
        <v>43969</v>
      </c>
      <c r="AD87" s="19">
        <v>43973</v>
      </c>
      <c r="AE87" s="19">
        <v>43972</v>
      </c>
      <c r="AF87" s="19">
        <v>43972</v>
      </c>
      <c r="AG87" s="19" t="s">
        <v>176</v>
      </c>
      <c r="AH87" s="31">
        <v>1</v>
      </c>
      <c r="AI87" s="31">
        <v>1</v>
      </c>
      <c r="AJ87" s="31">
        <v>1</v>
      </c>
      <c r="AK87" s="19" t="s">
        <v>150</v>
      </c>
      <c r="AL87" s="17" t="s">
        <v>61</v>
      </c>
      <c r="AM87" s="17" t="s">
        <v>61</v>
      </c>
      <c r="AN87" s="17" t="s">
        <v>61</v>
      </c>
    </row>
    <row r="88" spans="2:40" x14ac:dyDescent="0.25">
      <c r="B88" s="94">
        <f t="shared" si="21"/>
        <v>29</v>
      </c>
      <c r="C88" s="16">
        <v>20200518</v>
      </c>
      <c r="D88" s="15" t="s">
        <v>3</v>
      </c>
      <c r="E88" s="15" t="s">
        <v>216</v>
      </c>
      <c r="F88" s="93" t="s">
        <v>316</v>
      </c>
      <c r="G88" s="17">
        <v>1472757</v>
      </c>
      <c r="H88" s="52" t="s">
        <v>61</v>
      </c>
      <c r="I88" s="15" t="s">
        <v>253</v>
      </c>
      <c r="J88" s="52" t="s">
        <v>61</v>
      </c>
      <c r="K88" s="15" t="s">
        <v>146</v>
      </c>
      <c r="L88" s="15" t="s">
        <v>150</v>
      </c>
      <c r="M88" s="15" t="s">
        <v>217</v>
      </c>
      <c r="N88" s="15" t="s">
        <v>220</v>
      </c>
      <c r="O88" s="17" t="s">
        <v>61</v>
      </c>
      <c r="P88" s="17" t="s">
        <v>261</v>
      </c>
      <c r="Q88" s="18"/>
      <c r="R88" s="52" t="s">
        <v>61</v>
      </c>
      <c r="S88" s="15" t="s">
        <v>67</v>
      </c>
      <c r="T88" s="15"/>
      <c r="U88" s="15"/>
      <c r="V88" s="15">
        <v>3</v>
      </c>
      <c r="W88" s="84">
        <f>165</f>
        <v>165</v>
      </c>
      <c r="X88" s="15">
        <f t="shared" si="23"/>
        <v>165</v>
      </c>
      <c r="Y88" s="15">
        <f>ROUNDDOWN(W88/HLOOKUP(D88,Table!$C$3:$D$4,2,0)*8,2)</f>
        <v>2.93</v>
      </c>
      <c r="Z88" s="15">
        <v>2</v>
      </c>
      <c r="AA88" s="15" t="s">
        <v>74</v>
      </c>
      <c r="AB88" s="19">
        <v>43973</v>
      </c>
      <c r="AC88" s="19">
        <v>43969</v>
      </c>
      <c r="AD88" s="19">
        <v>43973</v>
      </c>
      <c r="AE88" s="19">
        <v>43972</v>
      </c>
      <c r="AF88" s="19">
        <v>43972</v>
      </c>
      <c r="AG88" s="19" t="s">
        <v>176</v>
      </c>
      <c r="AH88" s="31">
        <v>1</v>
      </c>
      <c r="AI88" s="31">
        <v>1</v>
      </c>
      <c r="AJ88" s="31">
        <v>1</v>
      </c>
      <c r="AK88" s="19" t="s">
        <v>150</v>
      </c>
      <c r="AL88" s="17" t="s">
        <v>61</v>
      </c>
      <c r="AM88" s="17" t="s">
        <v>61</v>
      </c>
      <c r="AN88" s="17" t="s">
        <v>61</v>
      </c>
    </row>
    <row r="89" spans="2:40" x14ac:dyDescent="0.25">
      <c r="B89" s="94">
        <f t="shared" si="21"/>
        <v>30</v>
      </c>
      <c r="C89" s="16">
        <v>20200518</v>
      </c>
      <c r="D89" s="15" t="s">
        <v>3</v>
      </c>
      <c r="E89" s="15" t="s">
        <v>216</v>
      </c>
      <c r="F89" s="93" t="s">
        <v>317</v>
      </c>
      <c r="G89" s="17">
        <v>1472757</v>
      </c>
      <c r="H89" s="52" t="s">
        <v>61</v>
      </c>
      <c r="I89" s="15" t="s">
        <v>254</v>
      </c>
      <c r="J89" s="52" t="s">
        <v>61</v>
      </c>
      <c r="K89" s="15" t="s">
        <v>146</v>
      </c>
      <c r="L89" s="15" t="s">
        <v>150</v>
      </c>
      <c r="M89" s="15" t="s">
        <v>217</v>
      </c>
      <c r="N89" s="15" t="s">
        <v>220</v>
      </c>
      <c r="O89" s="17" t="s">
        <v>61</v>
      </c>
      <c r="P89" s="17" t="s">
        <v>261</v>
      </c>
      <c r="Q89" s="18"/>
      <c r="R89" s="52" t="s">
        <v>61</v>
      </c>
      <c r="S89" s="15" t="s">
        <v>67</v>
      </c>
      <c r="T89" s="15"/>
      <c r="U89" s="15"/>
      <c r="V89" s="15">
        <v>3</v>
      </c>
      <c r="W89" s="84">
        <f>63</f>
        <v>63</v>
      </c>
      <c r="X89" s="15">
        <f t="shared" si="23"/>
        <v>63</v>
      </c>
      <c r="Y89" s="15">
        <f>ROUNDDOWN(W89/HLOOKUP(D89,Table!$C$3:$D$4,2,0)*8,2)</f>
        <v>1.1200000000000001</v>
      </c>
      <c r="Z89" s="15">
        <v>1</v>
      </c>
      <c r="AA89" s="15" t="s">
        <v>74</v>
      </c>
      <c r="AB89" s="19">
        <v>43973</v>
      </c>
      <c r="AC89" s="19">
        <v>43969</v>
      </c>
      <c r="AD89" s="19">
        <v>43973</v>
      </c>
      <c r="AE89" s="19">
        <v>43972</v>
      </c>
      <c r="AF89" s="19">
        <v>43972</v>
      </c>
      <c r="AG89" s="19" t="s">
        <v>176</v>
      </c>
      <c r="AH89" s="31">
        <v>1</v>
      </c>
      <c r="AI89" s="31">
        <v>1</v>
      </c>
      <c r="AJ89" s="31">
        <v>1</v>
      </c>
      <c r="AK89" s="19" t="s">
        <v>150</v>
      </c>
      <c r="AL89" s="17" t="s">
        <v>61</v>
      </c>
      <c r="AM89" s="17" t="s">
        <v>61</v>
      </c>
      <c r="AN89" s="17" t="s">
        <v>61</v>
      </c>
    </row>
    <row r="90" spans="2:40" x14ac:dyDescent="0.25">
      <c r="B90" s="94">
        <f t="shared" si="21"/>
        <v>31</v>
      </c>
      <c r="C90" s="16">
        <v>20200518</v>
      </c>
      <c r="D90" s="15" t="s">
        <v>3</v>
      </c>
      <c r="E90" s="15" t="s">
        <v>216</v>
      </c>
      <c r="F90" s="93" t="s">
        <v>318</v>
      </c>
      <c r="G90" s="17">
        <v>1472757</v>
      </c>
      <c r="H90" s="52" t="s">
        <v>61</v>
      </c>
      <c r="I90" s="15" t="s">
        <v>183</v>
      </c>
      <c r="J90" s="52" t="s">
        <v>61</v>
      </c>
      <c r="K90" s="15" t="s">
        <v>146</v>
      </c>
      <c r="L90" s="15" t="s">
        <v>150</v>
      </c>
      <c r="M90" s="15" t="s">
        <v>217</v>
      </c>
      <c r="N90" s="15" t="s">
        <v>220</v>
      </c>
      <c r="O90" s="17" t="s">
        <v>61</v>
      </c>
      <c r="P90" s="17" t="s">
        <v>261</v>
      </c>
      <c r="Q90" s="18"/>
      <c r="R90" s="52" t="s">
        <v>61</v>
      </c>
      <c r="S90" s="15" t="s">
        <v>67</v>
      </c>
      <c r="T90" s="15"/>
      <c r="U90" s="15"/>
      <c r="V90" s="15">
        <v>5</v>
      </c>
      <c r="W90" s="84">
        <f>167</f>
        <v>167</v>
      </c>
      <c r="X90" s="15">
        <f t="shared" si="23"/>
        <v>167</v>
      </c>
      <c r="Y90" s="15">
        <f>ROUNDDOWN(W90/HLOOKUP(D90,Table!$C$3:$D$4,2,0)*8,2)</f>
        <v>2.96</v>
      </c>
      <c r="Z90" s="15">
        <v>2</v>
      </c>
      <c r="AA90" s="15" t="s">
        <v>74</v>
      </c>
      <c r="AB90" s="19">
        <v>43973</v>
      </c>
      <c r="AC90" s="19">
        <v>43969</v>
      </c>
      <c r="AD90" s="19">
        <v>43973</v>
      </c>
      <c r="AE90" s="19">
        <v>43972</v>
      </c>
      <c r="AF90" s="19">
        <v>43972</v>
      </c>
      <c r="AG90" s="19" t="s">
        <v>176</v>
      </c>
      <c r="AH90" s="31">
        <v>1</v>
      </c>
      <c r="AI90" s="31">
        <v>1</v>
      </c>
      <c r="AJ90" s="31">
        <v>1</v>
      </c>
      <c r="AK90" s="19" t="s">
        <v>150</v>
      </c>
      <c r="AL90" s="17" t="s">
        <v>61</v>
      </c>
      <c r="AM90" s="17" t="s">
        <v>61</v>
      </c>
      <c r="AN90" s="17" t="s">
        <v>61</v>
      </c>
    </row>
    <row r="91" spans="2:40" x14ac:dyDescent="0.25">
      <c r="B91" s="94">
        <f t="shared" si="21"/>
        <v>32</v>
      </c>
      <c r="C91" s="16">
        <v>20200518</v>
      </c>
      <c r="D91" s="15" t="s">
        <v>3</v>
      </c>
      <c r="E91" s="15" t="s">
        <v>216</v>
      </c>
      <c r="F91" s="93" t="s">
        <v>319</v>
      </c>
      <c r="G91" s="17">
        <v>1369873</v>
      </c>
      <c r="H91" s="52" t="s">
        <v>61</v>
      </c>
      <c r="I91" s="15" t="s">
        <v>214</v>
      </c>
      <c r="J91" s="52" t="s">
        <v>61</v>
      </c>
      <c r="K91" s="15" t="s">
        <v>146</v>
      </c>
      <c r="L91" s="15" t="s">
        <v>1028</v>
      </c>
      <c r="M91" s="15" t="s">
        <v>217</v>
      </c>
      <c r="N91" s="15" t="s">
        <v>220</v>
      </c>
      <c r="O91" s="17" t="s">
        <v>61</v>
      </c>
      <c r="P91" s="17" t="s">
        <v>262</v>
      </c>
      <c r="Q91" s="18"/>
      <c r="R91" s="52" t="s">
        <v>61</v>
      </c>
      <c r="S91" s="15" t="s">
        <v>67</v>
      </c>
      <c r="T91" s="15"/>
      <c r="U91" s="15"/>
      <c r="V91" s="15">
        <v>259</v>
      </c>
      <c r="W91" s="15">
        <f t="shared" si="19"/>
        <v>259</v>
      </c>
      <c r="X91" s="15">
        <f t="shared" ref="X91:X96" si="24">W91</f>
        <v>259</v>
      </c>
      <c r="Y91" s="15">
        <f>ROUNDDOWN(W91/HLOOKUP(D91,Table!$C$3:$D$4,2,0)*8,2)</f>
        <v>4.5999999999999996</v>
      </c>
      <c r="Z91" s="15">
        <v>2</v>
      </c>
      <c r="AA91" s="15" t="s">
        <v>74</v>
      </c>
      <c r="AB91" s="19">
        <v>43973</v>
      </c>
      <c r="AC91" s="19">
        <v>43969</v>
      </c>
      <c r="AD91" s="19">
        <v>43973</v>
      </c>
      <c r="AE91" s="19">
        <v>43972</v>
      </c>
      <c r="AF91" s="19">
        <v>43972</v>
      </c>
      <c r="AG91" s="19" t="s">
        <v>177</v>
      </c>
      <c r="AH91" s="31">
        <v>1</v>
      </c>
      <c r="AI91" s="31">
        <v>1</v>
      </c>
      <c r="AJ91" s="31">
        <v>0.87</v>
      </c>
      <c r="AK91" s="19" t="s">
        <v>139</v>
      </c>
      <c r="AL91" s="17" t="s">
        <v>407</v>
      </c>
      <c r="AM91" s="17" t="s">
        <v>61</v>
      </c>
      <c r="AN91" s="17" t="s">
        <v>307</v>
      </c>
    </row>
    <row r="92" spans="2:40" x14ac:dyDescent="0.25">
      <c r="B92" s="94">
        <f t="shared" si="21"/>
        <v>33</v>
      </c>
      <c r="C92" s="16">
        <v>20200518</v>
      </c>
      <c r="D92" s="15" t="s">
        <v>3</v>
      </c>
      <c r="E92" s="15" t="s">
        <v>216</v>
      </c>
      <c r="F92" s="93" t="s">
        <v>320</v>
      </c>
      <c r="G92" s="17">
        <v>1369873</v>
      </c>
      <c r="H92" s="52" t="s">
        <v>61</v>
      </c>
      <c r="I92" s="15" t="s">
        <v>225</v>
      </c>
      <c r="J92" s="52" t="s">
        <v>61</v>
      </c>
      <c r="K92" s="15" t="s">
        <v>146</v>
      </c>
      <c r="L92" s="15" t="s">
        <v>1028</v>
      </c>
      <c r="M92" s="15" t="s">
        <v>217</v>
      </c>
      <c r="N92" s="15" t="s">
        <v>220</v>
      </c>
      <c r="O92" s="17" t="s">
        <v>61</v>
      </c>
      <c r="P92" s="17" t="s">
        <v>262</v>
      </c>
      <c r="Q92" s="18"/>
      <c r="R92" s="52" t="s">
        <v>61</v>
      </c>
      <c r="S92" s="15" t="s">
        <v>70</v>
      </c>
      <c r="T92" s="15"/>
      <c r="U92" s="15"/>
      <c r="V92" s="15">
        <v>162</v>
      </c>
      <c r="W92" s="15">
        <f t="shared" si="19"/>
        <v>162</v>
      </c>
      <c r="X92" s="15">
        <f t="shared" si="24"/>
        <v>162</v>
      </c>
      <c r="Y92" s="15">
        <f>ROUNDDOWN(W92/HLOOKUP(D92,Table!$C$3:$D$4,2,0)*8,2)</f>
        <v>2.88</v>
      </c>
      <c r="Z92" s="15">
        <v>1</v>
      </c>
      <c r="AA92" s="15" t="s">
        <v>74</v>
      </c>
      <c r="AB92" s="19">
        <v>43973</v>
      </c>
      <c r="AC92" s="19">
        <v>43969</v>
      </c>
      <c r="AD92" s="19">
        <v>43973</v>
      </c>
      <c r="AE92" s="19">
        <v>43970</v>
      </c>
      <c r="AF92" s="19">
        <v>43970</v>
      </c>
      <c r="AG92" s="19" t="s">
        <v>176</v>
      </c>
      <c r="AH92" s="31">
        <v>1</v>
      </c>
      <c r="AI92" s="31">
        <v>1</v>
      </c>
      <c r="AJ92" s="31">
        <v>1</v>
      </c>
      <c r="AK92" s="19" t="s">
        <v>150</v>
      </c>
      <c r="AL92" s="17" t="s">
        <v>61</v>
      </c>
      <c r="AM92" s="17" t="s">
        <v>61</v>
      </c>
      <c r="AN92" s="17" t="s">
        <v>61</v>
      </c>
    </row>
    <row r="93" spans="2:40" x14ac:dyDescent="0.25">
      <c r="B93" s="94">
        <f t="shared" si="21"/>
        <v>34</v>
      </c>
      <c r="C93" s="16">
        <v>20200518</v>
      </c>
      <c r="D93" s="15" t="s">
        <v>3</v>
      </c>
      <c r="E93" s="15" t="s">
        <v>216</v>
      </c>
      <c r="F93" s="93" t="s">
        <v>320</v>
      </c>
      <c r="G93" s="17">
        <v>1369873</v>
      </c>
      <c r="H93" s="52" t="s">
        <v>61</v>
      </c>
      <c r="I93" s="15" t="s">
        <v>256</v>
      </c>
      <c r="J93" s="52" t="s">
        <v>61</v>
      </c>
      <c r="K93" s="15" t="s">
        <v>146</v>
      </c>
      <c r="L93" s="15" t="s">
        <v>1028</v>
      </c>
      <c r="M93" s="15" t="s">
        <v>217</v>
      </c>
      <c r="N93" s="15" t="s">
        <v>220</v>
      </c>
      <c r="O93" s="17" t="s">
        <v>61</v>
      </c>
      <c r="P93" s="17" t="s">
        <v>262</v>
      </c>
      <c r="Q93" s="18"/>
      <c r="R93" s="52" t="s">
        <v>61</v>
      </c>
      <c r="S93" s="15" t="s">
        <v>69</v>
      </c>
      <c r="T93" s="15"/>
      <c r="U93" s="15"/>
      <c r="V93" s="15">
        <v>55</v>
      </c>
      <c r="W93" s="15">
        <f t="shared" si="19"/>
        <v>55</v>
      </c>
      <c r="X93" s="15">
        <f t="shared" si="24"/>
        <v>55</v>
      </c>
      <c r="Y93" s="15">
        <f>ROUNDDOWN(W93/HLOOKUP(D93,Table!$C$3:$D$4,2,0)*8,2)</f>
        <v>0.97</v>
      </c>
      <c r="Z93" s="15">
        <v>0.5</v>
      </c>
      <c r="AA93" s="15" t="s">
        <v>74</v>
      </c>
      <c r="AB93" s="19">
        <v>43973</v>
      </c>
      <c r="AC93" s="19">
        <v>43969</v>
      </c>
      <c r="AD93" s="19">
        <v>43973</v>
      </c>
      <c r="AE93" s="19">
        <v>43970</v>
      </c>
      <c r="AF93" s="19">
        <v>43970</v>
      </c>
      <c r="AG93" s="19" t="s">
        <v>176</v>
      </c>
      <c r="AH93" s="31">
        <v>1</v>
      </c>
      <c r="AI93" s="31">
        <v>1</v>
      </c>
      <c r="AJ93" s="31">
        <v>1</v>
      </c>
      <c r="AK93" s="19" t="s">
        <v>150</v>
      </c>
      <c r="AL93" s="17" t="s">
        <v>61</v>
      </c>
      <c r="AM93" s="17" t="s">
        <v>61</v>
      </c>
      <c r="AN93" s="17" t="s">
        <v>61</v>
      </c>
    </row>
    <row r="94" spans="2:40" x14ac:dyDescent="0.25">
      <c r="B94" s="94">
        <f t="shared" si="21"/>
        <v>35</v>
      </c>
      <c r="C94" s="16">
        <v>20200518</v>
      </c>
      <c r="D94" s="15" t="s">
        <v>3</v>
      </c>
      <c r="E94" s="15" t="s">
        <v>216</v>
      </c>
      <c r="F94" s="93" t="s">
        <v>320</v>
      </c>
      <c r="G94" s="17">
        <v>1369873</v>
      </c>
      <c r="H94" s="52" t="s">
        <v>61</v>
      </c>
      <c r="I94" s="15" t="s">
        <v>257</v>
      </c>
      <c r="J94" s="52" t="s">
        <v>61</v>
      </c>
      <c r="K94" s="15" t="s">
        <v>146</v>
      </c>
      <c r="L94" s="15" t="s">
        <v>1028</v>
      </c>
      <c r="M94" s="15" t="s">
        <v>217</v>
      </c>
      <c r="N94" s="15" t="s">
        <v>220</v>
      </c>
      <c r="O94" s="17" t="s">
        <v>61</v>
      </c>
      <c r="P94" s="17" t="s">
        <v>262</v>
      </c>
      <c r="Q94" s="18"/>
      <c r="R94" s="52" t="s">
        <v>61</v>
      </c>
      <c r="S94" s="15" t="s">
        <v>68</v>
      </c>
      <c r="T94" s="15"/>
      <c r="U94" s="15"/>
      <c r="V94" s="15">
        <v>35</v>
      </c>
      <c r="W94" s="15">
        <f t="shared" si="19"/>
        <v>35</v>
      </c>
      <c r="X94" s="15">
        <f t="shared" si="24"/>
        <v>35</v>
      </c>
      <c r="Y94" s="15">
        <f>ROUNDDOWN(W94/HLOOKUP(D94,Table!$C$3:$D$4,2,0)*8,2)</f>
        <v>0.62</v>
      </c>
      <c r="Z94" s="15">
        <v>0.5</v>
      </c>
      <c r="AA94" s="15" t="s">
        <v>74</v>
      </c>
      <c r="AB94" s="19">
        <v>43973</v>
      </c>
      <c r="AC94" s="19">
        <v>43969</v>
      </c>
      <c r="AD94" s="19">
        <v>43973</v>
      </c>
      <c r="AE94" s="19">
        <v>43970</v>
      </c>
      <c r="AF94" s="19">
        <v>43970</v>
      </c>
      <c r="AG94" s="19" t="s">
        <v>176</v>
      </c>
      <c r="AH94" s="31">
        <v>1</v>
      </c>
      <c r="AI94" s="31">
        <v>1</v>
      </c>
      <c r="AJ94" s="31">
        <v>1</v>
      </c>
      <c r="AK94" s="19" t="s">
        <v>150</v>
      </c>
      <c r="AL94" s="17"/>
      <c r="AM94" s="17"/>
      <c r="AN94" s="17"/>
    </row>
    <row r="95" spans="2:40" x14ac:dyDescent="0.25">
      <c r="B95" s="94">
        <f t="shared" si="21"/>
        <v>36</v>
      </c>
      <c r="C95" s="16">
        <v>20200518</v>
      </c>
      <c r="D95" s="15" t="s">
        <v>3</v>
      </c>
      <c r="E95" s="15" t="s">
        <v>216</v>
      </c>
      <c r="F95" s="93" t="s">
        <v>321</v>
      </c>
      <c r="G95" s="17">
        <v>1369873</v>
      </c>
      <c r="H95" s="52" t="s">
        <v>61</v>
      </c>
      <c r="I95" s="84" t="s">
        <v>255</v>
      </c>
      <c r="J95" s="52" t="s">
        <v>61</v>
      </c>
      <c r="K95" s="15" t="s">
        <v>146</v>
      </c>
      <c r="L95" s="15" t="s">
        <v>1028</v>
      </c>
      <c r="M95" s="15" t="s">
        <v>217</v>
      </c>
      <c r="N95" s="15" t="s">
        <v>220</v>
      </c>
      <c r="O95" s="17" t="s">
        <v>61</v>
      </c>
      <c r="P95" s="17" t="s">
        <v>262</v>
      </c>
      <c r="Q95" s="18"/>
      <c r="R95" s="52" t="s">
        <v>61</v>
      </c>
      <c r="S95" s="15" t="s">
        <v>69</v>
      </c>
      <c r="T95" s="15"/>
      <c r="U95" s="15"/>
      <c r="V95" s="15">
        <v>25</v>
      </c>
      <c r="W95" s="15">
        <f t="shared" si="19"/>
        <v>25</v>
      </c>
      <c r="X95" s="15">
        <f t="shared" si="24"/>
        <v>25</v>
      </c>
      <c r="Y95" s="15">
        <f>ROUNDDOWN(W95/HLOOKUP(D95,Table!$C$3:$D$4,2,0)*8,2)</f>
        <v>0.44</v>
      </c>
      <c r="Z95" s="15">
        <v>0.3</v>
      </c>
      <c r="AA95" s="15" t="s">
        <v>74</v>
      </c>
      <c r="AB95" s="19">
        <v>43973</v>
      </c>
      <c r="AC95" s="19">
        <v>43969</v>
      </c>
      <c r="AD95" s="19">
        <v>43973</v>
      </c>
      <c r="AE95" s="19">
        <v>43970</v>
      </c>
      <c r="AF95" s="19">
        <v>43970</v>
      </c>
      <c r="AG95" s="19" t="s">
        <v>176</v>
      </c>
      <c r="AH95" s="31">
        <v>1</v>
      </c>
      <c r="AI95" s="31">
        <v>1</v>
      </c>
      <c r="AJ95" s="31">
        <v>1</v>
      </c>
      <c r="AK95" s="19" t="s">
        <v>150</v>
      </c>
      <c r="AL95" s="17" t="s">
        <v>61</v>
      </c>
      <c r="AM95" s="17" t="s">
        <v>61</v>
      </c>
      <c r="AN95" s="17" t="s">
        <v>61</v>
      </c>
    </row>
    <row r="96" spans="2:40" x14ac:dyDescent="0.25">
      <c r="B96" s="94">
        <f t="shared" si="21"/>
        <v>37</v>
      </c>
      <c r="C96" s="16">
        <v>20200518</v>
      </c>
      <c r="D96" s="15" t="s">
        <v>3</v>
      </c>
      <c r="E96" s="15" t="s">
        <v>216</v>
      </c>
      <c r="F96" s="93" t="s">
        <v>320</v>
      </c>
      <c r="G96" s="17">
        <v>1369873</v>
      </c>
      <c r="H96" s="52" t="s">
        <v>61</v>
      </c>
      <c r="I96" s="15" t="s">
        <v>258</v>
      </c>
      <c r="J96" s="52" t="s">
        <v>61</v>
      </c>
      <c r="K96" s="15" t="s">
        <v>146</v>
      </c>
      <c r="L96" s="15" t="s">
        <v>1028</v>
      </c>
      <c r="M96" s="15" t="s">
        <v>217</v>
      </c>
      <c r="N96" s="15" t="s">
        <v>220</v>
      </c>
      <c r="O96" s="17" t="s">
        <v>61</v>
      </c>
      <c r="P96" s="17" t="s">
        <v>262</v>
      </c>
      <c r="Q96" s="18"/>
      <c r="R96" s="52" t="s">
        <v>61</v>
      </c>
      <c r="S96" s="15" t="s">
        <v>69</v>
      </c>
      <c r="T96" s="15"/>
      <c r="U96" s="15"/>
      <c r="V96" s="15">
        <v>60</v>
      </c>
      <c r="W96" s="15">
        <f t="shared" si="19"/>
        <v>60</v>
      </c>
      <c r="X96" s="15">
        <f t="shared" si="24"/>
        <v>60</v>
      </c>
      <c r="Y96" s="15">
        <f>ROUNDDOWN(W96/HLOOKUP(D96,Table!$C$3:$D$4,2,0)*8,2)</f>
        <v>1.06</v>
      </c>
      <c r="Z96" s="15">
        <v>1</v>
      </c>
      <c r="AA96" s="15" t="s">
        <v>74</v>
      </c>
      <c r="AB96" s="19">
        <v>43973</v>
      </c>
      <c r="AC96" s="19">
        <v>43969</v>
      </c>
      <c r="AD96" s="19">
        <v>43973</v>
      </c>
      <c r="AE96" s="19">
        <v>43970</v>
      </c>
      <c r="AF96" s="19">
        <v>43970</v>
      </c>
      <c r="AG96" s="19" t="s">
        <v>176</v>
      </c>
      <c r="AH96" s="31">
        <v>1</v>
      </c>
      <c r="AI96" s="31">
        <v>1</v>
      </c>
      <c r="AJ96" s="31">
        <v>1</v>
      </c>
      <c r="AK96" s="19" t="s">
        <v>150</v>
      </c>
      <c r="AL96" s="17" t="s">
        <v>61</v>
      </c>
      <c r="AM96" s="17" t="s">
        <v>61</v>
      </c>
      <c r="AN96" s="17" t="s">
        <v>61</v>
      </c>
    </row>
    <row r="97" spans="1:40" x14ac:dyDescent="0.25">
      <c r="A97" t="s">
        <v>854</v>
      </c>
      <c r="B97" s="95">
        <f t="shared" si="21"/>
        <v>38</v>
      </c>
      <c r="C97" s="16">
        <v>20200518</v>
      </c>
      <c r="D97" s="15" t="s">
        <v>3</v>
      </c>
      <c r="E97" s="15" t="s">
        <v>264</v>
      </c>
      <c r="F97" s="93" t="s">
        <v>275</v>
      </c>
      <c r="G97" s="17">
        <v>1473225</v>
      </c>
      <c r="H97" s="52" t="s">
        <v>61</v>
      </c>
      <c r="I97" s="15" t="s">
        <v>705</v>
      </c>
      <c r="J97" s="52" t="s">
        <v>61</v>
      </c>
      <c r="K97" s="15" t="s">
        <v>146</v>
      </c>
      <c r="L97" s="15" t="s">
        <v>270</v>
      </c>
      <c r="M97" s="97" t="s">
        <v>297</v>
      </c>
      <c r="N97" s="15" t="s">
        <v>272</v>
      </c>
      <c r="O97" s="17" t="s">
        <v>61</v>
      </c>
      <c r="P97" s="17" t="s">
        <v>268</v>
      </c>
      <c r="Q97" s="18"/>
      <c r="R97" s="52" t="s">
        <v>61</v>
      </c>
      <c r="S97" s="15" t="s">
        <v>142</v>
      </c>
      <c r="T97" s="15"/>
      <c r="U97" s="15"/>
      <c r="V97" s="15">
        <v>86</v>
      </c>
      <c r="W97" s="15">
        <f t="shared" ref="W97:X101" si="25">V97</f>
        <v>86</v>
      </c>
      <c r="X97" s="15">
        <f t="shared" si="25"/>
        <v>86</v>
      </c>
      <c r="Y97" s="15">
        <f>ROUNDDOWN(W97/HLOOKUP(D97,Table!$C$3:$D$4,2,0)*8,2)</f>
        <v>1.52</v>
      </c>
      <c r="Z97" s="15">
        <v>0.5</v>
      </c>
      <c r="AA97" s="15" t="s">
        <v>74</v>
      </c>
      <c r="AB97" s="19">
        <v>43978</v>
      </c>
      <c r="AC97" s="19">
        <v>43969</v>
      </c>
      <c r="AD97" s="146">
        <v>43978</v>
      </c>
      <c r="AE97" s="19">
        <v>43970</v>
      </c>
      <c r="AF97" s="19">
        <v>43970</v>
      </c>
      <c r="AG97" s="19" t="s">
        <v>176</v>
      </c>
      <c r="AH97" s="31">
        <v>1</v>
      </c>
      <c r="AI97" s="31">
        <v>1</v>
      </c>
      <c r="AJ97" s="31">
        <v>1</v>
      </c>
      <c r="AK97" s="19" t="s">
        <v>150</v>
      </c>
      <c r="AL97" s="88" t="s">
        <v>61</v>
      </c>
      <c r="AM97" s="15" t="s">
        <v>61</v>
      </c>
      <c r="AN97" s="15" t="s">
        <v>61</v>
      </c>
    </row>
    <row r="98" spans="1:40" x14ac:dyDescent="0.25">
      <c r="B98" s="95">
        <f t="shared" si="21"/>
        <v>39</v>
      </c>
      <c r="C98" s="16">
        <v>20200518</v>
      </c>
      <c r="D98" s="15" t="s">
        <v>3</v>
      </c>
      <c r="E98" s="15" t="s">
        <v>265</v>
      </c>
      <c r="F98" s="93" t="s">
        <v>276</v>
      </c>
      <c r="G98" s="17">
        <v>1472050</v>
      </c>
      <c r="H98" s="52" t="s">
        <v>61</v>
      </c>
      <c r="I98" s="15" t="s">
        <v>266</v>
      </c>
      <c r="J98" s="52" t="s">
        <v>61</v>
      </c>
      <c r="K98" s="15" t="s">
        <v>146</v>
      </c>
      <c r="L98" s="15" t="s">
        <v>271</v>
      </c>
      <c r="M98" s="15" t="s">
        <v>150</v>
      </c>
      <c r="N98" s="97" t="s">
        <v>273</v>
      </c>
      <c r="O98" s="17" t="s">
        <v>61</v>
      </c>
      <c r="P98" s="17" t="s">
        <v>269</v>
      </c>
      <c r="Q98" s="18"/>
      <c r="R98" s="52" t="s">
        <v>61</v>
      </c>
      <c r="S98" s="15" t="s">
        <v>65</v>
      </c>
      <c r="T98" s="15"/>
      <c r="U98" s="15"/>
      <c r="V98" s="15">
        <v>641</v>
      </c>
      <c r="W98" s="15">
        <f t="shared" si="25"/>
        <v>641</v>
      </c>
      <c r="X98" s="15">
        <f>W98</f>
        <v>641</v>
      </c>
      <c r="Y98" s="15">
        <f>ROUNDDOWN(W98/HLOOKUP(D98,Table!$C$3:$D$4,2,0)*8,2)</f>
        <v>11.39</v>
      </c>
      <c r="Z98" s="15">
        <v>2</v>
      </c>
      <c r="AA98" s="15" t="s">
        <v>74</v>
      </c>
      <c r="AB98" s="19">
        <v>43978</v>
      </c>
      <c r="AC98" s="19">
        <v>43969</v>
      </c>
      <c r="AD98" s="146">
        <v>43978</v>
      </c>
      <c r="AE98" s="19">
        <v>43971</v>
      </c>
      <c r="AF98" s="19">
        <v>43971</v>
      </c>
      <c r="AG98" s="19" t="s">
        <v>176</v>
      </c>
      <c r="AH98" s="31">
        <v>1</v>
      </c>
      <c r="AI98" s="31">
        <v>1</v>
      </c>
      <c r="AJ98" s="31">
        <v>1</v>
      </c>
      <c r="AK98" s="19" t="s">
        <v>150</v>
      </c>
      <c r="AL98" s="15"/>
      <c r="AM98" s="15"/>
      <c r="AN98" s="15" t="s">
        <v>274</v>
      </c>
    </row>
    <row r="99" spans="1:40" x14ac:dyDescent="0.25">
      <c r="B99" s="95">
        <f t="shared" si="21"/>
        <v>40</v>
      </c>
      <c r="C99" s="16">
        <v>20200518</v>
      </c>
      <c r="D99" s="15" t="s">
        <v>3</v>
      </c>
      <c r="E99" s="15" t="s">
        <v>265</v>
      </c>
      <c r="F99" s="93" t="s">
        <v>277</v>
      </c>
      <c r="G99" s="17">
        <v>1472050</v>
      </c>
      <c r="H99" s="52" t="s">
        <v>61</v>
      </c>
      <c r="I99" s="15" t="s">
        <v>267</v>
      </c>
      <c r="J99" s="52" t="s">
        <v>61</v>
      </c>
      <c r="K99" s="15" t="s">
        <v>146</v>
      </c>
      <c r="L99" s="15" t="s">
        <v>271</v>
      </c>
      <c r="M99" s="15" t="s">
        <v>150</v>
      </c>
      <c r="N99" s="97" t="s">
        <v>273</v>
      </c>
      <c r="O99" s="17" t="s">
        <v>61</v>
      </c>
      <c r="P99" s="17" t="s">
        <v>269</v>
      </c>
      <c r="Q99" s="18"/>
      <c r="R99" s="52" t="s">
        <v>61</v>
      </c>
      <c r="S99" s="15" t="s">
        <v>65</v>
      </c>
      <c r="T99" s="15"/>
      <c r="U99" s="15"/>
      <c r="V99" s="15">
        <v>296</v>
      </c>
      <c r="W99" s="15">
        <f t="shared" si="25"/>
        <v>296</v>
      </c>
      <c r="X99" s="15">
        <f>W99</f>
        <v>296</v>
      </c>
      <c r="Y99" s="15">
        <f>ROUNDDOWN(W99/HLOOKUP(D99,Table!$C$3:$D$4,2,0)*8,2)</f>
        <v>5.26</v>
      </c>
      <c r="Z99" s="15">
        <v>2</v>
      </c>
      <c r="AA99" s="15" t="s">
        <v>74</v>
      </c>
      <c r="AB99" s="19">
        <v>43978</v>
      </c>
      <c r="AC99" s="19">
        <v>43969</v>
      </c>
      <c r="AD99" s="146">
        <v>43978</v>
      </c>
      <c r="AE99" s="19">
        <v>43971</v>
      </c>
      <c r="AF99" s="19">
        <v>43971</v>
      </c>
      <c r="AG99" s="19" t="s">
        <v>176</v>
      </c>
      <c r="AH99" s="31">
        <v>1</v>
      </c>
      <c r="AI99" s="31">
        <v>1</v>
      </c>
      <c r="AJ99" s="31">
        <v>1</v>
      </c>
      <c r="AK99" s="19" t="s">
        <v>150</v>
      </c>
      <c r="AL99" s="15"/>
      <c r="AM99" s="15"/>
      <c r="AN99" s="15" t="s">
        <v>274</v>
      </c>
    </row>
    <row r="100" spans="1:40" x14ac:dyDescent="0.25">
      <c r="B100" s="95">
        <f t="shared" si="21"/>
        <v>41</v>
      </c>
      <c r="C100" s="16">
        <v>20200518</v>
      </c>
      <c r="D100" s="15" t="s">
        <v>3</v>
      </c>
      <c r="E100" s="15" t="s">
        <v>265</v>
      </c>
      <c r="F100" s="93" t="s">
        <v>278</v>
      </c>
      <c r="G100" s="17">
        <v>1472050</v>
      </c>
      <c r="H100" s="52" t="s">
        <v>61</v>
      </c>
      <c r="I100" s="15" t="s">
        <v>214</v>
      </c>
      <c r="J100" s="52" t="s">
        <v>61</v>
      </c>
      <c r="K100" s="15" t="s">
        <v>146</v>
      </c>
      <c r="L100" s="15" t="s">
        <v>271</v>
      </c>
      <c r="M100" s="15" t="s">
        <v>150</v>
      </c>
      <c r="N100" s="97" t="s">
        <v>273</v>
      </c>
      <c r="O100" s="17" t="s">
        <v>61</v>
      </c>
      <c r="P100" s="17" t="s">
        <v>269</v>
      </c>
      <c r="Q100" s="18"/>
      <c r="R100" s="52" t="s">
        <v>61</v>
      </c>
      <c r="S100" s="15" t="s">
        <v>65</v>
      </c>
      <c r="T100" s="15"/>
      <c r="U100" s="15"/>
      <c r="V100" s="15">
        <v>259</v>
      </c>
      <c r="W100" s="15">
        <f t="shared" si="25"/>
        <v>259</v>
      </c>
      <c r="X100" s="15">
        <f>W100</f>
        <v>259</v>
      </c>
      <c r="Y100" s="15">
        <f>ROUNDDOWN(W100/HLOOKUP(D100,Table!$C$3:$D$4,2,0)*8,2)</f>
        <v>4.5999999999999996</v>
      </c>
      <c r="Z100" s="15">
        <v>1</v>
      </c>
      <c r="AA100" s="15" t="s">
        <v>74</v>
      </c>
      <c r="AB100" s="19">
        <v>43978</v>
      </c>
      <c r="AC100" s="19">
        <v>43969</v>
      </c>
      <c r="AD100" s="146">
        <v>43978</v>
      </c>
      <c r="AE100" s="19">
        <v>43971</v>
      </c>
      <c r="AF100" s="19">
        <v>43971</v>
      </c>
      <c r="AG100" s="19" t="s">
        <v>177</v>
      </c>
      <c r="AH100" s="31">
        <v>1</v>
      </c>
      <c r="AI100" s="31">
        <v>1</v>
      </c>
      <c r="AJ100" s="31">
        <v>0.83</v>
      </c>
      <c r="AK100" s="19" t="s">
        <v>139</v>
      </c>
      <c r="AL100" s="15" t="s">
        <v>649</v>
      </c>
      <c r="AM100" s="15"/>
      <c r="AN100" s="15" t="s">
        <v>855</v>
      </c>
    </row>
    <row r="101" spans="1:40" x14ac:dyDescent="0.25">
      <c r="B101" s="95">
        <f t="shared" si="21"/>
        <v>42</v>
      </c>
      <c r="C101" s="16">
        <v>20200518</v>
      </c>
      <c r="D101" s="15" t="s">
        <v>3</v>
      </c>
      <c r="E101" s="15" t="s">
        <v>265</v>
      </c>
      <c r="F101" s="93" t="s">
        <v>279</v>
      </c>
      <c r="G101" s="17">
        <v>1472050</v>
      </c>
      <c r="H101" s="52" t="s">
        <v>61</v>
      </c>
      <c r="I101" s="15" t="s">
        <v>197</v>
      </c>
      <c r="J101" s="52" t="s">
        <v>61</v>
      </c>
      <c r="K101" s="15" t="s">
        <v>146</v>
      </c>
      <c r="L101" s="15" t="s">
        <v>271</v>
      </c>
      <c r="M101" s="15" t="s">
        <v>150</v>
      </c>
      <c r="N101" s="97" t="s">
        <v>273</v>
      </c>
      <c r="O101" s="17" t="s">
        <v>61</v>
      </c>
      <c r="P101" s="17" t="s">
        <v>269</v>
      </c>
      <c r="Q101" s="18"/>
      <c r="R101" s="52" t="s">
        <v>61</v>
      </c>
      <c r="S101" s="15" t="s">
        <v>65</v>
      </c>
      <c r="T101" s="15"/>
      <c r="U101" s="15"/>
      <c r="V101" s="15">
        <v>371</v>
      </c>
      <c r="W101" s="15">
        <f t="shared" si="25"/>
        <v>371</v>
      </c>
      <c r="X101" s="15">
        <f>W101</f>
        <v>371</v>
      </c>
      <c r="Y101" s="15">
        <f>ROUNDDOWN(W101/HLOOKUP(D101,Table!$C$3:$D$4,2,0)*8,2)</f>
        <v>6.59</v>
      </c>
      <c r="Z101" s="15">
        <v>2</v>
      </c>
      <c r="AA101" s="15" t="s">
        <v>74</v>
      </c>
      <c r="AB101" s="19">
        <v>43978</v>
      </c>
      <c r="AC101" s="19">
        <v>43969</v>
      </c>
      <c r="AD101" s="146">
        <v>43978</v>
      </c>
      <c r="AE101" s="19">
        <v>43971</v>
      </c>
      <c r="AF101" s="19">
        <v>43971</v>
      </c>
      <c r="AG101" s="19" t="s">
        <v>176</v>
      </c>
      <c r="AH101" s="31">
        <v>1</v>
      </c>
      <c r="AI101" s="31">
        <v>1</v>
      </c>
      <c r="AJ101" s="31">
        <v>1</v>
      </c>
      <c r="AK101" s="19" t="s">
        <v>150</v>
      </c>
      <c r="AL101" s="15"/>
      <c r="AM101" s="15"/>
      <c r="AN101" s="15" t="s">
        <v>274</v>
      </c>
    </row>
    <row r="102" spans="1:40" x14ac:dyDescent="0.25">
      <c r="B102" s="41">
        <f t="shared" si="21"/>
        <v>43</v>
      </c>
      <c r="C102" s="16">
        <v>20200519</v>
      </c>
      <c r="D102" s="15" t="s">
        <v>3</v>
      </c>
      <c r="E102" s="80" t="s">
        <v>216</v>
      </c>
      <c r="F102" s="93" t="s">
        <v>320</v>
      </c>
      <c r="G102" s="80">
        <v>1473546</v>
      </c>
      <c r="H102" s="52" t="s">
        <v>61</v>
      </c>
      <c r="I102" s="80" t="s">
        <v>284</v>
      </c>
      <c r="J102" s="52" t="s">
        <v>61</v>
      </c>
      <c r="K102" s="15" t="s">
        <v>146</v>
      </c>
      <c r="L102" s="15" t="s">
        <v>150</v>
      </c>
      <c r="M102" s="80" t="s">
        <v>217</v>
      </c>
      <c r="N102" s="80" t="s">
        <v>220</v>
      </c>
      <c r="O102" s="17" t="s">
        <v>61</v>
      </c>
      <c r="P102" s="77" t="s">
        <v>304</v>
      </c>
      <c r="Q102" s="18"/>
      <c r="R102" s="52" t="s">
        <v>61</v>
      </c>
      <c r="S102" s="15" t="s">
        <v>70</v>
      </c>
      <c r="T102" s="15"/>
      <c r="U102" s="15"/>
      <c r="V102" s="80">
        <v>109</v>
      </c>
      <c r="W102" s="15">
        <f t="shared" ref="W102:W126" si="26">V102</f>
        <v>109</v>
      </c>
      <c r="X102" s="15">
        <f t="shared" ref="X102:X106" si="27">W102</f>
        <v>109</v>
      </c>
      <c r="Y102" s="15">
        <f>ROUNDDOWN(W102/HLOOKUP(D102,Table!$C$3:$D$4,2,0)*8,2)</f>
        <v>1.93</v>
      </c>
      <c r="Z102" s="15">
        <v>0.5</v>
      </c>
      <c r="AA102" s="15" t="s">
        <v>74</v>
      </c>
      <c r="AB102" s="19">
        <v>43973</v>
      </c>
      <c r="AC102" s="19">
        <v>43970</v>
      </c>
      <c r="AD102" s="19">
        <v>43973</v>
      </c>
      <c r="AE102" s="19">
        <v>43970</v>
      </c>
      <c r="AF102" s="19">
        <v>43970</v>
      </c>
      <c r="AG102" s="19" t="s">
        <v>176</v>
      </c>
      <c r="AH102" s="31">
        <v>1</v>
      </c>
      <c r="AI102" s="31">
        <v>1</v>
      </c>
      <c r="AJ102" s="31">
        <v>1</v>
      </c>
      <c r="AK102" s="19" t="s">
        <v>150</v>
      </c>
      <c r="AL102" s="96" t="s">
        <v>61</v>
      </c>
      <c r="AM102" s="96" t="s">
        <v>61</v>
      </c>
      <c r="AN102" s="96" t="s">
        <v>61</v>
      </c>
    </row>
    <row r="103" spans="1:40" x14ac:dyDescent="0.25">
      <c r="B103" s="41">
        <f t="shared" si="21"/>
        <v>44</v>
      </c>
      <c r="C103" s="16">
        <v>20200519</v>
      </c>
      <c r="D103" s="15" t="s">
        <v>3</v>
      </c>
      <c r="E103" s="80" t="s">
        <v>216</v>
      </c>
      <c r="F103" s="93" t="s">
        <v>320</v>
      </c>
      <c r="G103" s="80">
        <v>1473546</v>
      </c>
      <c r="H103" s="52" t="s">
        <v>61</v>
      </c>
      <c r="I103" s="141" t="s">
        <v>285</v>
      </c>
      <c r="J103" s="52" t="s">
        <v>61</v>
      </c>
      <c r="K103" s="15" t="s">
        <v>146</v>
      </c>
      <c r="L103" s="15" t="s">
        <v>150</v>
      </c>
      <c r="M103" s="80" t="s">
        <v>217</v>
      </c>
      <c r="N103" s="15" t="s">
        <v>220</v>
      </c>
      <c r="O103" s="17" t="s">
        <v>61</v>
      </c>
      <c r="P103" s="17" t="s">
        <v>304</v>
      </c>
      <c r="Q103" s="18"/>
      <c r="R103" s="52" t="s">
        <v>61</v>
      </c>
      <c r="S103" s="15" t="s">
        <v>69</v>
      </c>
      <c r="T103" s="15"/>
      <c r="U103" s="15"/>
      <c r="V103" s="80">
        <v>268</v>
      </c>
      <c r="W103" s="15">
        <f t="shared" si="26"/>
        <v>268</v>
      </c>
      <c r="X103" s="15">
        <f t="shared" si="27"/>
        <v>268</v>
      </c>
      <c r="Y103" s="15">
        <f>ROUNDDOWN(W103/HLOOKUP(D103,Table!$C$3:$D$4,2,0)*8,2)</f>
        <v>4.76</v>
      </c>
      <c r="Z103" s="15">
        <v>4</v>
      </c>
      <c r="AA103" s="15" t="s">
        <v>74</v>
      </c>
      <c r="AB103" s="19">
        <v>43973</v>
      </c>
      <c r="AC103" s="19">
        <v>43969</v>
      </c>
      <c r="AD103" s="19">
        <v>43973</v>
      </c>
      <c r="AE103" s="19">
        <v>43970</v>
      </c>
      <c r="AF103" s="19">
        <v>43970</v>
      </c>
      <c r="AG103" s="19" t="s">
        <v>176</v>
      </c>
      <c r="AH103" s="31">
        <v>1</v>
      </c>
      <c r="AI103" s="31">
        <v>1</v>
      </c>
      <c r="AJ103" s="31">
        <v>1</v>
      </c>
      <c r="AK103" s="19" t="s">
        <v>150</v>
      </c>
      <c r="AL103" s="96" t="s">
        <v>61</v>
      </c>
      <c r="AM103" s="96" t="s">
        <v>61</v>
      </c>
      <c r="AN103" s="96" t="s">
        <v>61</v>
      </c>
    </row>
    <row r="104" spans="1:40" x14ac:dyDescent="0.25">
      <c r="B104" s="41">
        <f t="shared" si="21"/>
        <v>45</v>
      </c>
      <c r="C104" s="16">
        <v>20200519</v>
      </c>
      <c r="D104" s="15" t="s">
        <v>3</v>
      </c>
      <c r="E104" s="80" t="s">
        <v>216</v>
      </c>
      <c r="F104" s="93" t="s">
        <v>319</v>
      </c>
      <c r="G104" s="80">
        <v>1473546</v>
      </c>
      <c r="H104" s="52" t="s">
        <v>61</v>
      </c>
      <c r="I104" s="80" t="s">
        <v>222</v>
      </c>
      <c r="J104" s="52" t="s">
        <v>61</v>
      </c>
      <c r="K104" s="15" t="s">
        <v>146</v>
      </c>
      <c r="L104" s="15" t="s">
        <v>150</v>
      </c>
      <c r="M104" s="80" t="s">
        <v>217</v>
      </c>
      <c r="N104" s="15" t="s">
        <v>220</v>
      </c>
      <c r="O104" s="17" t="s">
        <v>61</v>
      </c>
      <c r="P104" s="17" t="s">
        <v>304</v>
      </c>
      <c r="Q104" s="18"/>
      <c r="R104" s="52" t="s">
        <v>61</v>
      </c>
      <c r="S104" s="15" t="s">
        <v>70</v>
      </c>
      <c r="T104" s="15"/>
      <c r="U104" s="15"/>
      <c r="V104" s="80">
        <v>63</v>
      </c>
      <c r="W104" s="15">
        <f t="shared" si="26"/>
        <v>63</v>
      </c>
      <c r="X104" s="15">
        <f t="shared" si="27"/>
        <v>63</v>
      </c>
      <c r="Y104" s="15">
        <f>ROUNDDOWN(W104/HLOOKUP(D104,Table!$C$3:$D$4,2,0)*8,2)</f>
        <v>1.1200000000000001</v>
      </c>
      <c r="Z104" s="15">
        <v>0.5</v>
      </c>
      <c r="AA104" s="15" t="s">
        <v>74</v>
      </c>
      <c r="AB104" s="19">
        <v>43973</v>
      </c>
      <c r="AC104" s="19">
        <v>43970</v>
      </c>
      <c r="AD104" s="19">
        <v>43973</v>
      </c>
      <c r="AE104" s="19">
        <v>43970</v>
      </c>
      <c r="AF104" s="19">
        <v>43970</v>
      </c>
      <c r="AG104" s="19" t="s">
        <v>176</v>
      </c>
      <c r="AH104" s="31">
        <v>1</v>
      </c>
      <c r="AI104" s="31">
        <v>1</v>
      </c>
      <c r="AJ104" s="31">
        <v>1</v>
      </c>
      <c r="AK104" s="19" t="s">
        <v>150</v>
      </c>
      <c r="AL104" s="96" t="s">
        <v>61</v>
      </c>
      <c r="AM104" s="96" t="s">
        <v>61</v>
      </c>
      <c r="AN104" s="96" t="s">
        <v>61</v>
      </c>
    </row>
    <row r="105" spans="1:40" x14ac:dyDescent="0.25">
      <c r="B105" s="41">
        <f t="shared" si="21"/>
        <v>46</v>
      </c>
      <c r="C105" s="16">
        <v>20200519</v>
      </c>
      <c r="D105" s="15" t="s">
        <v>3</v>
      </c>
      <c r="E105" s="80" t="s">
        <v>216</v>
      </c>
      <c r="F105" s="93" t="s">
        <v>310</v>
      </c>
      <c r="G105" s="80">
        <v>1473546</v>
      </c>
      <c r="H105" s="52" t="s">
        <v>61</v>
      </c>
      <c r="I105" s="141" t="s">
        <v>199</v>
      </c>
      <c r="J105" s="52" t="s">
        <v>61</v>
      </c>
      <c r="K105" s="15" t="s">
        <v>146</v>
      </c>
      <c r="L105" s="15" t="s">
        <v>150</v>
      </c>
      <c r="M105" s="80" t="s">
        <v>217</v>
      </c>
      <c r="N105" s="15" t="s">
        <v>220</v>
      </c>
      <c r="O105" s="17" t="s">
        <v>61</v>
      </c>
      <c r="P105" s="17" t="s">
        <v>304</v>
      </c>
      <c r="Q105" s="18"/>
      <c r="R105" s="52" t="s">
        <v>61</v>
      </c>
      <c r="S105" s="15" t="s">
        <v>69</v>
      </c>
      <c r="T105" s="15"/>
      <c r="U105" s="15"/>
      <c r="V105" s="80">
        <v>87</v>
      </c>
      <c r="W105" s="15">
        <f t="shared" si="26"/>
        <v>87</v>
      </c>
      <c r="X105" s="15">
        <f t="shared" si="27"/>
        <v>87</v>
      </c>
      <c r="Y105" s="15">
        <f>ROUNDDOWN(W105/HLOOKUP(D105,Table!$C$3:$D$4,2,0)*8,2)</f>
        <v>1.54</v>
      </c>
      <c r="Z105" s="15">
        <v>1</v>
      </c>
      <c r="AA105" s="15" t="s">
        <v>74</v>
      </c>
      <c r="AB105" s="19">
        <v>43973</v>
      </c>
      <c r="AC105" s="19">
        <v>43969</v>
      </c>
      <c r="AD105" s="19">
        <v>43973</v>
      </c>
      <c r="AE105" s="19">
        <v>43970</v>
      </c>
      <c r="AF105" s="19">
        <v>43970</v>
      </c>
      <c r="AG105" s="19" t="s">
        <v>176</v>
      </c>
      <c r="AH105" s="31">
        <v>1</v>
      </c>
      <c r="AI105" s="31">
        <v>1</v>
      </c>
      <c r="AJ105" s="31">
        <v>1</v>
      </c>
      <c r="AK105" s="19" t="s">
        <v>150</v>
      </c>
      <c r="AL105" s="96" t="s">
        <v>61</v>
      </c>
      <c r="AM105" s="96" t="s">
        <v>61</v>
      </c>
      <c r="AN105" s="96" t="s">
        <v>61</v>
      </c>
    </row>
    <row r="106" spans="1:40" x14ac:dyDescent="0.25">
      <c r="B106" s="41">
        <f t="shared" si="21"/>
        <v>47</v>
      </c>
      <c r="C106" s="16">
        <v>20200519</v>
      </c>
      <c r="D106" s="15" t="s">
        <v>3</v>
      </c>
      <c r="E106" s="80" t="s">
        <v>216</v>
      </c>
      <c r="F106" s="93" t="s">
        <v>322</v>
      </c>
      <c r="G106" s="80">
        <v>1473546</v>
      </c>
      <c r="H106" s="52" t="s">
        <v>61</v>
      </c>
      <c r="I106" s="80" t="s">
        <v>286</v>
      </c>
      <c r="J106" s="52" t="s">
        <v>61</v>
      </c>
      <c r="K106" s="15" t="s">
        <v>146</v>
      </c>
      <c r="L106" s="15" t="s">
        <v>150</v>
      </c>
      <c r="M106" s="80" t="s">
        <v>217</v>
      </c>
      <c r="N106" s="15" t="s">
        <v>220</v>
      </c>
      <c r="O106" s="17" t="s">
        <v>61</v>
      </c>
      <c r="P106" s="17" t="s">
        <v>304</v>
      </c>
      <c r="Q106" s="18"/>
      <c r="R106" s="52" t="s">
        <v>61</v>
      </c>
      <c r="S106" s="15" t="s">
        <v>67</v>
      </c>
      <c r="T106" s="15"/>
      <c r="U106" s="15"/>
      <c r="V106" s="80">
        <v>164</v>
      </c>
      <c r="W106" s="15">
        <f t="shared" si="26"/>
        <v>164</v>
      </c>
      <c r="X106" s="15">
        <f t="shared" si="27"/>
        <v>164</v>
      </c>
      <c r="Y106" s="15">
        <f>ROUNDDOWN(W106/HLOOKUP(D106,Table!$C$3:$D$4,2,0)*8,2)</f>
        <v>2.91</v>
      </c>
      <c r="Z106" s="15">
        <v>2.5</v>
      </c>
      <c r="AA106" s="15" t="s">
        <v>74</v>
      </c>
      <c r="AB106" s="19">
        <v>43973</v>
      </c>
      <c r="AC106" s="19">
        <v>43970</v>
      </c>
      <c r="AD106" s="19">
        <v>43973</v>
      </c>
      <c r="AE106" s="19">
        <v>43973</v>
      </c>
      <c r="AF106" s="19">
        <v>43973</v>
      </c>
      <c r="AG106" s="19" t="s">
        <v>176</v>
      </c>
      <c r="AH106" s="31">
        <v>1</v>
      </c>
      <c r="AI106" s="31">
        <v>1</v>
      </c>
      <c r="AJ106" s="31">
        <v>1</v>
      </c>
      <c r="AK106" s="19" t="s">
        <v>150</v>
      </c>
      <c r="AL106" s="109" t="s">
        <v>61</v>
      </c>
      <c r="AM106" s="109" t="s">
        <v>61</v>
      </c>
      <c r="AN106" s="109" t="s">
        <v>61</v>
      </c>
    </row>
    <row r="107" spans="1:40" x14ac:dyDescent="0.25">
      <c r="B107" s="41">
        <f t="shared" si="21"/>
        <v>48</v>
      </c>
      <c r="C107" s="16">
        <v>20200519</v>
      </c>
      <c r="D107" s="15" t="s">
        <v>3</v>
      </c>
      <c r="E107" s="80" t="s">
        <v>216</v>
      </c>
      <c r="F107" s="93" t="s">
        <v>323</v>
      </c>
      <c r="G107" s="106">
        <v>1473546</v>
      </c>
      <c r="H107" s="108" t="s">
        <v>61</v>
      </c>
      <c r="I107" s="106" t="s">
        <v>287</v>
      </c>
      <c r="J107" s="52" t="s">
        <v>61</v>
      </c>
      <c r="K107" s="15" t="s">
        <v>146</v>
      </c>
      <c r="L107" s="15" t="s">
        <v>150</v>
      </c>
      <c r="M107" s="80" t="s">
        <v>217</v>
      </c>
      <c r="N107" s="15" t="s">
        <v>220</v>
      </c>
      <c r="O107" s="17" t="s">
        <v>61</v>
      </c>
      <c r="P107" s="17" t="s">
        <v>304</v>
      </c>
      <c r="Q107" s="18"/>
      <c r="R107" s="52" t="s">
        <v>61</v>
      </c>
      <c r="S107" s="15" t="s">
        <v>68</v>
      </c>
      <c r="T107" s="15"/>
      <c r="U107" s="15"/>
      <c r="V107" s="80">
        <v>200</v>
      </c>
      <c r="W107" s="15">
        <f t="shared" si="26"/>
        <v>200</v>
      </c>
      <c r="X107" s="15">
        <f t="shared" ref="X107:X113" si="28">W107</f>
        <v>200</v>
      </c>
      <c r="Y107" s="15">
        <f>ROUNDDOWN(W107/HLOOKUP(D107,Table!$C$3:$D$4,2,0)*8,2)</f>
        <v>3.55</v>
      </c>
      <c r="Z107" s="15">
        <v>3</v>
      </c>
      <c r="AA107" s="15" t="s">
        <v>74</v>
      </c>
      <c r="AB107" s="19">
        <v>43973</v>
      </c>
      <c r="AC107" s="19">
        <v>43970</v>
      </c>
      <c r="AD107" s="19">
        <v>43973</v>
      </c>
      <c r="AE107" s="19">
        <v>43970</v>
      </c>
      <c r="AF107" s="19">
        <v>43970</v>
      </c>
      <c r="AG107" s="19" t="s">
        <v>176</v>
      </c>
      <c r="AH107" s="31">
        <v>1</v>
      </c>
      <c r="AI107" s="31">
        <v>1</v>
      </c>
      <c r="AJ107" s="31">
        <v>1</v>
      </c>
      <c r="AK107" s="19" t="s">
        <v>150</v>
      </c>
      <c r="AL107" s="96" t="s">
        <v>61</v>
      </c>
      <c r="AM107" s="96" t="s">
        <v>61</v>
      </c>
      <c r="AN107" s="96" t="s">
        <v>61</v>
      </c>
    </row>
    <row r="108" spans="1:40" x14ac:dyDescent="0.25">
      <c r="B108" s="41">
        <f t="shared" si="21"/>
        <v>49</v>
      </c>
      <c r="C108" s="16">
        <v>20200519</v>
      </c>
      <c r="D108" s="15" t="s">
        <v>3</v>
      </c>
      <c r="E108" s="80" t="s">
        <v>216</v>
      </c>
      <c r="F108" s="93" t="s">
        <v>324</v>
      </c>
      <c r="G108" s="80">
        <v>1473546</v>
      </c>
      <c r="H108" s="52" t="s">
        <v>61</v>
      </c>
      <c r="I108" s="80" t="s">
        <v>288</v>
      </c>
      <c r="J108" s="52" t="s">
        <v>61</v>
      </c>
      <c r="K108" s="15" t="s">
        <v>146</v>
      </c>
      <c r="L108" s="15" t="s">
        <v>150</v>
      </c>
      <c r="M108" s="80" t="s">
        <v>217</v>
      </c>
      <c r="N108" s="15" t="s">
        <v>220</v>
      </c>
      <c r="O108" s="17" t="s">
        <v>61</v>
      </c>
      <c r="P108" s="17" t="s">
        <v>304</v>
      </c>
      <c r="Q108" s="18"/>
      <c r="R108" s="52" t="s">
        <v>61</v>
      </c>
      <c r="S108" s="15" t="s">
        <v>70</v>
      </c>
      <c r="T108" s="15"/>
      <c r="U108" s="15"/>
      <c r="V108" s="80">
        <v>58</v>
      </c>
      <c r="W108" s="15">
        <f t="shared" si="26"/>
        <v>58</v>
      </c>
      <c r="X108" s="15">
        <f t="shared" si="28"/>
        <v>58</v>
      </c>
      <c r="Y108" s="15">
        <f>ROUNDDOWN(W108/HLOOKUP(D108,Table!$C$3:$D$4,2,0)*8,2)</f>
        <v>1.03</v>
      </c>
      <c r="Z108" s="15">
        <v>0.5</v>
      </c>
      <c r="AA108" s="15" t="s">
        <v>74</v>
      </c>
      <c r="AB108" s="19">
        <v>43973</v>
      </c>
      <c r="AC108" s="19">
        <v>43970</v>
      </c>
      <c r="AD108" s="19">
        <v>43973</v>
      </c>
      <c r="AE108" s="19">
        <v>43970</v>
      </c>
      <c r="AF108" s="19">
        <v>43970</v>
      </c>
      <c r="AG108" s="19" t="s">
        <v>176</v>
      </c>
      <c r="AH108" s="31">
        <v>1</v>
      </c>
      <c r="AI108" s="31">
        <v>1</v>
      </c>
      <c r="AJ108" s="31">
        <v>1</v>
      </c>
      <c r="AK108" s="19" t="s">
        <v>150</v>
      </c>
      <c r="AL108" s="96" t="s">
        <v>61</v>
      </c>
      <c r="AM108" s="96" t="s">
        <v>61</v>
      </c>
      <c r="AN108" s="96" t="s">
        <v>61</v>
      </c>
    </row>
    <row r="109" spans="1:40" x14ac:dyDescent="0.25">
      <c r="B109" s="41">
        <f t="shared" si="21"/>
        <v>50</v>
      </c>
      <c r="C109" s="16">
        <v>20200519</v>
      </c>
      <c r="D109" s="15" t="s">
        <v>3</v>
      </c>
      <c r="E109" s="80" t="s">
        <v>216</v>
      </c>
      <c r="F109" s="93" t="s">
        <v>324</v>
      </c>
      <c r="G109" s="80">
        <v>1473546</v>
      </c>
      <c r="H109" s="52" t="s">
        <v>61</v>
      </c>
      <c r="I109" s="141" t="s">
        <v>289</v>
      </c>
      <c r="J109" s="52" t="s">
        <v>61</v>
      </c>
      <c r="K109" s="15" t="s">
        <v>146</v>
      </c>
      <c r="L109" s="15" t="s">
        <v>150</v>
      </c>
      <c r="M109" s="80" t="s">
        <v>217</v>
      </c>
      <c r="N109" s="15" t="s">
        <v>220</v>
      </c>
      <c r="O109" s="17" t="s">
        <v>61</v>
      </c>
      <c r="P109" s="17" t="s">
        <v>304</v>
      </c>
      <c r="Q109" s="18"/>
      <c r="R109" s="52" t="s">
        <v>61</v>
      </c>
      <c r="S109" s="15" t="s">
        <v>69</v>
      </c>
      <c r="T109" s="15"/>
      <c r="U109" s="15"/>
      <c r="V109" s="80">
        <v>66</v>
      </c>
      <c r="W109" s="15">
        <f t="shared" si="26"/>
        <v>66</v>
      </c>
      <c r="X109" s="15">
        <f t="shared" si="28"/>
        <v>66</v>
      </c>
      <c r="Y109" s="15">
        <f>ROUNDDOWN(W109/HLOOKUP(D109,Table!$C$3:$D$4,2,0)*8,2)</f>
        <v>1.17</v>
      </c>
      <c r="Z109" s="15">
        <v>1</v>
      </c>
      <c r="AA109" s="15" t="s">
        <v>74</v>
      </c>
      <c r="AB109" s="19">
        <v>43973</v>
      </c>
      <c r="AC109" s="19">
        <v>43969</v>
      </c>
      <c r="AD109" s="19">
        <v>43973</v>
      </c>
      <c r="AE109" s="19">
        <v>43970</v>
      </c>
      <c r="AF109" s="19">
        <v>43970</v>
      </c>
      <c r="AG109" s="19" t="s">
        <v>176</v>
      </c>
      <c r="AH109" s="31">
        <v>1</v>
      </c>
      <c r="AI109" s="31">
        <v>1</v>
      </c>
      <c r="AJ109" s="31">
        <v>1</v>
      </c>
      <c r="AK109" s="19" t="s">
        <v>150</v>
      </c>
      <c r="AL109" s="96" t="s">
        <v>61</v>
      </c>
      <c r="AM109" s="96" t="s">
        <v>61</v>
      </c>
      <c r="AN109" s="96" t="s">
        <v>61</v>
      </c>
    </row>
    <row r="110" spans="1:40" x14ac:dyDescent="0.25">
      <c r="B110" s="41">
        <f t="shared" si="21"/>
        <v>51</v>
      </c>
      <c r="C110" s="16">
        <v>20200519</v>
      </c>
      <c r="D110" s="15" t="s">
        <v>3</v>
      </c>
      <c r="E110" s="80" t="s">
        <v>216</v>
      </c>
      <c r="F110" s="93" t="s">
        <v>325</v>
      </c>
      <c r="G110" s="80">
        <v>1473546</v>
      </c>
      <c r="H110" s="52" t="s">
        <v>61</v>
      </c>
      <c r="I110" s="141" t="s">
        <v>290</v>
      </c>
      <c r="J110" s="52" t="s">
        <v>61</v>
      </c>
      <c r="K110" s="15" t="s">
        <v>146</v>
      </c>
      <c r="L110" s="15" t="s">
        <v>150</v>
      </c>
      <c r="M110" s="80" t="s">
        <v>217</v>
      </c>
      <c r="N110" s="15" t="s">
        <v>220</v>
      </c>
      <c r="O110" s="17" t="s">
        <v>61</v>
      </c>
      <c r="P110" s="17" t="s">
        <v>304</v>
      </c>
      <c r="Q110" s="18"/>
      <c r="R110" s="52" t="s">
        <v>61</v>
      </c>
      <c r="S110" s="15" t="s">
        <v>69</v>
      </c>
      <c r="T110" s="15"/>
      <c r="U110" s="15"/>
      <c r="V110" s="80">
        <v>75</v>
      </c>
      <c r="W110" s="15">
        <f t="shared" si="26"/>
        <v>75</v>
      </c>
      <c r="X110" s="15">
        <f t="shared" si="28"/>
        <v>75</v>
      </c>
      <c r="Y110" s="15">
        <f>ROUNDDOWN(W110/HLOOKUP(D110,Table!$C$3:$D$4,2,0)*8,2)</f>
        <v>1.33</v>
      </c>
      <c r="Z110" s="15">
        <v>1</v>
      </c>
      <c r="AA110" s="15" t="s">
        <v>74</v>
      </c>
      <c r="AB110" s="19">
        <v>43973</v>
      </c>
      <c r="AC110" s="19">
        <v>43969</v>
      </c>
      <c r="AD110" s="19">
        <v>43973</v>
      </c>
      <c r="AE110" s="19">
        <v>43970</v>
      </c>
      <c r="AF110" s="19">
        <v>43970</v>
      </c>
      <c r="AG110" s="19" t="s">
        <v>176</v>
      </c>
      <c r="AH110" s="31">
        <v>1</v>
      </c>
      <c r="AI110" s="31">
        <v>1</v>
      </c>
      <c r="AJ110" s="31">
        <v>1</v>
      </c>
      <c r="AK110" s="19" t="s">
        <v>150</v>
      </c>
      <c r="AL110" s="96" t="s">
        <v>61</v>
      </c>
      <c r="AM110" s="96" t="s">
        <v>61</v>
      </c>
      <c r="AN110" s="96" t="s">
        <v>61</v>
      </c>
    </row>
    <row r="111" spans="1:40" x14ac:dyDescent="0.25">
      <c r="B111" s="41">
        <f t="shared" si="21"/>
        <v>52</v>
      </c>
      <c r="C111" s="16">
        <v>20200519</v>
      </c>
      <c r="D111" s="15" t="s">
        <v>3</v>
      </c>
      <c r="E111" s="80" t="s">
        <v>216</v>
      </c>
      <c r="F111" s="93" t="s">
        <v>312</v>
      </c>
      <c r="G111" s="80">
        <v>1473546</v>
      </c>
      <c r="H111" s="52" t="s">
        <v>61</v>
      </c>
      <c r="I111" s="141" t="s">
        <v>291</v>
      </c>
      <c r="J111" s="52" t="s">
        <v>61</v>
      </c>
      <c r="K111" s="15" t="s">
        <v>146</v>
      </c>
      <c r="L111" s="15" t="s">
        <v>150</v>
      </c>
      <c r="M111" s="80" t="s">
        <v>217</v>
      </c>
      <c r="N111" s="15" t="s">
        <v>220</v>
      </c>
      <c r="O111" s="17" t="s">
        <v>61</v>
      </c>
      <c r="P111" s="17" t="s">
        <v>304</v>
      </c>
      <c r="Q111" s="18"/>
      <c r="R111" s="52" t="s">
        <v>61</v>
      </c>
      <c r="S111" s="15" t="s">
        <v>69</v>
      </c>
      <c r="T111" s="15"/>
      <c r="U111" s="15"/>
      <c r="V111" s="80">
        <v>33</v>
      </c>
      <c r="W111" s="15">
        <f t="shared" si="26"/>
        <v>33</v>
      </c>
      <c r="X111" s="15">
        <f t="shared" si="28"/>
        <v>33</v>
      </c>
      <c r="Y111" s="15">
        <f>ROUNDDOWN(W111/HLOOKUP(D111,Table!$C$3:$D$4,2,0)*8,2)</f>
        <v>0.57999999999999996</v>
      </c>
      <c r="Z111" s="15">
        <v>0.5</v>
      </c>
      <c r="AA111" s="15" t="s">
        <v>74</v>
      </c>
      <c r="AB111" s="19">
        <v>43973</v>
      </c>
      <c r="AC111" s="19">
        <v>43969</v>
      </c>
      <c r="AD111" s="19">
        <v>43973</v>
      </c>
      <c r="AE111" s="19">
        <v>43970</v>
      </c>
      <c r="AF111" s="19">
        <v>43970</v>
      </c>
      <c r="AG111" s="19" t="s">
        <v>176</v>
      </c>
      <c r="AH111" s="31">
        <v>1</v>
      </c>
      <c r="AI111" s="31">
        <v>1</v>
      </c>
      <c r="AJ111" s="31">
        <v>1</v>
      </c>
      <c r="AK111" s="19" t="s">
        <v>150</v>
      </c>
      <c r="AL111" s="96" t="s">
        <v>61</v>
      </c>
      <c r="AM111" s="96" t="s">
        <v>61</v>
      </c>
      <c r="AN111" s="96" t="s">
        <v>61</v>
      </c>
    </row>
    <row r="112" spans="1:40" x14ac:dyDescent="0.25">
      <c r="B112" s="41">
        <f t="shared" si="21"/>
        <v>53</v>
      </c>
      <c r="C112" s="16">
        <v>20200519</v>
      </c>
      <c r="D112" s="15" t="s">
        <v>3</v>
      </c>
      <c r="E112" s="80" t="s">
        <v>216</v>
      </c>
      <c r="F112" s="93" t="s">
        <v>312</v>
      </c>
      <c r="G112" s="80">
        <v>1473546</v>
      </c>
      <c r="H112" s="52" t="s">
        <v>61</v>
      </c>
      <c r="I112" s="80" t="s">
        <v>292</v>
      </c>
      <c r="J112" s="52" t="s">
        <v>61</v>
      </c>
      <c r="K112" s="15" t="s">
        <v>146</v>
      </c>
      <c r="L112" s="15" t="s">
        <v>150</v>
      </c>
      <c r="M112" s="80" t="s">
        <v>217</v>
      </c>
      <c r="N112" s="15" t="s">
        <v>220</v>
      </c>
      <c r="O112" s="17" t="s">
        <v>61</v>
      </c>
      <c r="P112" s="17" t="s">
        <v>304</v>
      </c>
      <c r="Q112" s="18"/>
      <c r="R112" s="52" t="s">
        <v>61</v>
      </c>
      <c r="S112" s="15" t="s">
        <v>70</v>
      </c>
      <c r="T112" s="15"/>
      <c r="U112" s="15"/>
      <c r="V112" s="80">
        <v>119</v>
      </c>
      <c r="W112" s="15">
        <f t="shared" si="26"/>
        <v>119</v>
      </c>
      <c r="X112" s="15">
        <f t="shared" si="28"/>
        <v>119</v>
      </c>
      <c r="Y112" s="15">
        <f>ROUNDDOWN(W112/HLOOKUP(D112,Table!$C$3:$D$4,2,0)*8,2)</f>
        <v>2.11</v>
      </c>
      <c r="Z112" s="15">
        <v>1</v>
      </c>
      <c r="AA112" s="15" t="s">
        <v>74</v>
      </c>
      <c r="AB112" s="19">
        <v>43973</v>
      </c>
      <c r="AC112" s="19">
        <v>43970</v>
      </c>
      <c r="AD112" s="19">
        <v>43973</v>
      </c>
      <c r="AE112" s="19">
        <v>43970</v>
      </c>
      <c r="AF112" s="19">
        <v>43970</v>
      </c>
      <c r="AG112" s="19" t="s">
        <v>176</v>
      </c>
      <c r="AH112" s="31">
        <v>1</v>
      </c>
      <c r="AI112" s="31">
        <v>1</v>
      </c>
      <c r="AJ112" s="31">
        <v>1</v>
      </c>
      <c r="AK112" s="19" t="s">
        <v>150</v>
      </c>
      <c r="AL112" s="96" t="s">
        <v>61</v>
      </c>
      <c r="AM112" s="96" t="s">
        <v>61</v>
      </c>
      <c r="AN112" s="96" t="s">
        <v>61</v>
      </c>
    </row>
    <row r="113" spans="2:40" x14ac:dyDescent="0.25">
      <c r="B113" s="41">
        <f t="shared" si="21"/>
        <v>54</v>
      </c>
      <c r="C113" s="16">
        <v>20200519</v>
      </c>
      <c r="D113" s="15" t="s">
        <v>3</v>
      </c>
      <c r="E113" s="80" t="s">
        <v>216</v>
      </c>
      <c r="F113" s="93" t="s">
        <v>326</v>
      </c>
      <c r="G113" s="106">
        <v>1473546</v>
      </c>
      <c r="H113" s="108" t="s">
        <v>61</v>
      </c>
      <c r="I113" s="106" t="s">
        <v>293</v>
      </c>
      <c r="J113" s="52" t="s">
        <v>61</v>
      </c>
      <c r="K113" s="15" t="s">
        <v>146</v>
      </c>
      <c r="L113" s="15" t="s">
        <v>150</v>
      </c>
      <c r="M113" s="80" t="s">
        <v>217</v>
      </c>
      <c r="N113" s="80" t="s">
        <v>220</v>
      </c>
      <c r="O113" s="17" t="s">
        <v>61</v>
      </c>
      <c r="P113" s="77" t="s">
        <v>304</v>
      </c>
      <c r="Q113" s="18"/>
      <c r="R113" s="52" t="s">
        <v>61</v>
      </c>
      <c r="S113" s="15" t="s">
        <v>68</v>
      </c>
      <c r="T113" s="15"/>
      <c r="U113" s="15"/>
      <c r="V113" s="80">
        <v>433</v>
      </c>
      <c r="W113" s="15">
        <f t="shared" si="26"/>
        <v>433</v>
      </c>
      <c r="X113" s="15">
        <f t="shared" si="28"/>
        <v>433</v>
      </c>
      <c r="Y113" s="15">
        <f>ROUNDDOWN(W113/HLOOKUP(D113,Table!$C$3:$D$4,2,0)*8,2)</f>
        <v>7.69</v>
      </c>
      <c r="Z113" s="15">
        <v>7</v>
      </c>
      <c r="AA113" s="15" t="s">
        <v>74</v>
      </c>
      <c r="AB113" s="19">
        <v>43973</v>
      </c>
      <c r="AC113" s="19">
        <v>43970</v>
      </c>
      <c r="AD113" s="19">
        <v>43973</v>
      </c>
      <c r="AE113" s="19">
        <v>43970</v>
      </c>
      <c r="AF113" s="19">
        <v>43970</v>
      </c>
      <c r="AG113" s="19" t="s">
        <v>176</v>
      </c>
      <c r="AH113" s="31">
        <v>1</v>
      </c>
      <c r="AI113" s="31">
        <v>1</v>
      </c>
      <c r="AJ113" s="31">
        <v>1</v>
      </c>
      <c r="AK113" s="19" t="s">
        <v>150</v>
      </c>
      <c r="AL113" s="96" t="s">
        <v>61</v>
      </c>
      <c r="AM113" s="96" t="s">
        <v>61</v>
      </c>
      <c r="AN113" s="96" t="s">
        <v>61</v>
      </c>
    </row>
    <row r="114" spans="2:40" x14ac:dyDescent="0.25">
      <c r="B114" s="41">
        <f t="shared" si="21"/>
        <v>55</v>
      </c>
      <c r="C114" s="16">
        <v>20200519</v>
      </c>
      <c r="D114" s="15" t="s">
        <v>3</v>
      </c>
      <c r="E114" s="80" t="s">
        <v>283</v>
      </c>
      <c r="F114" s="93" t="s">
        <v>327</v>
      </c>
      <c r="G114" s="80">
        <v>1474054</v>
      </c>
      <c r="H114" s="52" t="s">
        <v>61</v>
      </c>
      <c r="I114" s="80" t="s">
        <v>188</v>
      </c>
      <c r="J114" s="52" t="s">
        <v>61</v>
      </c>
      <c r="K114" s="15" t="s">
        <v>184</v>
      </c>
      <c r="L114" s="80" t="s">
        <v>1029</v>
      </c>
      <c r="M114" s="80" t="s">
        <v>150</v>
      </c>
      <c r="N114" s="80" t="s">
        <v>298</v>
      </c>
      <c r="O114" s="17" t="s">
        <v>61</v>
      </c>
      <c r="P114" s="77" t="s">
        <v>202</v>
      </c>
      <c r="Q114" s="18"/>
      <c r="R114" s="52" t="s">
        <v>61</v>
      </c>
      <c r="S114" s="15" t="s">
        <v>68</v>
      </c>
      <c r="T114" s="15"/>
      <c r="U114" s="15"/>
      <c r="V114" s="80">
        <v>96</v>
      </c>
      <c r="W114" s="15">
        <f t="shared" si="26"/>
        <v>96</v>
      </c>
      <c r="X114" s="15">
        <f>W114</f>
        <v>96</v>
      </c>
      <c r="Y114" s="15">
        <f>ROUNDDOWN(W114/HLOOKUP(D114,Table!$C$3:$D$4,2,0)*8,2)</f>
        <v>1.7</v>
      </c>
      <c r="Z114" s="15">
        <f>Y114</f>
        <v>1.7</v>
      </c>
      <c r="AA114" s="15" t="s">
        <v>74</v>
      </c>
      <c r="AB114" s="19">
        <v>43977</v>
      </c>
      <c r="AC114" s="19">
        <v>43970</v>
      </c>
      <c r="AD114" s="19">
        <v>43977</v>
      </c>
      <c r="AE114" s="19">
        <v>43971</v>
      </c>
      <c r="AF114" s="19">
        <v>43971</v>
      </c>
      <c r="AG114" s="19" t="s">
        <v>177</v>
      </c>
      <c r="AH114" s="31">
        <v>1</v>
      </c>
      <c r="AI114" s="31">
        <v>1</v>
      </c>
      <c r="AJ114" s="31">
        <v>1</v>
      </c>
      <c r="AK114" s="19" t="s">
        <v>139</v>
      </c>
      <c r="AL114" s="96"/>
      <c r="AM114" s="96"/>
      <c r="AN114" s="124" t="s">
        <v>357</v>
      </c>
    </row>
    <row r="115" spans="2:40" x14ac:dyDescent="0.25">
      <c r="B115" s="41">
        <f t="shared" si="21"/>
        <v>56</v>
      </c>
      <c r="C115" s="16">
        <v>20200519</v>
      </c>
      <c r="D115" s="15" t="s">
        <v>3</v>
      </c>
      <c r="E115" s="80" t="s">
        <v>283</v>
      </c>
      <c r="F115" s="93" t="s">
        <v>328</v>
      </c>
      <c r="G115" s="80">
        <v>1474054</v>
      </c>
      <c r="H115" s="52" t="s">
        <v>61</v>
      </c>
      <c r="I115" s="80" t="s">
        <v>186</v>
      </c>
      <c r="J115" s="52" t="s">
        <v>61</v>
      </c>
      <c r="K115" s="15" t="s">
        <v>184</v>
      </c>
      <c r="L115" s="15" t="s">
        <v>1029</v>
      </c>
      <c r="M115" s="80" t="s">
        <v>150</v>
      </c>
      <c r="N115" s="15" t="s">
        <v>298</v>
      </c>
      <c r="O115" s="17" t="s">
        <v>61</v>
      </c>
      <c r="P115" s="17" t="s">
        <v>202</v>
      </c>
      <c r="Q115" s="18"/>
      <c r="R115" s="52" t="s">
        <v>61</v>
      </c>
      <c r="S115" s="15" t="s">
        <v>70</v>
      </c>
      <c r="T115" s="15"/>
      <c r="U115" s="15"/>
      <c r="V115" s="80">
        <v>54</v>
      </c>
      <c r="W115" s="15">
        <f t="shared" si="26"/>
        <v>54</v>
      </c>
      <c r="X115" s="15">
        <f>W115</f>
        <v>54</v>
      </c>
      <c r="Y115" s="15">
        <f>ROUNDDOWN(W115/HLOOKUP(D115,Table!$C$3:$D$4,2,0)*8,2)</f>
        <v>0.96</v>
      </c>
      <c r="Z115" s="15">
        <v>0.5</v>
      </c>
      <c r="AA115" s="15" t="s">
        <v>74</v>
      </c>
      <c r="AB115" s="19">
        <v>43977</v>
      </c>
      <c r="AC115" s="19">
        <v>43970</v>
      </c>
      <c r="AD115" s="19">
        <v>43977</v>
      </c>
      <c r="AE115" s="19">
        <v>43971</v>
      </c>
      <c r="AF115" s="19">
        <v>43971</v>
      </c>
      <c r="AG115" s="19" t="s">
        <v>176</v>
      </c>
      <c r="AH115" s="31">
        <v>1</v>
      </c>
      <c r="AI115" s="31">
        <v>1</v>
      </c>
      <c r="AJ115" s="31">
        <v>1</v>
      </c>
      <c r="AK115" s="19" t="s">
        <v>150</v>
      </c>
      <c r="AL115" s="96" t="s">
        <v>61</v>
      </c>
      <c r="AM115" s="96" t="s">
        <v>61</v>
      </c>
      <c r="AN115" s="116" t="s">
        <v>61</v>
      </c>
    </row>
    <row r="116" spans="2:40" x14ac:dyDescent="0.25">
      <c r="B116" s="41">
        <f t="shared" si="21"/>
        <v>57</v>
      </c>
      <c r="C116" s="16">
        <v>20200519</v>
      </c>
      <c r="D116" s="15" t="s">
        <v>3</v>
      </c>
      <c r="E116" s="80" t="s">
        <v>283</v>
      </c>
      <c r="F116" s="93" t="s">
        <v>329</v>
      </c>
      <c r="G116" s="80">
        <v>1474054</v>
      </c>
      <c r="H116" s="52" t="s">
        <v>61</v>
      </c>
      <c r="I116" s="80" t="s">
        <v>156</v>
      </c>
      <c r="J116" s="52" t="s">
        <v>61</v>
      </c>
      <c r="K116" s="15" t="s">
        <v>184</v>
      </c>
      <c r="L116" s="15" t="s">
        <v>1029</v>
      </c>
      <c r="M116" s="80" t="s">
        <v>150</v>
      </c>
      <c r="N116" s="15" t="s">
        <v>298</v>
      </c>
      <c r="O116" s="17" t="s">
        <v>61</v>
      </c>
      <c r="P116" s="17" t="s">
        <v>202</v>
      </c>
      <c r="Q116" s="18"/>
      <c r="R116" s="52" t="s">
        <v>61</v>
      </c>
      <c r="S116" s="15" t="s">
        <v>142</v>
      </c>
      <c r="T116" s="15"/>
      <c r="U116" s="15"/>
      <c r="V116" s="80">
        <v>145</v>
      </c>
      <c r="W116" s="84">
        <v>355</v>
      </c>
      <c r="X116" s="15">
        <f>W116</f>
        <v>355</v>
      </c>
      <c r="Y116" s="15">
        <f>ROUNDDOWN(W116/HLOOKUP(D116,Table!$C$3:$D$4,2,0)*8,2)</f>
        <v>6.31</v>
      </c>
      <c r="Z116" s="15">
        <v>4</v>
      </c>
      <c r="AA116" s="15" t="s">
        <v>74</v>
      </c>
      <c r="AB116" s="19">
        <v>43977</v>
      </c>
      <c r="AC116" s="19">
        <v>43970</v>
      </c>
      <c r="AD116" s="19">
        <v>43977</v>
      </c>
      <c r="AE116" s="19">
        <v>43973</v>
      </c>
      <c r="AF116" s="19">
        <v>43976</v>
      </c>
      <c r="AG116" s="19" t="s">
        <v>177</v>
      </c>
      <c r="AH116" s="31">
        <v>1</v>
      </c>
      <c r="AI116" s="31">
        <v>0.91</v>
      </c>
      <c r="AJ116" s="31">
        <v>0.43</v>
      </c>
      <c r="AK116" s="19" t="s">
        <v>139</v>
      </c>
      <c r="AL116" s="136" t="s">
        <v>478</v>
      </c>
      <c r="AM116" s="109" t="s">
        <v>61</v>
      </c>
      <c r="AN116" s="136" t="s">
        <v>596</v>
      </c>
    </row>
    <row r="117" spans="2:40" x14ac:dyDescent="0.25">
      <c r="B117" s="41">
        <f t="shared" si="21"/>
        <v>58</v>
      </c>
      <c r="C117" s="16">
        <v>20200519</v>
      </c>
      <c r="D117" s="15" t="s">
        <v>3</v>
      </c>
      <c r="E117" s="80" t="s">
        <v>283</v>
      </c>
      <c r="F117" s="93" t="s">
        <v>329</v>
      </c>
      <c r="G117" s="80">
        <v>1474054</v>
      </c>
      <c r="H117" s="52" t="s">
        <v>61</v>
      </c>
      <c r="I117" s="80" t="s">
        <v>154</v>
      </c>
      <c r="J117" s="52" t="s">
        <v>61</v>
      </c>
      <c r="K117" s="15" t="s">
        <v>184</v>
      </c>
      <c r="L117" s="15" t="s">
        <v>1029</v>
      </c>
      <c r="M117" s="80" t="s">
        <v>150</v>
      </c>
      <c r="N117" s="15" t="s">
        <v>298</v>
      </c>
      <c r="O117" s="17" t="s">
        <v>61</v>
      </c>
      <c r="P117" s="17" t="s">
        <v>202</v>
      </c>
      <c r="Q117" s="18"/>
      <c r="R117" s="52" t="s">
        <v>61</v>
      </c>
      <c r="S117" s="15" t="s">
        <v>69</v>
      </c>
      <c r="T117" s="15"/>
      <c r="U117" s="15"/>
      <c r="V117" s="80">
        <v>124</v>
      </c>
      <c r="W117" s="15">
        <f t="shared" si="26"/>
        <v>124</v>
      </c>
      <c r="X117" s="15">
        <f t="shared" ref="X117:X122" si="29">W117</f>
        <v>124</v>
      </c>
      <c r="Y117" s="15">
        <f>ROUNDDOWN(W117/HLOOKUP(D117,Table!$C$3:$D$4,2,0)*8,2)</f>
        <v>2.2000000000000002</v>
      </c>
      <c r="Z117" s="15">
        <v>2</v>
      </c>
      <c r="AA117" s="15" t="s">
        <v>74</v>
      </c>
      <c r="AB117" s="19">
        <v>43977</v>
      </c>
      <c r="AC117" s="19">
        <v>43970</v>
      </c>
      <c r="AD117" s="19">
        <v>43977</v>
      </c>
      <c r="AE117" s="19">
        <v>43970</v>
      </c>
      <c r="AF117" s="19">
        <v>43970</v>
      </c>
      <c r="AG117" s="19" t="s">
        <v>177</v>
      </c>
      <c r="AH117" s="31">
        <v>1</v>
      </c>
      <c r="AI117" s="31">
        <v>1</v>
      </c>
      <c r="AJ117" s="31">
        <v>0.75</v>
      </c>
      <c r="AK117" s="19" t="s">
        <v>139</v>
      </c>
      <c r="AL117" s="96" t="s">
        <v>308</v>
      </c>
      <c r="AM117" s="96"/>
      <c r="AN117" s="96"/>
    </row>
    <row r="118" spans="2:40" x14ac:dyDescent="0.25">
      <c r="B118" s="41">
        <f t="shared" si="21"/>
        <v>59</v>
      </c>
      <c r="C118" s="16">
        <v>20200519</v>
      </c>
      <c r="D118" s="15" t="s">
        <v>3</v>
      </c>
      <c r="E118" s="80" t="s">
        <v>283</v>
      </c>
      <c r="F118" s="93" t="s">
        <v>329</v>
      </c>
      <c r="G118" s="80">
        <v>1474054</v>
      </c>
      <c r="H118" s="52" t="s">
        <v>61</v>
      </c>
      <c r="I118" s="80" t="s">
        <v>155</v>
      </c>
      <c r="J118" s="52" t="s">
        <v>61</v>
      </c>
      <c r="K118" s="15" t="s">
        <v>184</v>
      </c>
      <c r="L118" s="15" t="s">
        <v>1029</v>
      </c>
      <c r="M118" s="80" t="s">
        <v>150</v>
      </c>
      <c r="N118" s="15" t="s">
        <v>298</v>
      </c>
      <c r="O118" s="17" t="s">
        <v>61</v>
      </c>
      <c r="P118" s="17" t="s">
        <v>202</v>
      </c>
      <c r="Q118" s="18"/>
      <c r="R118" s="52" t="s">
        <v>61</v>
      </c>
      <c r="S118" s="15" t="s">
        <v>69</v>
      </c>
      <c r="T118" s="15"/>
      <c r="U118" s="15"/>
      <c r="V118" s="80">
        <v>71</v>
      </c>
      <c r="W118" s="15">
        <f t="shared" si="26"/>
        <v>71</v>
      </c>
      <c r="X118" s="15">
        <f t="shared" si="29"/>
        <v>71</v>
      </c>
      <c r="Y118" s="15">
        <f>ROUNDDOWN(W118/HLOOKUP(D118,Table!$C$3:$D$4,2,0)*8,2)</f>
        <v>1.26</v>
      </c>
      <c r="Z118" s="15">
        <v>1</v>
      </c>
      <c r="AA118" s="15" t="s">
        <v>74</v>
      </c>
      <c r="AB118" s="19">
        <v>43977</v>
      </c>
      <c r="AC118" s="19">
        <v>43970</v>
      </c>
      <c r="AD118" s="19">
        <v>43977</v>
      </c>
      <c r="AE118" s="19">
        <v>43971</v>
      </c>
      <c r="AF118" s="19">
        <v>43971</v>
      </c>
      <c r="AG118" s="19" t="s">
        <v>177</v>
      </c>
      <c r="AH118" s="31">
        <v>0.89</v>
      </c>
      <c r="AI118" s="31">
        <v>0.78</v>
      </c>
      <c r="AJ118" s="31">
        <v>1</v>
      </c>
      <c r="AK118" s="19" t="s">
        <v>139</v>
      </c>
      <c r="AL118" s="15" t="s">
        <v>348</v>
      </c>
      <c r="AM118" s="96"/>
      <c r="AN118" s="96"/>
    </row>
    <row r="119" spans="2:40" x14ac:dyDescent="0.25">
      <c r="B119" s="41">
        <f t="shared" si="21"/>
        <v>60</v>
      </c>
      <c r="C119" s="16">
        <v>20200519</v>
      </c>
      <c r="D119" s="15" t="s">
        <v>3</v>
      </c>
      <c r="E119" s="80" t="s">
        <v>283</v>
      </c>
      <c r="F119" s="93" t="s">
        <v>330</v>
      </c>
      <c r="G119" s="80">
        <v>1474054</v>
      </c>
      <c r="H119" s="52" t="s">
        <v>61</v>
      </c>
      <c r="I119" s="80" t="s">
        <v>219</v>
      </c>
      <c r="J119" s="52" t="s">
        <v>61</v>
      </c>
      <c r="K119" s="15" t="s">
        <v>184</v>
      </c>
      <c r="L119" s="15" t="s">
        <v>1029</v>
      </c>
      <c r="M119" s="80" t="s">
        <v>150</v>
      </c>
      <c r="N119" s="15" t="s">
        <v>298</v>
      </c>
      <c r="O119" s="17" t="s">
        <v>61</v>
      </c>
      <c r="P119" s="17" t="s">
        <v>202</v>
      </c>
      <c r="Q119" s="18"/>
      <c r="R119" s="52" t="s">
        <v>61</v>
      </c>
      <c r="S119" s="15" t="s">
        <v>67</v>
      </c>
      <c r="T119" s="15"/>
      <c r="U119" s="15"/>
      <c r="V119" s="80">
        <v>200</v>
      </c>
      <c r="W119" s="84">
        <v>210</v>
      </c>
      <c r="X119" s="15">
        <f t="shared" si="29"/>
        <v>210</v>
      </c>
      <c r="Y119" s="15">
        <f>ROUNDDOWN(W119/HLOOKUP(D119,Table!$C$3:$D$4,2,0)*8,2)</f>
        <v>3.73</v>
      </c>
      <c r="Z119" s="15">
        <v>2</v>
      </c>
      <c r="AA119" s="15" t="s">
        <v>74</v>
      </c>
      <c r="AB119" s="19">
        <v>43977</v>
      </c>
      <c r="AC119" s="19">
        <v>43970</v>
      </c>
      <c r="AD119" s="19">
        <v>43977</v>
      </c>
      <c r="AE119" s="19">
        <v>43973</v>
      </c>
      <c r="AF119" s="19">
        <v>43973</v>
      </c>
      <c r="AG119" s="19" t="s">
        <v>176</v>
      </c>
      <c r="AH119" s="31">
        <v>1</v>
      </c>
      <c r="AI119" s="31">
        <v>1</v>
      </c>
      <c r="AJ119" s="31">
        <v>1</v>
      </c>
      <c r="AK119" s="19" t="s">
        <v>150</v>
      </c>
      <c r="AL119" s="109" t="s">
        <v>61</v>
      </c>
      <c r="AM119" s="109" t="s">
        <v>61</v>
      </c>
      <c r="AN119" s="109" t="s">
        <v>61</v>
      </c>
    </row>
    <row r="120" spans="2:40" x14ac:dyDescent="0.25">
      <c r="B120" s="41">
        <f t="shared" si="21"/>
        <v>61</v>
      </c>
      <c r="C120" s="16">
        <v>20200519</v>
      </c>
      <c r="D120" s="15" t="s">
        <v>3</v>
      </c>
      <c r="E120" s="80" t="s">
        <v>283</v>
      </c>
      <c r="F120" s="93" t="s">
        <v>331</v>
      </c>
      <c r="G120" s="80">
        <v>1474054</v>
      </c>
      <c r="H120" s="52" t="s">
        <v>61</v>
      </c>
      <c r="I120" s="80" t="s">
        <v>218</v>
      </c>
      <c r="J120" s="52" t="s">
        <v>61</v>
      </c>
      <c r="K120" s="15" t="s">
        <v>184</v>
      </c>
      <c r="L120" s="15" t="s">
        <v>1029</v>
      </c>
      <c r="M120" s="80" t="s">
        <v>150</v>
      </c>
      <c r="N120" s="15" t="s">
        <v>298</v>
      </c>
      <c r="O120" s="17" t="s">
        <v>61</v>
      </c>
      <c r="P120" s="17" t="s">
        <v>202</v>
      </c>
      <c r="Q120" s="18"/>
      <c r="R120" s="52" t="s">
        <v>61</v>
      </c>
      <c r="S120" s="15" t="s">
        <v>67</v>
      </c>
      <c r="T120" s="15"/>
      <c r="U120" s="15"/>
      <c r="V120" s="80">
        <v>134</v>
      </c>
      <c r="W120" s="84">
        <v>146</v>
      </c>
      <c r="X120" s="15">
        <f t="shared" si="29"/>
        <v>146</v>
      </c>
      <c r="Y120" s="15">
        <f>ROUNDDOWN(W120/HLOOKUP(D120,Table!$C$3:$D$4,2,0)*8,2)</f>
        <v>2.59</v>
      </c>
      <c r="Z120" s="15">
        <v>2</v>
      </c>
      <c r="AA120" s="15" t="s">
        <v>74</v>
      </c>
      <c r="AB120" s="19">
        <v>43977</v>
      </c>
      <c r="AC120" s="19">
        <v>43970</v>
      </c>
      <c r="AD120" s="19">
        <v>43977</v>
      </c>
      <c r="AE120" s="19">
        <v>43976</v>
      </c>
      <c r="AF120" s="19">
        <v>43976</v>
      </c>
      <c r="AG120" s="19" t="s">
        <v>176</v>
      </c>
      <c r="AH120" s="31">
        <v>1</v>
      </c>
      <c r="AI120" s="31">
        <v>1</v>
      </c>
      <c r="AJ120" s="31">
        <v>1</v>
      </c>
      <c r="AK120" s="19" t="s">
        <v>150</v>
      </c>
      <c r="AL120" s="109" t="s">
        <v>61</v>
      </c>
      <c r="AM120" s="109" t="s">
        <v>61</v>
      </c>
      <c r="AN120" s="109" t="s">
        <v>61</v>
      </c>
    </row>
    <row r="121" spans="2:40" x14ac:dyDescent="0.25">
      <c r="B121" s="41">
        <f t="shared" si="21"/>
        <v>62</v>
      </c>
      <c r="C121" s="16">
        <v>20200519</v>
      </c>
      <c r="D121" s="15" t="s">
        <v>3</v>
      </c>
      <c r="E121" s="80" t="s">
        <v>283</v>
      </c>
      <c r="F121" s="93" t="s">
        <v>381</v>
      </c>
      <c r="G121" s="80">
        <v>1474054</v>
      </c>
      <c r="H121" s="52" t="s">
        <v>61</v>
      </c>
      <c r="I121" s="80" t="s">
        <v>187</v>
      </c>
      <c r="J121" s="52" t="s">
        <v>61</v>
      </c>
      <c r="K121" s="15" t="s">
        <v>184</v>
      </c>
      <c r="L121" s="15" t="s">
        <v>1029</v>
      </c>
      <c r="M121" s="80" t="s">
        <v>150</v>
      </c>
      <c r="N121" s="15" t="s">
        <v>298</v>
      </c>
      <c r="O121" s="17" t="s">
        <v>61</v>
      </c>
      <c r="P121" s="17" t="s">
        <v>202</v>
      </c>
      <c r="Q121" s="18"/>
      <c r="R121" s="52" t="s">
        <v>61</v>
      </c>
      <c r="S121" s="15" t="s">
        <v>69</v>
      </c>
      <c r="T121" s="15"/>
      <c r="U121" s="15"/>
      <c r="V121" s="80">
        <v>39</v>
      </c>
      <c r="W121" s="15">
        <f t="shared" si="26"/>
        <v>39</v>
      </c>
      <c r="X121" s="15">
        <f t="shared" si="29"/>
        <v>39</v>
      </c>
      <c r="Y121" s="15">
        <f>ROUNDDOWN(W121/HLOOKUP(D121,Table!$C$3:$D$4,2,0)*8,2)</f>
        <v>0.69</v>
      </c>
      <c r="Z121" s="15">
        <v>0.5</v>
      </c>
      <c r="AA121" s="15" t="s">
        <v>74</v>
      </c>
      <c r="AB121" s="19">
        <v>43977</v>
      </c>
      <c r="AC121" s="19">
        <v>43970</v>
      </c>
      <c r="AD121" s="19">
        <v>43977</v>
      </c>
      <c r="AE121" s="19">
        <v>43971</v>
      </c>
      <c r="AF121" s="19">
        <v>43971</v>
      </c>
      <c r="AG121" s="19" t="s">
        <v>177</v>
      </c>
      <c r="AH121" s="31">
        <v>0.64</v>
      </c>
      <c r="AI121" s="31">
        <v>1</v>
      </c>
      <c r="AJ121" s="31">
        <v>1</v>
      </c>
      <c r="AK121" s="19" t="s">
        <v>139</v>
      </c>
      <c r="AL121" s="15" t="s">
        <v>349</v>
      </c>
      <c r="AM121" s="96"/>
      <c r="AN121" s="96"/>
    </row>
    <row r="122" spans="2:40" x14ac:dyDescent="0.25">
      <c r="B122" s="41">
        <f t="shared" si="21"/>
        <v>63</v>
      </c>
      <c r="C122" s="16">
        <v>20200519</v>
      </c>
      <c r="D122" s="15" t="s">
        <v>3</v>
      </c>
      <c r="E122" s="80" t="s">
        <v>283</v>
      </c>
      <c r="F122" s="93" t="s">
        <v>332</v>
      </c>
      <c r="G122" s="80">
        <v>1474054</v>
      </c>
      <c r="H122" s="52" t="s">
        <v>61</v>
      </c>
      <c r="I122" s="80" t="s">
        <v>185</v>
      </c>
      <c r="J122" s="52" t="s">
        <v>61</v>
      </c>
      <c r="K122" s="15" t="s">
        <v>184</v>
      </c>
      <c r="L122" s="15" t="s">
        <v>1029</v>
      </c>
      <c r="M122" s="80" t="s">
        <v>150</v>
      </c>
      <c r="N122" s="80" t="s">
        <v>298</v>
      </c>
      <c r="O122" s="17" t="s">
        <v>61</v>
      </c>
      <c r="P122" s="17" t="s">
        <v>202</v>
      </c>
      <c r="Q122" s="18"/>
      <c r="R122" s="52" t="s">
        <v>61</v>
      </c>
      <c r="S122" s="15" t="s">
        <v>70</v>
      </c>
      <c r="T122" s="15"/>
      <c r="U122" s="15"/>
      <c r="V122" s="80">
        <v>82</v>
      </c>
      <c r="W122" s="15">
        <f t="shared" si="26"/>
        <v>82</v>
      </c>
      <c r="X122" s="15">
        <f t="shared" si="29"/>
        <v>82</v>
      </c>
      <c r="Y122" s="15">
        <f>ROUNDDOWN(W122/HLOOKUP(D122,Table!$C$3:$D$4,2,0)*8,2)</f>
        <v>1.45</v>
      </c>
      <c r="Z122" s="15">
        <v>1</v>
      </c>
      <c r="AA122" s="15" t="s">
        <v>74</v>
      </c>
      <c r="AB122" s="19">
        <v>43977</v>
      </c>
      <c r="AC122" s="19">
        <v>43970</v>
      </c>
      <c r="AD122" s="19">
        <v>43977</v>
      </c>
      <c r="AE122" s="19">
        <v>43971</v>
      </c>
      <c r="AF122" s="19">
        <v>43971</v>
      </c>
      <c r="AG122" s="19" t="s">
        <v>176</v>
      </c>
      <c r="AH122" s="31">
        <v>1</v>
      </c>
      <c r="AI122" s="31">
        <v>1</v>
      </c>
      <c r="AJ122" s="31">
        <v>1</v>
      </c>
      <c r="AK122" s="19" t="s">
        <v>150</v>
      </c>
      <c r="AL122" s="96" t="s">
        <v>61</v>
      </c>
      <c r="AM122" s="96" t="s">
        <v>61</v>
      </c>
      <c r="AN122" s="96" t="s">
        <v>61</v>
      </c>
    </row>
    <row r="123" spans="2:40" x14ac:dyDescent="0.25">
      <c r="B123" s="41">
        <f t="shared" si="21"/>
        <v>64</v>
      </c>
      <c r="C123" s="16">
        <v>20200519</v>
      </c>
      <c r="D123" s="15" t="s">
        <v>2</v>
      </c>
      <c r="E123" s="80" t="s">
        <v>216</v>
      </c>
      <c r="F123" s="93" t="s">
        <v>61</v>
      </c>
      <c r="G123" s="80">
        <v>1474071</v>
      </c>
      <c r="H123" s="52" t="s">
        <v>61</v>
      </c>
      <c r="I123" s="80" t="s">
        <v>294</v>
      </c>
      <c r="J123" s="52" t="s">
        <v>61</v>
      </c>
      <c r="K123" s="15" t="s">
        <v>146</v>
      </c>
      <c r="L123" s="15" t="s">
        <v>150</v>
      </c>
      <c r="M123" s="80" t="s">
        <v>217</v>
      </c>
      <c r="N123" s="80" t="s">
        <v>299</v>
      </c>
      <c r="O123" s="80">
        <v>1.2</v>
      </c>
      <c r="P123" s="77" t="s">
        <v>305</v>
      </c>
      <c r="Q123" s="18"/>
      <c r="R123" s="52" t="s">
        <v>61</v>
      </c>
      <c r="S123" s="15" t="s">
        <v>67</v>
      </c>
      <c r="T123" s="15"/>
      <c r="U123" s="15"/>
      <c r="V123" s="15">
        <v>20</v>
      </c>
      <c r="W123" s="15">
        <f t="shared" si="26"/>
        <v>20</v>
      </c>
      <c r="X123" s="15">
        <f>W123</f>
        <v>20</v>
      </c>
      <c r="Y123" s="15">
        <f>ROUNDDOWN(W123/HLOOKUP(D123,Table!$C$3:$D$4,2,0)*8,2)</f>
        <v>1.23</v>
      </c>
      <c r="Z123" s="15">
        <v>1</v>
      </c>
      <c r="AA123" s="15" t="s">
        <v>74</v>
      </c>
      <c r="AB123" s="19">
        <v>43977</v>
      </c>
      <c r="AC123" s="19">
        <v>43970</v>
      </c>
      <c r="AD123" s="19">
        <v>43977</v>
      </c>
      <c r="AE123" s="19">
        <v>43976</v>
      </c>
      <c r="AF123" s="19">
        <v>43976</v>
      </c>
      <c r="AG123" s="19" t="s">
        <v>177</v>
      </c>
      <c r="AH123" s="31">
        <v>1</v>
      </c>
      <c r="AI123" s="31">
        <v>1</v>
      </c>
      <c r="AJ123" s="31">
        <v>0.875</v>
      </c>
      <c r="AK123" s="19" t="s">
        <v>139</v>
      </c>
      <c r="AL123" s="136" t="s">
        <v>475</v>
      </c>
      <c r="AM123" s="109" t="s">
        <v>61</v>
      </c>
      <c r="AN123" s="136" t="s">
        <v>707</v>
      </c>
    </row>
    <row r="124" spans="2:40" x14ac:dyDescent="0.25">
      <c r="B124" s="41">
        <f t="shared" si="21"/>
        <v>65</v>
      </c>
      <c r="C124" s="16">
        <v>20200519</v>
      </c>
      <c r="D124" s="15" t="s">
        <v>2</v>
      </c>
      <c r="E124" s="80" t="s">
        <v>216</v>
      </c>
      <c r="F124" s="93" t="s">
        <v>61</v>
      </c>
      <c r="G124" s="80">
        <v>1475589</v>
      </c>
      <c r="H124" s="52"/>
      <c r="I124" s="80" t="s">
        <v>409</v>
      </c>
      <c r="J124" s="52"/>
      <c r="K124" s="15" t="s">
        <v>146</v>
      </c>
      <c r="L124" s="15" t="s">
        <v>150</v>
      </c>
      <c r="M124" s="80" t="s">
        <v>217</v>
      </c>
      <c r="N124" s="80" t="s">
        <v>410</v>
      </c>
      <c r="O124" s="17">
        <v>1.1000000000000001</v>
      </c>
      <c r="P124" s="77" t="s">
        <v>306</v>
      </c>
      <c r="Q124" s="18"/>
      <c r="R124" s="52" t="s">
        <v>61</v>
      </c>
      <c r="S124" s="15" t="s">
        <v>67</v>
      </c>
      <c r="T124" s="15"/>
      <c r="U124" s="15"/>
      <c r="V124" s="80">
        <v>16</v>
      </c>
      <c r="W124" s="15">
        <f t="shared" si="26"/>
        <v>16</v>
      </c>
      <c r="X124" s="15">
        <f t="shared" ref="X124:X126" si="30">W124</f>
        <v>16</v>
      </c>
      <c r="Y124" s="15">
        <f>ROUNDDOWN(W124/HLOOKUP(D124,Table!$C$3:$D$4,2,0)*8,2)</f>
        <v>0.98</v>
      </c>
      <c r="Z124" s="15">
        <v>1</v>
      </c>
      <c r="AA124" s="15" t="s">
        <v>74</v>
      </c>
      <c r="AB124" s="19">
        <v>43977</v>
      </c>
      <c r="AC124" s="19">
        <v>43970</v>
      </c>
      <c r="AD124" s="19">
        <v>43977</v>
      </c>
      <c r="AE124" s="19">
        <v>43973</v>
      </c>
      <c r="AF124" s="19">
        <v>43973</v>
      </c>
      <c r="AG124" s="19" t="s">
        <v>176</v>
      </c>
      <c r="AH124" s="31">
        <v>1</v>
      </c>
      <c r="AI124" s="31">
        <v>1</v>
      </c>
      <c r="AJ124" s="31">
        <v>1</v>
      </c>
      <c r="AK124" s="19" t="s">
        <v>150</v>
      </c>
      <c r="AL124" s="109" t="s">
        <v>61</v>
      </c>
      <c r="AM124" s="109" t="s">
        <v>61</v>
      </c>
      <c r="AN124" s="109" t="s">
        <v>61</v>
      </c>
    </row>
    <row r="125" spans="2:40" x14ac:dyDescent="0.25">
      <c r="B125" s="41">
        <f t="shared" si="21"/>
        <v>66</v>
      </c>
      <c r="C125" s="16">
        <v>20200519</v>
      </c>
      <c r="D125" s="15" t="s">
        <v>2</v>
      </c>
      <c r="E125" s="80" t="s">
        <v>216</v>
      </c>
      <c r="F125" s="93" t="s">
        <v>61</v>
      </c>
      <c r="G125" s="80">
        <v>1475589</v>
      </c>
      <c r="H125" s="52" t="s">
        <v>61</v>
      </c>
      <c r="I125" s="80" t="s">
        <v>295</v>
      </c>
      <c r="J125" s="52" t="s">
        <v>61</v>
      </c>
      <c r="K125" s="15" t="s">
        <v>146</v>
      </c>
      <c r="L125" s="15" t="s">
        <v>150</v>
      </c>
      <c r="M125" s="80" t="s">
        <v>217</v>
      </c>
      <c r="N125" s="80" t="s">
        <v>300</v>
      </c>
      <c r="O125" s="77" t="s">
        <v>302</v>
      </c>
      <c r="P125" s="77" t="s">
        <v>306</v>
      </c>
      <c r="Q125" s="18"/>
      <c r="R125" s="52" t="s">
        <v>61</v>
      </c>
      <c r="S125" s="15" t="s">
        <v>69</v>
      </c>
      <c r="T125" s="15"/>
      <c r="U125" s="15"/>
      <c r="V125" s="15">
        <v>10</v>
      </c>
      <c r="W125" s="15">
        <f t="shared" si="26"/>
        <v>10</v>
      </c>
      <c r="X125" s="15">
        <f t="shared" si="30"/>
        <v>10</v>
      </c>
      <c r="Y125" s="15">
        <f>ROUNDDOWN(W125/HLOOKUP(D125,Table!$C$3:$D$4,2,0)*8,2)</f>
        <v>0.61</v>
      </c>
      <c r="Z125" s="15">
        <v>0.5</v>
      </c>
      <c r="AA125" s="15" t="s">
        <v>74</v>
      </c>
      <c r="AB125" s="19">
        <v>43977</v>
      </c>
      <c r="AC125" s="19">
        <v>43970</v>
      </c>
      <c r="AD125" s="19">
        <v>43977</v>
      </c>
      <c r="AE125" s="19">
        <v>43971</v>
      </c>
      <c r="AF125" s="19">
        <v>43971</v>
      </c>
      <c r="AG125" s="19" t="s">
        <v>177</v>
      </c>
      <c r="AH125" s="31">
        <v>0.83</v>
      </c>
      <c r="AI125" s="31">
        <v>0.83</v>
      </c>
      <c r="AJ125" s="31">
        <v>0.71</v>
      </c>
      <c r="AK125" s="19" t="s">
        <v>150</v>
      </c>
      <c r="AL125" s="15" t="s">
        <v>364</v>
      </c>
      <c r="AM125" s="96"/>
      <c r="AN125" s="96"/>
    </row>
    <row r="126" spans="2:40" x14ac:dyDescent="0.25">
      <c r="B126" s="41">
        <f t="shared" ref="B126:B189" si="31">B125+1</f>
        <v>67</v>
      </c>
      <c r="C126" s="16">
        <v>20200519</v>
      </c>
      <c r="D126" s="15" t="s">
        <v>2</v>
      </c>
      <c r="E126" s="80" t="s">
        <v>216</v>
      </c>
      <c r="F126" s="93" t="s">
        <v>61</v>
      </c>
      <c r="G126" s="80">
        <v>1475589</v>
      </c>
      <c r="H126" s="52" t="s">
        <v>61</v>
      </c>
      <c r="I126" s="80" t="s">
        <v>296</v>
      </c>
      <c r="J126" s="52" t="s">
        <v>61</v>
      </c>
      <c r="K126" s="15" t="s">
        <v>146</v>
      </c>
      <c r="L126" s="15" t="s">
        <v>150</v>
      </c>
      <c r="M126" s="80" t="s">
        <v>217</v>
      </c>
      <c r="N126" s="80" t="s">
        <v>301</v>
      </c>
      <c r="O126" s="80">
        <v>1</v>
      </c>
      <c r="P126" s="77" t="s">
        <v>306</v>
      </c>
      <c r="Q126" s="18"/>
      <c r="R126" s="52" t="s">
        <v>61</v>
      </c>
      <c r="S126" s="15" t="s">
        <v>70</v>
      </c>
      <c r="T126" s="15"/>
      <c r="U126" s="15"/>
      <c r="V126" s="15">
        <v>11</v>
      </c>
      <c r="W126" s="15">
        <f t="shared" si="26"/>
        <v>11</v>
      </c>
      <c r="X126" s="15">
        <f t="shared" si="30"/>
        <v>11</v>
      </c>
      <c r="Y126" s="15">
        <f>ROUNDDOWN(W126/HLOOKUP(D126,Table!$C$3:$D$4,2,0)*8,2)</f>
        <v>0.67</v>
      </c>
      <c r="Z126" s="15">
        <v>0.5</v>
      </c>
      <c r="AA126" s="15" t="s">
        <v>74</v>
      </c>
      <c r="AB126" s="19">
        <v>43977</v>
      </c>
      <c r="AC126" s="19">
        <v>43970</v>
      </c>
      <c r="AD126" s="19">
        <v>43977</v>
      </c>
      <c r="AE126" s="19">
        <v>43971</v>
      </c>
      <c r="AF126" s="19">
        <v>43971</v>
      </c>
      <c r="AG126" s="19" t="s">
        <v>177</v>
      </c>
      <c r="AH126" s="31">
        <v>1</v>
      </c>
      <c r="AI126" s="31">
        <v>0.85699999999999998</v>
      </c>
      <c r="AJ126" s="31" t="s">
        <v>20</v>
      </c>
      <c r="AK126" s="19" t="s">
        <v>150</v>
      </c>
      <c r="AL126" s="109" t="s">
        <v>363</v>
      </c>
      <c r="AM126" s="96" t="s">
        <v>61</v>
      </c>
      <c r="AN126" s="96" t="s">
        <v>61</v>
      </c>
    </row>
    <row r="127" spans="2:40" x14ac:dyDescent="0.25">
      <c r="B127" s="92">
        <f t="shared" si="31"/>
        <v>68</v>
      </c>
      <c r="C127" s="16">
        <v>20200520</v>
      </c>
      <c r="D127" s="15" t="s">
        <v>3</v>
      </c>
      <c r="E127" s="15" t="s">
        <v>335</v>
      </c>
      <c r="F127" s="93" t="s">
        <v>365</v>
      </c>
      <c r="G127" s="17">
        <v>1329906</v>
      </c>
      <c r="H127" s="52" t="s">
        <v>61</v>
      </c>
      <c r="I127" s="15" t="s">
        <v>336</v>
      </c>
      <c r="J127" s="52" t="s">
        <v>61</v>
      </c>
      <c r="K127" s="15" t="s">
        <v>184</v>
      </c>
      <c r="L127" s="16" t="s">
        <v>150</v>
      </c>
      <c r="M127" s="15" t="s">
        <v>345</v>
      </c>
      <c r="N127" s="15" t="s">
        <v>195</v>
      </c>
      <c r="O127" s="17" t="s">
        <v>61</v>
      </c>
      <c r="P127" s="17" t="s">
        <v>347</v>
      </c>
      <c r="Q127" s="18"/>
      <c r="R127" s="52" t="s">
        <v>61</v>
      </c>
      <c r="S127" s="15" t="s">
        <v>142</v>
      </c>
      <c r="T127" s="15"/>
      <c r="U127" s="15"/>
      <c r="V127" s="15">
        <v>120</v>
      </c>
      <c r="W127" s="15">
        <f t="shared" ref="W127:W145" si="32">V127</f>
        <v>120</v>
      </c>
      <c r="X127" s="15">
        <v>120</v>
      </c>
      <c r="Y127" s="15">
        <f>ROUNDDOWN(W127/HLOOKUP(D127,Table!$C$3:$D$4,2,0)*8,2)</f>
        <v>2.13</v>
      </c>
      <c r="Z127" s="15">
        <v>2</v>
      </c>
      <c r="AA127" s="217" t="s">
        <v>74</v>
      </c>
      <c r="AB127" s="19">
        <v>43985</v>
      </c>
      <c r="AC127" s="19">
        <v>43971</v>
      </c>
      <c r="AD127" s="19">
        <v>43985</v>
      </c>
      <c r="AE127" s="19">
        <v>43971</v>
      </c>
      <c r="AF127" s="19">
        <v>43971</v>
      </c>
      <c r="AG127" s="19" t="s">
        <v>176</v>
      </c>
      <c r="AH127" s="31">
        <v>1</v>
      </c>
      <c r="AI127" s="31">
        <v>1</v>
      </c>
      <c r="AJ127" s="31">
        <v>1</v>
      </c>
      <c r="AK127" s="19" t="s">
        <v>150</v>
      </c>
      <c r="AL127" s="124" t="s">
        <v>61</v>
      </c>
      <c r="AM127" s="124" t="s">
        <v>61</v>
      </c>
      <c r="AN127" s="84" t="s">
        <v>346</v>
      </c>
    </row>
    <row r="128" spans="2:40" x14ac:dyDescent="0.25">
      <c r="B128" s="92">
        <f t="shared" si="31"/>
        <v>69</v>
      </c>
      <c r="C128" s="16">
        <v>20200520</v>
      </c>
      <c r="D128" s="15" t="s">
        <v>3</v>
      </c>
      <c r="E128" s="15" t="s">
        <v>335</v>
      </c>
      <c r="F128" s="93" t="s">
        <v>366</v>
      </c>
      <c r="G128" s="17">
        <v>1329906</v>
      </c>
      <c r="H128" s="52" t="s">
        <v>61</v>
      </c>
      <c r="I128" s="15" t="s">
        <v>287</v>
      </c>
      <c r="J128" s="52" t="s">
        <v>61</v>
      </c>
      <c r="K128" s="15" t="s">
        <v>184</v>
      </c>
      <c r="L128" s="16" t="s">
        <v>150</v>
      </c>
      <c r="M128" s="15" t="s">
        <v>345</v>
      </c>
      <c r="N128" s="15" t="s">
        <v>195</v>
      </c>
      <c r="O128" s="17" t="s">
        <v>61</v>
      </c>
      <c r="P128" s="17" t="s">
        <v>347</v>
      </c>
      <c r="Q128" s="18"/>
      <c r="R128" s="52" t="s">
        <v>61</v>
      </c>
      <c r="S128" s="15" t="s">
        <v>68</v>
      </c>
      <c r="T128" s="15"/>
      <c r="U128" s="15"/>
      <c r="V128" s="15">
        <v>800</v>
      </c>
      <c r="W128" s="15">
        <f t="shared" si="32"/>
        <v>800</v>
      </c>
      <c r="X128" s="15">
        <f>W128</f>
        <v>800</v>
      </c>
      <c r="Y128" s="15">
        <f>ROUNDDOWN(W128/HLOOKUP(D128,Table!$C$3:$D$4,2,0)*8,2)</f>
        <v>14.22</v>
      </c>
      <c r="Z128" s="15">
        <v>14</v>
      </c>
      <c r="AA128" s="217" t="s">
        <v>74</v>
      </c>
      <c r="AB128" s="19">
        <v>43985</v>
      </c>
      <c r="AC128" s="19">
        <v>43971</v>
      </c>
      <c r="AD128" s="19">
        <v>43985</v>
      </c>
      <c r="AE128" s="146">
        <v>43978</v>
      </c>
      <c r="AF128" s="146">
        <v>43978</v>
      </c>
      <c r="AG128" s="146" t="s">
        <v>176</v>
      </c>
      <c r="AH128" s="147">
        <v>1</v>
      </c>
      <c r="AI128" s="147">
        <v>1</v>
      </c>
      <c r="AJ128" s="147">
        <v>1</v>
      </c>
      <c r="AK128" s="146" t="s">
        <v>150</v>
      </c>
      <c r="AL128" s="15"/>
      <c r="AM128" s="15"/>
      <c r="AN128" s="84" t="s">
        <v>346</v>
      </c>
    </row>
    <row r="129" spans="2:40" x14ac:dyDescent="0.25">
      <c r="B129" s="92">
        <f t="shared" si="31"/>
        <v>70</v>
      </c>
      <c r="C129" s="16">
        <v>20200520</v>
      </c>
      <c r="D129" s="15" t="s">
        <v>3</v>
      </c>
      <c r="E129" s="15" t="s">
        <v>335</v>
      </c>
      <c r="F129" s="93" t="s">
        <v>367</v>
      </c>
      <c r="G129" s="17">
        <v>1329906</v>
      </c>
      <c r="H129" s="52" t="s">
        <v>61</v>
      </c>
      <c r="I129" s="15" t="s">
        <v>337</v>
      </c>
      <c r="J129" s="52" t="s">
        <v>61</v>
      </c>
      <c r="K129" s="15" t="s">
        <v>184</v>
      </c>
      <c r="L129" s="16" t="s">
        <v>150</v>
      </c>
      <c r="M129" s="15" t="s">
        <v>345</v>
      </c>
      <c r="N129" s="15" t="s">
        <v>195</v>
      </c>
      <c r="O129" s="17" t="s">
        <v>61</v>
      </c>
      <c r="P129" s="17" t="s">
        <v>347</v>
      </c>
      <c r="Q129" s="18"/>
      <c r="R129" s="52" t="s">
        <v>61</v>
      </c>
      <c r="S129" s="15" t="s">
        <v>142</v>
      </c>
      <c r="T129" s="15"/>
      <c r="U129" s="15"/>
      <c r="V129" s="15">
        <v>236</v>
      </c>
      <c r="W129" s="15">
        <f t="shared" si="32"/>
        <v>236</v>
      </c>
      <c r="X129" s="15">
        <v>236</v>
      </c>
      <c r="Y129" s="15">
        <f>ROUNDDOWN(W129/HLOOKUP(D129,Table!$C$3:$D$4,2,0)*8,2)</f>
        <v>4.1900000000000004</v>
      </c>
      <c r="Z129" s="15">
        <v>2</v>
      </c>
      <c r="AA129" s="217" t="s">
        <v>74</v>
      </c>
      <c r="AB129" s="19">
        <v>43985</v>
      </c>
      <c r="AC129" s="19">
        <v>43971</v>
      </c>
      <c r="AD129" s="19">
        <v>43985</v>
      </c>
      <c r="AE129" s="19">
        <v>43971</v>
      </c>
      <c r="AF129" s="19">
        <v>43971</v>
      </c>
      <c r="AG129" s="19" t="s">
        <v>176</v>
      </c>
      <c r="AH129" s="31">
        <v>1</v>
      </c>
      <c r="AI129" s="31">
        <v>1</v>
      </c>
      <c r="AJ129" s="31">
        <v>1</v>
      </c>
      <c r="AK129" s="19" t="s">
        <v>150</v>
      </c>
      <c r="AL129" s="124" t="s">
        <v>61</v>
      </c>
      <c r="AM129" s="124" t="s">
        <v>61</v>
      </c>
      <c r="AN129" s="84" t="s">
        <v>346</v>
      </c>
    </row>
    <row r="130" spans="2:40" x14ac:dyDescent="0.25">
      <c r="B130" s="92">
        <f t="shared" si="31"/>
        <v>71</v>
      </c>
      <c r="C130" s="16">
        <v>20200520</v>
      </c>
      <c r="D130" s="15" t="s">
        <v>3</v>
      </c>
      <c r="E130" s="15" t="s">
        <v>335</v>
      </c>
      <c r="F130" s="93" t="s">
        <v>368</v>
      </c>
      <c r="G130" s="17">
        <v>1329906</v>
      </c>
      <c r="H130" s="52" t="s">
        <v>61</v>
      </c>
      <c r="I130" s="15" t="s">
        <v>338</v>
      </c>
      <c r="J130" s="52" t="s">
        <v>61</v>
      </c>
      <c r="K130" s="15" t="s">
        <v>184</v>
      </c>
      <c r="L130" s="16" t="s">
        <v>150</v>
      </c>
      <c r="M130" s="15" t="s">
        <v>345</v>
      </c>
      <c r="N130" s="15" t="s">
        <v>195</v>
      </c>
      <c r="O130" s="17" t="s">
        <v>61</v>
      </c>
      <c r="P130" s="17" t="s">
        <v>347</v>
      </c>
      <c r="Q130" s="18"/>
      <c r="R130" s="52" t="s">
        <v>61</v>
      </c>
      <c r="S130" s="15" t="s">
        <v>142</v>
      </c>
      <c r="T130" s="15"/>
      <c r="U130" s="15"/>
      <c r="V130" s="15">
        <v>236</v>
      </c>
      <c r="W130" s="15">
        <f t="shared" si="32"/>
        <v>236</v>
      </c>
      <c r="X130" s="15">
        <f t="shared" ref="X130:X137" si="33">W130</f>
        <v>236</v>
      </c>
      <c r="Y130" s="15">
        <f>ROUNDDOWN(W130/HLOOKUP(D130,Table!$C$3:$D$4,2,0)*8,2)</f>
        <v>4.1900000000000004</v>
      </c>
      <c r="Z130" s="15">
        <v>2</v>
      </c>
      <c r="AA130" s="217" t="s">
        <v>74</v>
      </c>
      <c r="AB130" s="19">
        <v>43985</v>
      </c>
      <c r="AC130" s="19">
        <v>43971</v>
      </c>
      <c r="AD130" s="19">
        <v>43985</v>
      </c>
      <c r="AE130" s="19">
        <v>43971</v>
      </c>
      <c r="AF130" s="19">
        <v>43971</v>
      </c>
      <c r="AG130" s="19" t="s">
        <v>176</v>
      </c>
      <c r="AH130" s="31">
        <v>1</v>
      </c>
      <c r="AI130" s="31">
        <v>1</v>
      </c>
      <c r="AJ130" s="31">
        <v>1</v>
      </c>
      <c r="AK130" s="19" t="s">
        <v>150</v>
      </c>
      <c r="AL130" s="124" t="s">
        <v>61</v>
      </c>
      <c r="AM130" s="124" t="s">
        <v>61</v>
      </c>
      <c r="AN130" s="84" t="s">
        <v>346</v>
      </c>
    </row>
    <row r="131" spans="2:40" x14ac:dyDescent="0.25">
      <c r="B131" s="92">
        <f t="shared" si="31"/>
        <v>72</v>
      </c>
      <c r="C131" s="16">
        <v>20200520</v>
      </c>
      <c r="D131" s="15" t="s">
        <v>3</v>
      </c>
      <c r="E131" s="15" t="s">
        <v>335</v>
      </c>
      <c r="F131" s="93" t="s">
        <v>369</v>
      </c>
      <c r="G131" s="17">
        <v>1329906</v>
      </c>
      <c r="H131" s="52" t="s">
        <v>61</v>
      </c>
      <c r="I131" s="15" t="s">
        <v>339</v>
      </c>
      <c r="J131" s="52" t="s">
        <v>61</v>
      </c>
      <c r="K131" s="15" t="s">
        <v>184</v>
      </c>
      <c r="L131" s="16" t="s">
        <v>150</v>
      </c>
      <c r="M131" s="15" t="s">
        <v>345</v>
      </c>
      <c r="N131" s="15" t="s">
        <v>195</v>
      </c>
      <c r="O131" s="17" t="s">
        <v>61</v>
      </c>
      <c r="P131" s="17" t="s">
        <v>347</v>
      </c>
      <c r="Q131" s="18"/>
      <c r="R131" s="52" t="s">
        <v>61</v>
      </c>
      <c r="S131" s="15" t="s">
        <v>68</v>
      </c>
      <c r="T131" s="15"/>
      <c r="U131" s="15"/>
      <c r="V131" s="15">
        <v>288</v>
      </c>
      <c r="W131" s="15">
        <f t="shared" si="32"/>
        <v>288</v>
      </c>
      <c r="X131" s="15">
        <f t="shared" si="33"/>
        <v>288</v>
      </c>
      <c r="Y131" s="15">
        <f>ROUNDDOWN(W131/HLOOKUP(D131,Table!$C$3:$D$4,2,0)*8,2)</f>
        <v>5.12</v>
      </c>
      <c r="Z131" s="15">
        <v>5</v>
      </c>
      <c r="AA131" s="217" t="s">
        <v>74</v>
      </c>
      <c r="AB131" s="19">
        <v>43985</v>
      </c>
      <c r="AC131" s="19">
        <v>43971</v>
      </c>
      <c r="AD131" s="19">
        <v>43985</v>
      </c>
      <c r="AE131" s="146">
        <v>43978</v>
      </c>
      <c r="AF131" s="146">
        <v>43978</v>
      </c>
      <c r="AG131" s="146" t="s">
        <v>176</v>
      </c>
      <c r="AH131" s="147">
        <v>1</v>
      </c>
      <c r="AI131" s="147">
        <v>1</v>
      </c>
      <c r="AJ131" s="147">
        <v>1</v>
      </c>
      <c r="AK131" s="146" t="s">
        <v>150</v>
      </c>
      <c r="AL131" s="15"/>
      <c r="AM131" s="15"/>
      <c r="AN131" s="84" t="s">
        <v>346</v>
      </c>
    </row>
    <row r="132" spans="2:40" x14ac:dyDescent="0.25">
      <c r="B132" s="92">
        <f t="shared" si="31"/>
        <v>73</v>
      </c>
      <c r="C132" s="16">
        <v>20200520</v>
      </c>
      <c r="D132" s="15" t="s">
        <v>3</v>
      </c>
      <c r="E132" s="15" t="s">
        <v>335</v>
      </c>
      <c r="F132" s="93" t="s">
        <v>370</v>
      </c>
      <c r="G132" s="17">
        <v>1329906</v>
      </c>
      <c r="H132" s="52" t="s">
        <v>61</v>
      </c>
      <c r="I132" s="15" t="s">
        <v>340</v>
      </c>
      <c r="J132" s="52" t="s">
        <v>61</v>
      </c>
      <c r="K132" s="15" t="s">
        <v>184</v>
      </c>
      <c r="L132" s="16" t="s">
        <v>150</v>
      </c>
      <c r="M132" s="15" t="s">
        <v>345</v>
      </c>
      <c r="N132" s="15" t="s">
        <v>195</v>
      </c>
      <c r="O132" s="17" t="s">
        <v>61</v>
      </c>
      <c r="P132" s="17" t="s">
        <v>347</v>
      </c>
      <c r="Q132" s="18"/>
      <c r="R132" s="52" t="s">
        <v>61</v>
      </c>
      <c r="S132" s="15" t="s">
        <v>70</v>
      </c>
      <c r="T132" s="15"/>
      <c r="U132" s="15"/>
      <c r="V132" s="15">
        <v>124</v>
      </c>
      <c r="W132" s="15">
        <f t="shared" si="32"/>
        <v>124</v>
      </c>
      <c r="X132" s="15">
        <f t="shared" si="33"/>
        <v>124</v>
      </c>
      <c r="Y132" s="15">
        <f>ROUNDDOWN(W132/HLOOKUP(D132,Table!$C$3:$D$4,2,0)*8,2)</f>
        <v>2.2000000000000002</v>
      </c>
      <c r="Z132" s="15">
        <v>0.5</v>
      </c>
      <c r="AA132" s="217" t="s">
        <v>74</v>
      </c>
      <c r="AB132" s="19">
        <v>43985</v>
      </c>
      <c r="AC132" s="19">
        <v>43971</v>
      </c>
      <c r="AD132" s="19">
        <v>43985</v>
      </c>
      <c r="AE132" s="19">
        <v>43971</v>
      </c>
      <c r="AF132" s="19">
        <v>43971</v>
      </c>
      <c r="AG132" s="19" t="s">
        <v>177</v>
      </c>
      <c r="AH132" s="31">
        <v>1</v>
      </c>
      <c r="AI132" s="31">
        <v>1</v>
      </c>
      <c r="AJ132" s="31">
        <v>0.5</v>
      </c>
      <c r="AK132" s="19" t="s">
        <v>150</v>
      </c>
      <c r="AL132" s="17" t="s">
        <v>1129</v>
      </c>
      <c r="AM132" s="116" t="s">
        <v>61</v>
      </c>
      <c r="AN132" s="84" t="s">
        <v>346</v>
      </c>
    </row>
    <row r="133" spans="2:40" x14ac:dyDescent="0.25">
      <c r="B133" s="92">
        <f t="shared" si="31"/>
        <v>74</v>
      </c>
      <c r="C133" s="16">
        <v>20200520</v>
      </c>
      <c r="D133" s="15" t="s">
        <v>3</v>
      </c>
      <c r="E133" s="15" t="s">
        <v>335</v>
      </c>
      <c r="F133" s="93" t="s">
        <v>371</v>
      </c>
      <c r="G133" s="17">
        <v>1329906</v>
      </c>
      <c r="H133" s="52" t="s">
        <v>61</v>
      </c>
      <c r="I133" s="15" t="s">
        <v>341</v>
      </c>
      <c r="J133" s="52" t="s">
        <v>61</v>
      </c>
      <c r="K133" s="15" t="s">
        <v>184</v>
      </c>
      <c r="L133" s="16" t="s">
        <v>150</v>
      </c>
      <c r="M133" s="15" t="s">
        <v>345</v>
      </c>
      <c r="N133" s="15" t="s">
        <v>195</v>
      </c>
      <c r="O133" s="17" t="s">
        <v>61</v>
      </c>
      <c r="P133" s="17" t="s">
        <v>347</v>
      </c>
      <c r="Q133" s="18"/>
      <c r="R133" s="52" t="s">
        <v>61</v>
      </c>
      <c r="S133" s="15" t="s">
        <v>69</v>
      </c>
      <c r="T133" s="15"/>
      <c r="U133" s="15"/>
      <c r="V133" s="15">
        <v>724</v>
      </c>
      <c r="W133" s="15">
        <f t="shared" si="32"/>
        <v>724</v>
      </c>
      <c r="X133" s="15">
        <f t="shared" si="33"/>
        <v>724</v>
      </c>
      <c r="Y133" s="15">
        <f>ROUNDDOWN(W133/HLOOKUP(D133,Table!$C$3:$D$4,2,0)*8,2)</f>
        <v>12.87</v>
      </c>
      <c r="Z133" s="15">
        <v>8</v>
      </c>
      <c r="AA133" s="217" t="s">
        <v>74</v>
      </c>
      <c r="AB133" s="19">
        <v>43985</v>
      </c>
      <c r="AC133" s="19">
        <v>43971</v>
      </c>
      <c r="AD133" s="19">
        <v>43985</v>
      </c>
      <c r="AE133" s="19">
        <v>43973</v>
      </c>
      <c r="AF133" s="19">
        <v>43973</v>
      </c>
      <c r="AG133" s="19" t="s">
        <v>176</v>
      </c>
      <c r="AH133" s="31">
        <v>1</v>
      </c>
      <c r="AI133" s="31">
        <v>1</v>
      </c>
      <c r="AJ133" s="31">
        <v>1</v>
      </c>
      <c r="AK133" s="19" t="s">
        <v>150</v>
      </c>
      <c r="AL133" s="15"/>
      <c r="AM133" s="15"/>
      <c r="AN133" s="84" t="s">
        <v>346</v>
      </c>
    </row>
    <row r="134" spans="2:40" s="145" customFormat="1" x14ac:dyDescent="0.2">
      <c r="B134" s="150">
        <f t="shared" si="31"/>
        <v>75</v>
      </c>
      <c r="C134" s="126">
        <v>20200520</v>
      </c>
      <c r="D134" s="126" t="s">
        <v>3</v>
      </c>
      <c r="E134" s="126" t="s">
        <v>335</v>
      </c>
      <c r="F134" s="93" t="s">
        <v>372</v>
      </c>
      <c r="G134" s="130">
        <v>1329906</v>
      </c>
      <c r="H134" s="122" t="s">
        <v>61</v>
      </c>
      <c r="I134" s="126" t="s">
        <v>206</v>
      </c>
      <c r="J134" s="122" t="s">
        <v>61</v>
      </c>
      <c r="K134" s="126" t="s">
        <v>184</v>
      </c>
      <c r="L134" s="126" t="s">
        <v>150</v>
      </c>
      <c r="M134" s="126" t="s">
        <v>345</v>
      </c>
      <c r="N134" s="126" t="s">
        <v>195</v>
      </c>
      <c r="O134" s="130" t="s">
        <v>61</v>
      </c>
      <c r="P134" s="130" t="s">
        <v>347</v>
      </c>
      <c r="Q134" s="151"/>
      <c r="R134" s="122" t="s">
        <v>61</v>
      </c>
      <c r="S134" s="126" t="s">
        <v>68</v>
      </c>
      <c r="T134" s="143"/>
      <c r="U134" s="143"/>
      <c r="V134" s="126">
        <v>796</v>
      </c>
      <c r="W134" s="126">
        <f>V134</f>
        <v>796</v>
      </c>
      <c r="X134" s="126">
        <f t="shared" si="33"/>
        <v>796</v>
      </c>
      <c r="Y134" s="126">
        <f>ROUNDDOWN(W134/HLOOKUP(D134,Table!$C$3:$D$4,2,0)*8,2)</f>
        <v>14.15</v>
      </c>
      <c r="Z134" s="126">
        <v>14</v>
      </c>
      <c r="AA134" s="217" t="s">
        <v>74</v>
      </c>
      <c r="AB134" s="19">
        <v>43985</v>
      </c>
      <c r="AC134" s="127">
        <v>43971</v>
      </c>
      <c r="AD134" s="127">
        <v>43985</v>
      </c>
      <c r="AE134" s="127">
        <v>43978</v>
      </c>
      <c r="AF134" s="127">
        <v>43978</v>
      </c>
      <c r="AG134" s="144" t="s">
        <v>176</v>
      </c>
      <c r="AH134" s="128">
        <v>1</v>
      </c>
      <c r="AI134" s="128">
        <v>1</v>
      </c>
      <c r="AJ134" s="128">
        <v>1</v>
      </c>
      <c r="AK134" s="128" t="s">
        <v>150</v>
      </c>
      <c r="AL134" s="143"/>
      <c r="AM134" s="143"/>
      <c r="AN134" s="135" t="s">
        <v>346</v>
      </c>
    </row>
    <row r="135" spans="2:40" x14ac:dyDescent="0.25">
      <c r="B135" s="92">
        <f t="shared" si="31"/>
        <v>76</v>
      </c>
      <c r="C135" s="16">
        <v>20200520</v>
      </c>
      <c r="D135" s="15" t="s">
        <v>3</v>
      </c>
      <c r="E135" s="15" t="s">
        <v>335</v>
      </c>
      <c r="F135" s="93" t="s">
        <v>373</v>
      </c>
      <c r="G135" s="17">
        <v>1329906</v>
      </c>
      <c r="H135" s="52" t="s">
        <v>61</v>
      </c>
      <c r="I135" s="15" t="s">
        <v>292</v>
      </c>
      <c r="J135" s="52" t="s">
        <v>61</v>
      </c>
      <c r="K135" s="15" t="s">
        <v>184</v>
      </c>
      <c r="L135" s="16" t="s">
        <v>150</v>
      </c>
      <c r="M135" s="15" t="s">
        <v>345</v>
      </c>
      <c r="N135" s="15" t="s">
        <v>195</v>
      </c>
      <c r="O135" s="17" t="s">
        <v>61</v>
      </c>
      <c r="P135" s="17" t="s">
        <v>347</v>
      </c>
      <c r="Q135" s="18"/>
      <c r="R135" s="52" t="s">
        <v>61</v>
      </c>
      <c r="S135" s="15" t="s">
        <v>69</v>
      </c>
      <c r="T135" s="15"/>
      <c r="U135" s="15"/>
      <c r="V135" s="15">
        <v>476</v>
      </c>
      <c r="W135" s="15">
        <f t="shared" si="32"/>
        <v>476</v>
      </c>
      <c r="X135" s="15">
        <f t="shared" si="33"/>
        <v>476</v>
      </c>
      <c r="Y135" s="15">
        <f>ROUNDDOWN(W135/HLOOKUP(D135,Table!$C$3:$D$4,2,0)*8,2)</f>
        <v>8.4600000000000009</v>
      </c>
      <c r="Z135" s="15">
        <v>8</v>
      </c>
      <c r="AA135" s="217" t="s">
        <v>74</v>
      </c>
      <c r="AB135" s="19">
        <v>43985</v>
      </c>
      <c r="AC135" s="19">
        <v>43971</v>
      </c>
      <c r="AD135" s="19">
        <v>43985</v>
      </c>
      <c r="AE135" s="19">
        <v>43976</v>
      </c>
      <c r="AF135" s="19">
        <v>43976</v>
      </c>
      <c r="AG135" s="19" t="s">
        <v>176</v>
      </c>
      <c r="AH135" s="31">
        <v>1</v>
      </c>
      <c r="AI135" s="31">
        <v>1</v>
      </c>
      <c r="AJ135" s="31">
        <v>1</v>
      </c>
      <c r="AK135" s="19" t="s">
        <v>150</v>
      </c>
      <c r="AL135" s="15"/>
      <c r="AM135" s="15"/>
      <c r="AN135" s="84" t="s">
        <v>346</v>
      </c>
    </row>
    <row r="136" spans="2:40" s="129" customFormat="1" x14ac:dyDescent="0.25">
      <c r="B136" s="92">
        <f t="shared" si="31"/>
        <v>77</v>
      </c>
      <c r="C136" s="126">
        <v>20200520</v>
      </c>
      <c r="D136" s="126" t="s">
        <v>3</v>
      </c>
      <c r="E136" s="126" t="s">
        <v>335</v>
      </c>
      <c r="F136" s="93" t="s">
        <v>374</v>
      </c>
      <c r="G136" s="130">
        <v>1329906</v>
      </c>
      <c r="H136" s="52" t="s">
        <v>61</v>
      </c>
      <c r="I136" s="126" t="s">
        <v>342</v>
      </c>
      <c r="J136" s="52" t="s">
        <v>61</v>
      </c>
      <c r="K136" s="126" t="s">
        <v>184</v>
      </c>
      <c r="L136" s="126" t="s">
        <v>150</v>
      </c>
      <c r="M136" s="126" t="s">
        <v>345</v>
      </c>
      <c r="N136" s="126" t="s">
        <v>195</v>
      </c>
      <c r="O136" s="130" t="s">
        <v>61</v>
      </c>
      <c r="P136" s="130" t="s">
        <v>347</v>
      </c>
      <c r="Q136" s="18"/>
      <c r="R136" s="52" t="s">
        <v>61</v>
      </c>
      <c r="S136" s="126" t="s">
        <v>68</v>
      </c>
      <c r="T136" s="126"/>
      <c r="U136" s="126"/>
      <c r="V136" s="126">
        <v>424</v>
      </c>
      <c r="W136" s="126">
        <f>V136</f>
        <v>424</v>
      </c>
      <c r="X136" s="126">
        <f t="shared" si="33"/>
        <v>424</v>
      </c>
      <c r="Y136" s="126">
        <f>ROUNDDOWN(W136/HLOOKUP(D136,Table!$C$3:$D$4,2,0)*8,2)</f>
        <v>7.53</v>
      </c>
      <c r="Z136" s="126">
        <v>7</v>
      </c>
      <c r="AA136" s="217" t="s">
        <v>74</v>
      </c>
      <c r="AB136" s="19">
        <v>43985</v>
      </c>
      <c r="AC136" s="127">
        <v>43971</v>
      </c>
      <c r="AD136" s="127">
        <v>43985</v>
      </c>
      <c r="AE136" s="127">
        <v>43973</v>
      </c>
      <c r="AF136" s="127">
        <v>43973</v>
      </c>
      <c r="AG136" s="127" t="s">
        <v>176</v>
      </c>
      <c r="AH136" s="128">
        <v>1</v>
      </c>
      <c r="AI136" s="128">
        <v>1</v>
      </c>
      <c r="AJ136" s="128">
        <v>1</v>
      </c>
      <c r="AK136" s="127" t="s">
        <v>150</v>
      </c>
      <c r="AL136" s="126"/>
      <c r="AM136" s="126"/>
      <c r="AN136" s="84" t="s">
        <v>346</v>
      </c>
    </row>
    <row r="137" spans="2:40" s="129" customFormat="1" x14ac:dyDescent="0.25">
      <c r="B137" s="92">
        <f t="shared" si="31"/>
        <v>78</v>
      </c>
      <c r="C137" s="126">
        <v>20200520</v>
      </c>
      <c r="D137" s="126" t="s">
        <v>3</v>
      </c>
      <c r="E137" s="126" t="s">
        <v>335</v>
      </c>
      <c r="F137" s="93" t="s">
        <v>375</v>
      </c>
      <c r="G137" s="130">
        <v>1329906</v>
      </c>
      <c r="H137" s="52" t="s">
        <v>61</v>
      </c>
      <c r="I137" s="126" t="s">
        <v>343</v>
      </c>
      <c r="J137" s="52" t="s">
        <v>61</v>
      </c>
      <c r="K137" s="126" t="s">
        <v>184</v>
      </c>
      <c r="L137" s="126" t="s">
        <v>150</v>
      </c>
      <c r="M137" s="126" t="s">
        <v>345</v>
      </c>
      <c r="N137" s="126" t="s">
        <v>195</v>
      </c>
      <c r="O137" s="130" t="s">
        <v>61</v>
      </c>
      <c r="P137" s="130" t="s">
        <v>347</v>
      </c>
      <c r="Q137" s="18"/>
      <c r="R137" s="52" t="s">
        <v>61</v>
      </c>
      <c r="S137" s="126" t="s">
        <v>68</v>
      </c>
      <c r="T137" s="126"/>
      <c r="U137" s="126"/>
      <c r="V137" s="126">
        <v>948</v>
      </c>
      <c r="W137" s="126">
        <f>V137</f>
        <v>948</v>
      </c>
      <c r="X137" s="126">
        <f t="shared" si="33"/>
        <v>948</v>
      </c>
      <c r="Y137" s="126">
        <f>ROUNDDOWN(W137/HLOOKUP(D137,Table!$C$3:$D$4,2,0)*8,2)</f>
        <v>16.850000000000001</v>
      </c>
      <c r="Z137" s="126">
        <v>8</v>
      </c>
      <c r="AA137" s="126" t="s">
        <v>74</v>
      </c>
      <c r="AB137" s="167">
        <v>43976</v>
      </c>
      <c r="AC137" s="127">
        <v>43971</v>
      </c>
      <c r="AD137" s="127">
        <v>43976</v>
      </c>
      <c r="AE137" s="127">
        <v>43972</v>
      </c>
      <c r="AF137" s="127">
        <v>43972</v>
      </c>
      <c r="AG137" s="127" t="s">
        <v>176</v>
      </c>
      <c r="AH137" s="128">
        <v>1</v>
      </c>
      <c r="AI137" s="128">
        <v>1</v>
      </c>
      <c r="AJ137" s="128">
        <v>1</v>
      </c>
      <c r="AK137" s="127" t="s">
        <v>150</v>
      </c>
      <c r="AL137" s="126"/>
      <c r="AM137" s="126"/>
      <c r="AN137" s="84" t="s">
        <v>346</v>
      </c>
    </row>
    <row r="138" spans="2:40" x14ac:dyDescent="0.25">
      <c r="B138" s="92">
        <f t="shared" si="31"/>
        <v>79</v>
      </c>
      <c r="C138" s="16">
        <v>20200520</v>
      </c>
      <c r="D138" s="15" t="s">
        <v>3</v>
      </c>
      <c r="E138" s="15" t="s">
        <v>335</v>
      </c>
      <c r="F138" s="93" t="s">
        <v>376</v>
      </c>
      <c r="G138" s="17">
        <v>1329906</v>
      </c>
      <c r="H138" s="52" t="s">
        <v>61</v>
      </c>
      <c r="I138" s="15" t="s">
        <v>215</v>
      </c>
      <c r="J138" s="52" t="s">
        <v>61</v>
      </c>
      <c r="K138" s="15" t="s">
        <v>184</v>
      </c>
      <c r="L138" s="16" t="s">
        <v>150</v>
      </c>
      <c r="M138" s="15" t="s">
        <v>345</v>
      </c>
      <c r="N138" s="15" t="s">
        <v>195</v>
      </c>
      <c r="O138" s="17" t="s">
        <v>61</v>
      </c>
      <c r="P138" s="17" t="s">
        <v>347</v>
      </c>
      <c r="Q138" s="18"/>
      <c r="R138" s="52" t="s">
        <v>61</v>
      </c>
      <c r="S138" s="15" t="s">
        <v>70</v>
      </c>
      <c r="T138" s="15"/>
      <c r="U138" s="15"/>
      <c r="V138" s="15">
        <v>360</v>
      </c>
      <c r="W138" s="15">
        <f t="shared" si="32"/>
        <v>360</v>
      </c>
      <c r="X138" s="15">
        <f t="shared" ref="X138:X144" si="34">W138</f>
        <v>360</v>
      </c>
      <c r="Y138" s="15">
        <f>ROUNDDOWN(W138/HLOOKUP(D138,Table!$C$3:$D$4,2,0)*8,2)</f>
        <v>6.4</v>
      </c>
      <c r="Z138" s="15">
        <v>0.5</v>
      </c>
      <c r="AA138" s="126" t="s">
        <v>74</v>
      </c>
      <c r="AB138" s="167">
        <v>43976</v>
      </c>
      <c r="AC138" s="19">
        <v>43971</v>
      </c>
      <c r="AD138" s="99">
        <v>43976</v>
      </c>
      <c r="AE138" s="19">
        <v>43971</v>
      </c>
      <c r="AF138" s="19">
        <v>43971</v>
      </c>
      <c r="AG138" s="19" t="s">
        <v>176</v>
      </c>
      <c r="AH138" s="31">
        <v>1</v>
      </c>
      <c r="AI138" s="31">
        <v>1</v>
      </c>
      <c r="AJ138" s="31">
        <v>1</v>
      </c>
      <c r="AK138" s="19" t="s">
        <v>150</v>
      </c>
      <c r="AL138" s="116" t="s">
        <v>61</v>
      </c>
      <c r="AM138" s="116" t="s">
        <v>61</v>
      </c>
      <c r="AN138" s="84" t="s">
        <v>346</v>
      </c>
    </row>
    <row r="139" spans="2:40" x14ac:dyDescent="0.25">
      <c r="B139" s="92">
        <f t="shared" si="31"/>
        <v>80</v>
      </c>
      <c r="C139" s="16">
        <v>20200520</v>
      </c>
      <c r="D139" s="15" t="s">
        <v>3</v>
      </c>
      <c r="E139" s="15" t="s">
        <v>335</v>
      </c>
      <c r="F139" s="93" t="s">
        <v>377</v>
      </c>
      <c r="G139" s="17">
        <v>1329906</v>
      </c>
      <c r="H139" s="52" t="s">
        <v>61</v>
      </c>
      <c r="I139" s="15" t="s">
        <v>344</v>
      </c>
      <c r="J139" s="52" t="s">
        <v>61</v>
      </c>
      <c r="K139" s="15" t="s">
        <v>184</v>
      </c>
      <c r="L139" s="16" t="s">
        <v>150</v>
      </c>
      <c r="M139" s="15" t="s">
        <v>345</v>
      </c>
      <c r="N139" s="15" t="s">
        <v>195</v>
      </c>
      <c r="O139" s="17" t="s">
        <v>61</v>
      </c>
      <c r="P139" s="17" t="s">
        <v>347</v>
      </c>
      <c r="Q139" s="18"/>
      <c r="R139" s="52" t="s">
        <v>61</v>
      </c>
      <c r="S139" s="15" t="s">
        <v>70</v>
      </c>
      <c r="T139" s="15"/>
      <c r="U139" s="15"/>
      <c r="V139" s="15">
        <v>604</v>
      </c>
      <c r="W139" s="15">
        <f t="shared" si="32"/>
        <v>604</v>
      </c>
      <c r="X139" s="15">
        <f t="shared" si="34"/>
        <v>604</v>
      </c>
      <c r="Y139" s="15">
        <f>ROUNDDOWN(W139/HLOOKUP(D139,Table!$C$3:$D$4,2,0)*8,2)</f>
        <v>10.73</v>
      </c>
      <c r="Z139" s="15">
        <v>1</v>
      </c>
      <c r="AA139" s="126" t="s">
        <v>74</v>
      </c>
      <c r="AB139" s="167">
        <v>43976</v>
      </c>
      <c r="AC139" s="19">
        <v>43971</v>
      </c>
      <c r="AD139" s="99">
        <v>43976</v>
      </c>
      <c r="AE139" s="19">
        <v>43971</v>
      </c>
      <c r="AF139" s="19">
        <v>43971</v>
      </c>
      <c r="AG139" s="19" t="s">
        <v>176</v>
      </c>
      <c r="AH139" s="31">
        <v>1</v>
      </c>
      <c r="AI139" s="31">
        <v>1</v>
      </c>
      <c r="AJ139" s="31">
        <v>1</v>
      </c>
      <c r="AK139" s="19" t="s">
        <v>150</v>
      </c>
      <c r="AL139" s="116" t="s">
        <v>61</v>
      </c>
      <c r="AM139" s="116" t="s">
        <v>61</v>
      </c>
      <c r="AN139" s="84" t="s">
        <v>346</v>
      </c>
    </row>
    <row r="140" spans="2:40" x14ac:dyDescent="0.25">
      <c r="B140" s="92">
        <f t="shared" si="31"/>
        <v>81</v>
      </c>
      <c r="C140" s="16">
        <v>20200520</v>
      </c>
      <c r="D140" s="15" t="s">
        <v>3</v>
      </c>
      <c r="E140" s="15" t="s">
        <v>335</v>
      </c>
      <c r="F140" s="93" t="s">
        <v>378</v>
      </c>
      <c r="G140" s="17">
        <v>1329906</v>
      </c>
      <c r="H140" s="52" t="s">
        <v>61</v>
      </c>
      <c r="I140" s="15" t="s">
        <v>207</v>
      </c>
      <c r="J140" s="52" t="s">
        <v>61</v>
      </c>
      <c r="K140" s="15" t="s">
        <v>184</v>
      </c>
      <c r="L140" s="16" t="s">
        <v>150</v>
      </c>
      <c r="M140" s="15" t="s">
        <v>345</v>
      </c>
      <c r="N140" s="15" t="s">
        <v>195</v>
      </c>
      <c r="O140" s="17" t="s">
        <v>61</v>
      </c>
      <c r="P140" s="17" t="s">
        <v>347</v>
      </c>
      <c r="Q140" s="18"/>
      <c r="R140" s="52" t="s">
        <v>61</v>
      </c>
      <c r="S140" s="15" t="s">
        <v>69</v>
      </c>
      <c r="T140" s="15"/>
      <c r="U140" s="15"/>
      <c r="V140" s="15">
        <v>708</v>
      </c>
      <c r="W140" s="15">
        <f t="shared" si="32"/>
        <v>708</v>
      </c>
      <c r="X140" s="15">
        <f t="shared" si="34"/>
        <v>708</v>
      </c>
      <c r="Y140" s="15">
        <f>ROUNDDOWN(W140/HLOOKUP(D140,Table!$C$3:$D$4,2,0)*8,2)</f>
        <v>12.58</v>
      </c>
      <c r="Z140" s="15">
        <v>8</v>
      </c>
      <c r="AA140" s="126" t="s">
        <v>74</v>
      </c>
      <c r="AB140" s="167">
        <v>43976</v>
      </c>
      <c r="AC140" s="19">
        <v>43971</v>
      </c>
      <c r="AD140" s="99">
        <v>43976</v>
      </c>
      <c r="AE140" s="19">
        <v>43971</v>
      </c>
      <c r="AF140" s="19">
        <v>43971</v>
      </c>
      <c r="AG140" s="19" t="s">
        <v>176</v>
      </c>
      <c r="AH140" s="31">
        <v>1</v>
      </c>
      <c r="AI140" s="31">
        <v>1</v>
      </c>
      <c r="AJ140" s="31">
        <v>1</v>
      </c>
      <c r="AK140" s="19" t="s">
        <v>150</v>
      </c>
      <c r="AL140" s="15"/>
      <c r="AM140" s="15"/>
      <c r="AN140" s="84" t="s">
        <v>346</v>
      </c>
    </row>
    <row r="141" spans="2:40" x14ac:dyDescent="0.25">
      <c r="B141" s="92">
        <f t="shared" si="31"/>
        <v>82</v>
      </c>
      <c r="C141" s="16">
        <v>20200520</v>
      </c>
      <c r="D141" s="15" t="s">
        <v>3</v>
      </c>
      <c r="E141" s="80" t="s">
        <v>335</v>
      </c>
      <c r="F141" s="93" t="s">
        <v>375</v>
      </c>
      <c r="G141" s="80">
        <v>1470767</v>
      </c>
      <c r="H141" s="52" t="s">
        <v>61</v>
      </c>
      <c r="I141" s="80" t="s">
        <v>343</v>
      </c>
      <c r="J141" s="52" t="s">
        <v>61</v>
      </c>
      <c r="K141" s="15" t="s">
        <v>184</v>
      </c>
      <c r="L141" s="16" t="s">
        <v>150</v>
      </c>
      <c r="M141" s="15" t="s">
        <v>345</v>
      </c>
      <c r="N141" s="80" t="s">
        <v>195</v>
      </c>
      <c r="O141" s="17" t="s">
        <v>61</v>
      </c>
      <c r="P141" s="77" t="s">
        <v>355</v>
      </c>
      <c r="Q141" s="18"/>
      <c r="R141" s="52" t="s">
        <v>61</v>
      </c>
      <c r="S141" s="15" t="s">
        <v>69</v>
      </c>
      <c r="T141" s="15"/>
      <c r="U141" s="15"/>
      <c r="V141" s="80">
        <v>474</v>
      </c>
      <c r="W141" s="15">
        <f>V141</f>
        <v>474</v>
      </c>
      <c r="X141" s="15">
        <f t="shared" si="34"/>
        <v>474</v>
      </c>
      <c r="Y141" s="15">
        <f>ROUNDDOWN(W141/HLOOKUP(D141,Table!$C$3:$D$4,2,0)*8,2)</f>
        <v>8.42</v>
      </c>
      <c r="Z141" s="15">
        <v>4</v>
      </c>
      <c r="AA141" s="126" t="s">
        <v>74</v>
      </c>
      <c r="AB141" s="167">
        <v>43976</v>
      </c>
      <c r="AC141" s="19">
        <v>43971</v>
      </c>
      <c r="AD141" s="99">
        <v>43976</v>
      </c>
      <c r="AE141" s="19">
        <v>43972</v>
      </c>
      <c r="AF141" s="19">
        <v>43972</v>
      </c>
      <c r="AG141" s="19" t="s">
        <v>176</v>
      </c>
      <c r="AH141" s="31">
        <v>1</v>
      </c>
      <c r="AI141" s="31">
        <v>1</v>
      </c>
      <c r="AJ141" s="31">
        <v>1</v>
      </c>
      <c r="AK141" s="19" t="s">
        <v>150</v>
      </c>
      <c r="AL141" s="15"/>
      <c r="AM141" s="15"/>
      <c r="AN141" s="84" t="s">
        <v>346</v>
      </c>
    </row>
    <row r="142" spans="2:40" x14ac:dyDescent="0.25">
      <c r="B142" s="92">
        <f t="shared" si="31"/>
        <v>83</v>
      </c>
      <c r="C142" s="16">
        <v>20200520</v>
      </c>
      <c r="D142" s="15" t="s">
        <v>3</v>
      </c>
      <c r="E142" s="80" t="s">
        <v>350</v>
      </c>
      <c r="F142" s="93" t="s">
        <v>382</v>
      </c>
      <c r="G142" s="80">
        <v>1470769</v>
      </c>
      <c r="H142" s="52" t="s">
        <v>61</v>
      </c>
      <c r="I142" s="80" t="s">
        <v>343</v>
      </c>
      <c r="J142" s="52" t="s">
        <v>61</v>
      </c>
      <c r="K142" s="15" t="s">
        <v>184</v>
      </c>
      <c r="L142" s="16" t="s">
        <v>150</v>
      </c>
      <c r="M142" s="80" t="s">
        <v>353</v>
      </c>
      <c r="N142" s="80" t="s">
        <v>354</v>
      </c>
      <c r="O142" s="17" t="s">
        <v>61</v>
      </c>
      <c r="P142" s="77" t="s">
        <v>355</v>
      </c>
      <c r="Q142" s="18"/>
      <c r="R142" s="52" t="s">
        <v>61</v>
      </c>
      <c r="S142" s="15" t="s">
        <v>69</v>
      </c>
      <c r="T142" s="15"/>
      <c r="U142" s="15"/>
      <c r="V142" s="80">
        <v>474</v>
      </c>
      <c r="W142" s="15">
        <f>V142</f>
        <v>474</v>
      </c>
      <c r="X142" s="15">
        <f t="shared" si="34"/>
        <v>474</v>
      </c>
      <c r="Y142" s="15">
        <f>ROUNDDOWN(W142/HLOOKUP(D142,Table!$C$3:$D$4,2,0)*8,2)</f>
        <v>8.42</v>
      </c>
      <c r="Z142" s="15">
        <v>4</v>
      </c>
      <c r="AA142" s="126" t="s">
        <v>74</v>
      </c>
      <c r="AB142" s="167">
        <v>43976</v>
      </c>
      <c r="AC142" s="19">
        <v>43971</v>
      </c>
      <c r="AD142" s="99">
        <v>43976</v>
      </c>
      <c r="AE142" s="19">
        <v>43972</v>
      </c>
      <c r="AF142" s="19">
        <v>43972</v>
      </c>
      <c r="AG142" s="19" t="s">
        <v>176</v>
      </c>
      <c r="AH142" s="31">
        <v>1</v>
      </c>
      <c r="AI142" s="31">
        <v>1</v>
      </c>
      <c r="AJ142" s="31">
        <v>1</v>
      </c>
      <c r="AK142" s="19" t="s">
        <v>150</v>
      </c>
      <c r="AL142" s="15"/>
      <c r="AM142" s="15"/>
      <c r="AN142" s="84" t="s">
        <v>346</v>
      </c>
    </row>
    <row r="143" spans="2:40" x14ac:dyDescent="0.25">
      <c r="B143" s="92">
        <f t="shared" si="31"/>
        <v>84</v>
      </c>
      <c r="C143" s="16">
        <v>20200520</v>
      </c>
      <c r="D143" s="15" t="s">
        <v>3</v>
      </c>
      <c r="E143" s="80" t="s">
        <v>350</v>
      </c>
      <c r="F143" s="93" t="s">
        <v>392</v>
      </c>
      <c r="G143" s="80">
        <v>1459843</v>
      </c>
      <c r="H143" s="52" t="s">
        <v>61</v>
      </c>
      <c r="I143" s="80" t="s">
        <v>351</v>
      </c>
      <c r="J143" s="52" t="s">
        <v>61</v>
      </c>
      <c r="K143" s="15" t="s">
        <v>184</v>
      </c>
      <c r="L143" s="16" t="s">
        <v>150</v>
      </c>
      <c r="M143" s="15" t="s">
        <v>353</v>
      </c>
      <c r="N143" s="80" t="s">
        <v>354</v>
      </c>
      <c r="O143" s="17" t="s">
        <v>61</v>
      </c>
      <c r="P143" s="77" t="s">
        <v>356</v>
      </c>
      <c r="Q143" s="18"/>
      <c r="R143" s="52" t="s">
        <v>61</v>
      </c>
      <c r="S143" s="15" t="s">
        <v>68</v>
      </c>
      <c r="T143" s="15"/>
      <c r="U143" s="15"/>
      <c r="V143" s="80">
        <v>20</v>
      </c>
      <c r="W143" s="15">
        <f>V143</f>
        <v>20</v>
      </c>
      <c r="X143" s="15">
        <f t="shared" si="34"/>
        <v>20</v>
      </c>
      <c r="Y143" s="15">
        <f>ROUNDDOWN(W143/HLOOKUP(D143,Table!$C$3:$D$4,2,0)*8,2)</f>
        <v>0.35</v>
      </c>
      <c r="Z143" s="15">
        <v>0.2</v>
      </c>
      <c r="AA143" s="126" t="s">
        <v>74</v>
      </c>
      <c r="AB143" s="167">
        <v>43976</v>
      </c>
      <c r="AC143" s="19">
        <v>43971</v>
      </c>
      <c r="AD143" s="99">
        <v>43976</v>
      </c>
      <c r="AE143" s="19">
        <v>43972</v>
      </c>
      <c r="AF143" s="19">
        <v>43972</v>
      </c>
      <c r="AG143" s="19" t="s">
        <v>176</v>
      </c>
      <c r="AH143" s="31">
        <v>1</v>
      </c>
      <c r="AI143" s="31">
        <v>1</v>
      </c>
      <c r="AJ143" s="31">
        <v>1</v>
      </c>
      <c r="AK143" s="19" t="s">
        <v>150</v>
      </c>
      <c r="AL143" s="15"/>
      <c r="AM143" s="15"/>
      <c r="AN143" s="84" t="s">
        <v>346</v>
      </c>
    </row>
    <row r="144" spans="2:40" x14ac:dyDescent="0.25">
      <c r="B144" s="92">
        <f t="shared" si="31"/>
        <v>85</v>
      </c>
      <c r="C144" s="16">
        <v>20200520</v>
      </c>
      <c r="D144" s="15" t="s">
        <v>3</v>
      </c>
      <c r="E144" s="80" t="s">
        <v>350</v>
      </c>
      <c r="F144" s="93" t="s">
        <v>391</v>
      </c>
      <c r="G144" s="80">
        <v>1459843</v>
      </c>
      <c r="H144" s="52" t="s">
        <v>61</v>
      </c>
      <c r="I144" s="80" t="s">
        <v>352</v>
      </c>
      <c r="J144" s="52" t="s">
        <v>61</v>
      </c>
      <c r="K144" s="15" t="s">
        <v>184</v>
      </c>
      <c r="L144" s="16" t="s">
        <v>150</v>
      </c>
      <c r="M144" s="15" t="s">
        <v>353</v>
      </c>
      <c r="N144" s="80" t="s">
        <v>354</v>
      </c>
      <c r="O144" s="17" t="s">
        <v>61</v>
      </c>
      <c r="P144" s="77" t="s">
        <v>356</v>
      </c>
      <c r="Q144" s="18"/>
      <c r="R144" s="52" t="s">
        <v>61</v>
      </c>
      <c r="S144" s="15" t="s">
        <v>68</v>
      </c>
      <c r="T144" s="15"/>
      <c r="U144" s="15"/>
      <c r="V144" s="80">
        <v>64</v>
      </c>
      <c r="W144" s="15">
        <f>V144</f>
        <v>64</v>
      </c>
      <c r="X144" s="15">
        <f t="shared" si="34"/>
        <v>64</v>
      </c>
      <c r="Y144" s="15">
        <f>ROUNDDOWN(W144/HLOOKUP(D144,Table!$C$3:$D$4,2,0)*8,2)</f>
        <v>1.1299999999999999</v>
      </c>
      <c r="Z144" s="15">
        <v>1</v>
      </c>
      <c r="AA144" s="126" t="s">
        <v>74</v>
      </c>
      <c r="AB144" s="167">
        <v>43976</v>
      </c>
      <c r="AC144" s="19">
        <v>43971</v>
      </c>
      <c r="AD144" s="99">
        <v>43976</v>
      </c>
      <c r="AE144" s="19">
        <v>43972</v>
      </c>
      <c r="AF144" s="19">
        <v>43972</v>
      </c>
      <c r="AG144" s="19" t="s">
        <v>176</v>
      </c>
      <c r="AH144" s="31">
        <v>1</v>
      </c>
      <c r="AI144" s="31">
        <v>1</v>
      </c>
      <c r="AJ144" s="31">
        <v>1</v>
      </c>
      <c r="AK144" s="19" t="s">
        <v>150</v>
      </c>
      <c r="AL144" s="15"/>
      <c r="AM144" s="15"/>
      <c r="AN144" s="84" t="s">
        <v>346</v>
      </c>
    </row>
    <row r="145" spans="2:40" x14ac:dyDescent="0.25">
      <c r="B145" s="92">
        <f t="shared" si="31"/>
        <v>86</v>
      </c>
      <c r="C145" s="16">
        <v>20200520</v>
      </c>
      <c r="D145" s="15" t="s">
        <v>3</v>
      </c>
      <c r="E145" s="15" t="s">
        <v>335</v>
      </c>
      <c r="F145" s="93" t="s">
        <v>379</v>
      </c>
      <c r="G145" s="17">
        <v>1373116</v>
      </c>
      <c r="H145" s="52" t="s">
        <v>61</v>
      </c>
      <c r="I145" s="15" t="s">
        <v>842</v>
      </c>
      <c r="J145" s="52" t="s">
        <v>61</v>
      </c>
      <c r="K145" s="15" t="s">
        <v>184</v>
      </c>
      <c r="L145" s="16" t="s">
        <v>150</v>
      </c>
      <c r="M145" s="15" t="s">
        <v>345</v>
      </c>
      <c r="N145" s="15" t="s">
        <v>195</v>
      </c>
      <c r="O145" s="17" t="s">
        <v>61</v>
      </c>
      <c r="P145" s="17" t="s">
        <v>347</v>
      </c>
      <c r="Q145" s="18"/>
      <c r="R145" s="52" t="s">
        <v>61</v>
      </c>
      <c r="S145" s="15" t="s">
        <v>67</v>
      </c>
      <c r="T145" s="15"/>
      <c r="U145" s="15"/>
      <c r="V145" s="15">
        <v>2892</v>
      </c>
      <c r="W145" s="15">
        <f t="shared" si="32"/>
        <v>2892</v>
      </c>
      <c r="X145" s="15">
        <f t="shared" ref="X145:X150" si="35">W145</f>
        <v>2892</v>
      </c>
      <c r="Y145" s="15">
        <f>ROUNDDOWN(W145/HLOOKUP(D145,Table!$C$3:$D$4,2,0)*8,2)</f>
        <v>51.41</v>
      </c>
      <c r="Z145" s="15">
        <v>12</v>
      </c>
      <c r="AA145" s="15" t="s">
        <v>74</v>
      </c>
      <c r="AB145" s="19">
        <v>43985</v>
      </c>
      <c r="AC145" s="19">
        <v>43971</v>
      </c>
      <c r="AD145" s="19">
        <v>43985</v>
      </c>
      <c r="AE145" s="19">
        <v>43979</v>
      </c>
      <c r="AF145" s="19">
        <v>43979</v>
      </c>
      <c r="AG145" s="19" t="s">
        <v>176</v>
      </c>
      <c r="AH145" s="31">
        <v>1</v>
      </c>
      <c r="AI145" s="31">
        <v>1</v>
      </c>
      <c r="AJ145" s="31">
        <v>1</v>
      </c>
      <c r="AK145" s="19" t="s">
        <v>150</v>
      </c>
      <c r="AL145" s="109" t="s">
        <v>61</v>
      </c>
      <c r="AM145" s="109" t="s">
        <v>61</v>
      </c>
      <c r="AN145" s="84" t="s">
        <v>346</v>
      </c>
    </row>
    <row r="146" spans="2:40" x14ac:dyDescent="0.25">
      <c r="B146" s="92">
        <f t="shared" si="31"/>
        <v>87</v>
      </c>
      <c r="C146" s="16">
        <v>20200520</v>
      </c>
      <c r="D146" s="15" t="s">
        <v>3</v>
      </c>
      <c r="E146" s="15" t="s">
        <v>335</v>
      </c>
      <c r="F146" s="93" t="s">
        <v>380</v>
      </c>
      <c r="G146" s="17">
        <v>1373116</v>
      </c>
      <c r="H146" s="52" t="s">
        <v>61</v>
      </c>
      <c r="I146" s="15" t="s">
        <v>225</v>
      </c>
      <c r="J146" s="52" t="s">
        <v>61</v>
      </c>
      <c r="K146" s="15" t="s">
        <v>184</v>
      </c>
      <c r="L146" s="16" t="s">
        <v>150</v>
      </c>
      <c r="M146" s="15" t="s">
        <v>345</v>
      </c>
      <c r="N146" s="15" t="s">
        <v>195</v>
      </c>
      <c r="O146" s="17" t="s">
        <v>61</v>
      </c>
      <c r="P146" s="17" t="s">
        <v>347</v>
      </c>
      <c r="Q146" s="18"/>
      <c r="R146" s="52" t="s">
        <v>61</v>
      </c>
      <c r="S146" s="15" t="s">
        <v>69</v>
      </c>
      <c r="T146" s="15"/>
      <c r="U146" s="15"/>
      <c r="V146" s="15">
        <v>808</v>
      </c>
      <c r="W146" s="84">
        <f>V146-V146+404</f>
        <v>404</v>
      </c>
      <c r="X146" s="15">
        <f t="shared" si="35"/>
        <v>404</v>
      </c>
      <c r="Y146" s="15">
        <f>ROUNDDOWN(W146/HLOOKUP(D146,Table!$C$3:$D$4,2,0)*8,2)</f>
        <v>7.18</v>
      </c>
      <c r="Z146" s="15">
        <v>8</v>
      </c>
      <c r="AA146" s="15" t="s">
        <v>74</v>
      </c>
      <c r="AB146" s="19">
        <v>43985</v>
      </c>
      <c r="AC146" s="19">
        <v>43971</v>
      </c>
      <c r="AD146" s="19">
        <v>43985</v>
      </c>
      <c r="AE146" s="19">
        <v>43977</v>
      </c>
      <c r="AF146" s="19">
        <v>43977</v>
      </c>
      <c r="AG146" s="19" t="s">
        <v>176</v>
      </c>
      <c r="AH146" s="31">
        <v>1</v>
      </c>
      <c r="AI146" s="31">
        <v>1</v>
      </c>
      <c r="AJ146" s="31">
        <v>1</v>
      </c>
      <c r="AK146" s="19" t="s">
        <v>150</v>
      </c>
      <c r="AL146" s="136" t="s">
        <v>61</v>
      </c>
      <c r="AM146" s="136" t="s">
        <v>61</v>
      </c>
      <c r="AN146" s="84" t="s">
        <v>346</v>
      </c>
    </row>
    <row r="147" spans="2:40" x14ac:dyDescent="0.25">
      <c r="B147" s="91">
        <f t="shared" si="31"/>
        <v>88</v>
      </c>
      <c r="C147" s="16">
        <v>20200520</v>
      </c>
      <c r="D147" s="15" t="s">
        <v>3</v>
      </c>
      <c r="E147" s="15" t="s">
        <v>358</v>
      </c>
      <c r="F147" s="93" t="s">
        <v>393</v>
      </c>
      <c r="G147" s="17">
        <v>1452940</v>
      </c>
      <c r="H147" s="52" t="s">
        <v>61</v>
      </c>
      <c r="I147" s="15" t="s">
        <v>160</v>
      </c>
      <c r="J147" s="52" t="s">
        <v>61</v>
      </c>
      <c r="K147" s="15" t="s">
        <v>146</v>
      </c>
      <c r="L147" s="15" t="s">
        <v>150</v>
      </c>
      <c r="M147" s="15" t="s">
        <v>360</v>
      </c>
      <c r="N147" s="15" t="s">
        <v>362</v>
      </c>
      <c r="O147" s="17" t="s">
        <v>61</v>
      </c>
      <c r="P147" s="17" t="s">
        <v>203</v>
      </c>
      <c r="Q147" s="18"/>
      <c r="R147" s="52" t="s">
        <v>61</v>
      </c>
      <c r="S147" s="15" t="s">
        <v>64</v>
      </c>
      <c r="T147" s="15"/>
      <c r="U147" s="15"/>
      <c r="V147" s="15">
        <v>35</v>
      </c>
      <c r="W147" s="15">
        <f t="shared" ref="W147:W151" si="36">V147</f>
        <v>35</v>
      </c>
      <c r="X147" s="15">
        <f t="shared" si="35"/>
        <v>35</v>
      </c>
      <c r="Y147" s="15">
        <f>ROUNDDOWN(W147/HLOOKUP(D147,Table!$C$3:$D$4,2,0)*8,2)</f>
        <v>0.62</v>
      </c>
      <c r="Z147" s="15">
        <v>0.5</v>
      </c>
      <c r="AA147" s="15" t="s">
        <v>74</v>
      </c>
      <c r="AB147" s="19">
        <v>43973</v>
      </c>
      <c r="AC147" s="19">
        <v>43971</v>
      </c>
      <c r="AD147" s="99">
        <v>43973</v>
      </c>
      <c r="AE147" s="19">
        <v>43971</v>
      </c>
      <c r="AF147" s="19">
        <v>43971</v>
      </c>
      <c r="AG147" s="19" t="s">
        <v>176</v>
      </c>
      <c r="AH147" s="31">
        <v>1</v>
      </c>
      <c r="AI147" s="31">
        <v>1</v>
      </c>
      <c r="AJ147" s="31">
        <v>1</v>
      </c>
      <c r="AK147" s="19" t="s">
        <v>150</v>
      </c>
      <c r="AL147" s="15"/>
      <c r="AM147" s="15"/>
      <c r="AN147" s="15"/>
    </row>
    <row r="148" spans="2:40" x14ac:dyDescent="0.25">
      <c r="B148" s="91">
        <f t="shared" si="31"/>
        <v>89</v>
      </c>
      <c r="C148" s="16">
        <v>20200520</v>
      </c>
      <c r="D148" s="15" t="s">
        <v>3</v>
      </c>
      <c r="E148" s="15" t="s">
        <v>358</v>
      </c>
      <c r="F148" s="93" t="s">
        <v>394</v>
      </c>
      <c r="G148" s="17">
        <v>1452940</v>
      </c>
      <c r="H148" s="52" t="s">
        <v>61</v>
      </c>
      <c r="I148" s="15" t="s">
        <v>224</v>
      </c>
      <c r="J148" s="52" t="s">
        <v>61</v>
      </c>
      <c r="K148" s="15" t="s">
        <v>146</v>
      </c>
      <c r="L148" s="15" t="s">
        <v>150</v>
      </c>
      <c r="M148" s="15" t="s">
        <v>360</v>
      </c>
      <c r="N148" s="15" t="s">
        <v>362</v>
      </c>
      <c r="O148" s="17" t="s">
        <v>61</v>
      </c>
      <c r="P148" s="17" t="s">
        <v>203</v>
      </c>
      <c r="Q148" s="18"/>
      <c r="R148" s="52" t="s">
        <v>61</v>
      </c>
      <c r="S148" s="15" t="s">
        <v>64</v>
      </c>
      <c r="T148" s="15"/>
      <c r="U148" s="15"/>
      <c r="V148" s="15">
        <v>249</v>
      </c>
      <c r="W148" s="15">
        <f t="shared" si="36"/>
        <v>249</v>
      </c>
      <c r="X148" s="15">
        <f t="shared" si="35"/>
        <v>249</v>
      </c>
      <c r="Y148" s="15">
        <f>ROUNDDOWN(W148/HLOOKUP(D148,Table!$C$3:$D$4,2,0)*8,2)</f>
        <v>4.42</v>
      </c>
      <c r="Z148" s="15">
        <v>1</v>
      </c>
      <c r="AA148" s="15" t="s">
        <v>74</v>
      </c>
      <c r="AB148" s="19">
        <v>43973</v>
      </c>
      <c r="AC148" s="19">
        <v>43971</v>
      </c>
      <c r="AD148" s="99">
        <v>43973</v>
      </c>
      <c r="AE148" s="19">
        <v>43971</v>
      </c>
      <c r="AF148" s="19">
        <v>43971</v>
      </c>
      <c r="AG148" s="19" t="s">
        <v>176</v>
      </c>
      <c r="AH148" s="31">
        <v>1</v>
      </c>
      <c r="AI148" s="31">
        <v>1</v>
      </c>
      <c r="AJ148" s="31">
        <v>1</v>
      </c>
      <c r="AK148" s="19" t="s">
        <v>150</v>
      </c>
      <c r="AL148" s="15"/>
      <c r="AM148" s="15"/>
      <c r="AN148" s="15"/>
    </row>
    <row r="149" spans="2:40" x14ac:dyDescent="0.25">
      <c r="B149" s="91">
        <f t="shared" si="31"/>
        <v>90</v>
      </c>
      <c r="C149" s="16">
        <v>20200520</v>
      </c>
      <c r="D149" s="15" t="s">
        <v>3</v>
      </c>
      <c r="E149" s="15" t="s">
        <v>359</v>
      </c>
      <c r="F149" s="93" t="s">
        <v>395</v>
      </c>
      <c r="G149" s="17">
        <v>1474097</v>
      </c>
      <c r="H149" s="52" t="s">
        <v>61</v>
      </c>
      <c r="I149" s="15" t="s">
        <v>266</v>
      </c>
      <c r="J149" s="52" t="s">
        <v>61</v>
      </c>
      <c r="K149" s="15" t="s">
        <v>146</v>
      </c>
      <c r="L149" s="15" t="s">
        <v>180</v>
      </c>
      <c r="M149" s="15" t="s">
        <v>361</v>
      </c>
      <c r="N149" s="15" t="s">
        <v>181</v>
      </c>
      <c r="O149" s="17" t="s">
        <v>61</v>
      </c>
      <c r="P149" s="17" t="s">
        <v>179</v>
      </c>
      <c r="Q149" s="18"/>
      <c r="R149" s="52" t="s">
        <v>61</v>
      </c>
      <c r="S149" s="15" t="s">
        <v>6</v>
      </c>
      <c r="T149" s="15"/>
      <c r="U149" s="15"/>
      <c r="V149" s="15">
        <v>641</v>
      </c>
      <c r="W149" s="84">
        <v>60</v>
      </c>
      <c r="X149" s="15">
        <f t="shared" si="35"/>
        <v>60</v>
      </c>
      <c r="Y149" s="15">
        <f>ROUNDDOWN(W149/HLOOKUP(D149,Table!$C$3:$D$4,2,0)*8,2)</f>
        <v>1.06</v>
      </c>
      <c r="Z149" s="15">
        <v>1</v>
      </c>
      <c r="AA149" s="15" t="s">
        <v>74</v>
      </c>
      <c r="AB149" s="19">
        <v>43973</v>
      </c>
      <c r="AC149" s="19">
        <v>43971</v>
      </c>
      <c r="AD149" s="99">
        <v>43973</v>
      </c>
      <c r="AE149" s="19">
        <v>43972</v>
      </c>
      <c r="AF149" s="19">
        <v>43972</v>
      </c>
      <c r="AG149" s="19" t="s">
        <v>176</v>
      </c>
      <c r="AH149" s="31">
        <v>1</v>
      </c>
      <c r="AI149" s="31">
        <v>1</v>
      </c>
      <c r="AJ149" s="31">
        <v>1</v>
      </c>
      <c r="AK149" s="19" t="s">
        <v>150</v>
      </c>
      <c r="AL149" s="15"/>
      <c r="AM149" s="15"/>
      <c r="AN149" s="15" t="s">
        <v>408</v>
      </c>
    </row>
    <row r="150" spans="2:40" x14ac:dyDescent="0.25">
      <c r="B150" s="91">
        <f t="shared" si="31"/>
        <v>91</v>
      </c>
      <c r="C150" s="16">
        <v>20200520</v>
      </c>
      <c r="D150" s="15" t="s">
        <v>3</v>
      </c>
      <c r="E150" s="15" t="s">
        <v>383</v>
      </c>
      <c r="F150" s="93" t="s">
        <v>396</v>
      </c>
      <c r="G150" s="17">
        <v>1478932</v>
      </c>
      <c r="H150" s="52" t="s">
        <v>61</v>
      </c>
      <c r="I150" s="15" t="s">
        <v>385</v>
      </c>
      <c r="J150" s="52" t="s">
        <v>61</v>
      </c>
      <c r="K150" s="15" t="s">
        <v>146</v>
      </c>
      <c r="L150" s="15" t="s">
        <v>388</v>
      </c>
      <c r="M150" s="15" t="s">
        <v>150</v>
      </c>
      <c r="N150" s="15" t="s">
        <v>386</v>
      </c>
      <c r="O150" s="17" t="s">
        <v>61</v>
      </c>
      <c r="P150" s="17" t="s">
        <v>387</v>
      </c>
      <c r="Q150" s="18"/>
      <c r="R150" s="52" t="s">
        <v>61</v>
      </c>
      <c r="S150" s="15" t="s">
        <v>64</v>
      </c>
      <c r="T150" s="15"/>
      <c r="U150" s="15"/>
      <c r="V150" s="15">
        <v>81</v>
      </c>
      <c r="W150" s="15">
        <f t="shared" si="36"/>
        <v>81</v>
      </c>
      <c r="X150" s="15">
        <f t="shared" si="35"/>
        <v>81</v>
      </c>
      <c r="Y150" s="15">
        <f>ROUNDDOWN(W150/HLOOKUP(D150,Table!$C$3:$D$4,2,0)*8,2)</f>
        <v>1.44</v>
      </c>
      <c r="Z150" s="15">
        <v>1</v>
      </c>
      <c r="AA150" s="15" t="s">
        <v>74</v>
      </c>
      <c r="AB150" s="19">
        <v>43972</v>
      </c>
      <c r="AC150" s="19">
        <v>43971</v>
      </c>
      <c r="AD150" s="19">
        <v>43972</v>
      </c>
      <c r="AE150" s="19">
        <v>43972</v>
      </c>
      <c r="AF150" s="19">
        <v>43972</v>
      </c>
      <c r="AG150" s="19" t="s">
        <v>176</v>
      </c>
      <c r="AH150" s="31">
        <v>1</v>
      </c>
      <c r="AI150" s="31">
        <v>1</v>
      </c>
      <c r="AJ150" s="31">
        <v>1</v>
      </c>
      <c r="AK150" s="19" t="s">
        <v>150</v>
      </c>
      <c r="AL150" s="15"/>
      <c r="AM150" s="15"/>
      <c r="AN150" s="15"/>
    </row>
    <row r="151" spans="2:40" x14ac:dyDescent="0.25">
      <c r="B151" s="91">
        <f t="shared" si="31"/>
        <v>92</v>
      </c>
      <c r="C151" s="16">
        <v>20200520</v>
      </c>
      <c r="D151" s="15" t="s">
        <v>3</v>
      </c>
      <c r="E151" s="15" t="s">
        <v>383</v>
      </c>
      <c r="F151" s="93" t="s">
        <v>397</v>
      </c>
      <c r="G151" s="17">
        <v>1478932</v>
      </c>
      <c r="H151" s="52" t="s">
        <v>61</v>
      </c>
      <c r="I151" s="15" t="s">
        <v>385</v>
      </c>
      <c r="J151" s="52" t="s">
        <v>61</v>
      </c>
      <c r="K151" s="15" t="s">
        <v>146</v>
      </c>
      <c r="L151" s="15" t="s">
        <v>389</v>
      </c>
      <c r="M151" s="15" t="s">
        <v>150</v>
      </c>
      <c r="N151" s="15" t="s">
        <v>204</v>
      </c>
      <c r="O151" s="17" t="s">
        <v>61</v>
      </c>
      <c r="P151" s="17" t="s">
        <v>387</v>
      </c>
      <c r="Q151" s="18"/>
      <c r="R151" s="52" t="s">
        <v>61</v>
      </c>
      <c r="S151" s="15" t="s">
        <v>64</v>
      </c>
      <c r="T151" s="15"/>
      <c r="U151" s="15"/>
      <c r="V151" s="15">
        <v>81</v>
      </c>
      <c r="W151" s="15">
        <f t="shared" si="36"/>
        <v>81</v>
      </c>
      <c r="X151" s="15">
        <f t="shared" ref="X151:X152" si="37">W151</f>
        <v>81</v>
      </c>
      <c r="Y151" s="15">
        <f>ROUNDDOWN(W151/HLOOKUP(D151,Table!$C$3:$D$4,2,0)*8,2)</f>
        <v>1.44</v>
      </c>
      <c r="Z151" s="15">
        <v>1</v>
      </c>
      <c r="AA151" s="15" t="s">
        <v>74</v>
      </c>
      <c r="AB151" s="19">
        <v>43972</v>
      </c>
      <c r="AC151" s="19">
        <v>43971</v>
      </c>
      <c r="AD151" s="19">
        <v>43972</v>
      </c>
      <c r="AE151" s="19">
        <v>43972</v>
      </c>
      <c r="AF151" s="19">
        <v>43972</v>
      </c>
      <c r="AG151" s="19" t="s">
        <v>176</v>
      </c>
      <c r="AH151" s="31">
        <v>1</v>
      </c>
      <c r="AI151" s="31">
        <v>1</v>
      </c>
      <c r="AJ151" s="31">
        <v>1</v>
      </c>
      <c r="AK151" s="19" t="s">
        <v>150</v>
      </c>
      <c r="AL151" s="15"/>
      <c r="AM151" s="15"/>
      <c r="AN151" s="15"/>
    </row>
    <row r="152" spans="2:40" x14ac:dyDescent="0.25">
      <c r="B152" s="91">
        <f t="shared" si="31"/>
        <v>93</v>
      </c>
      <c r="C152" s="16">
        <v>20200520</v>
      </c>
      <c r="D152" s="15" t="s">
        <v>3</v>
      </c>
      <c r="E152" s="15" t="s">
        <v>384</v>
      </c>
      <c r="F152" s="93" t="s">
        <v>196</v>
      </c>
      <c r="G152" s="17">
        <v>1478344</v>
      </c>
      <c r="H152" s="52" t="s">
        <v>61</v>
      </c>
      <c r="I152" s="15" t="s">
        <v>153</v>
      </c>
      <c r="J152" s="52" t="s">
        <v>61</v>
      </c>
      <c r="K152" s="15" t="s">
        <v>146</v>
      </c>
      <c r="L152" s="15" t="s">
        <v>173</v>
      </c>
      <c r="M152" s="15" t="s">
        <v>150</v>
      </c>
      <c r="N152" s="15" t="s">
        <v>174</v>
      </c>
      <c r="O152" s="17" t="s">
        <v>61</v>
      </c>
      <c r="P152" s="17" t="s">
        <v>152</v>
      </c>
      <c r="Q152" s="18"/>
      <c r="R152" s="52" t="s">
        <v>61</v>
      </c>
      <c r="S152" s="15" t="s">
        <v>64</v>
      </c>
      <c r="T152" s="15"/>
      <c r="U152" s="15"/>
      <c r="V152" s="15">
        <v>42</v>
      </c>
      <c r="W152" s="84">
        <v>948</v>
      </c>
      <c r="X152" s="15">
        <f t="shared" si="37"/>
        <v>948</v>
      </c>
      <c r="Y152" s="15">
        <f>ROUNDDOWN(W152/HLOOKUP(D152,Table!$C$3:$D$4,2,0)*8,2)</f>
        <v>16.850000000000001</v>
      </c>
      <c r="Z152" s="15">
        <v>1</v>
      </c>
      <c r="AA152" s="15" t="s">
        <v>74</v>
      </c>
      <c r="AB152" s="19">
        <v>43972</v>
      </c>
      <c r="AC152" s="19">
        <v>43971</v>
      </c>
      <c r="AD152" s="19">
        <v>43972</v>
      </c>
      <c r="AE152" s="19">
        <v>43972</v>
      </c>
      <c r="AF152" s="19">
        <v>43972</v>
      </c>
      <c r="AG152" s="19" t="s">
        <v>176</v>
      </c>
      <c r="AH152" s="31">
        <v>1</v>
      </c>
      <c r="AI152" s="31">
        <v>1</v>
      </c>
      <c r="AJ152" s="31">
        <v>1</v>
      </c>
      <c r="AK152" s="19" t="s">
        <v>150</v>
      </c>
      <c r="AL152" s="15"/>
      <c r="AM152" s="15"/>
      <c r="AN152" s="15" t="s">
        <v>1109</v>
      </c>
    </row>
    <row r="153" spans="2:40" x14ac:dyDescent="0.25">
      <c r="B153" s="86">
        <f t="shared" si="31"/>
        <v>94</v>
      </c>
      <c r="C153" s="16">
        <v>20200521</v>
      </c>
      <c r="D153" s="15" t="s">
        <v>3</v>
      </c>
      <c r="E153" s="15" t="s">
        <v>398</v>
      </c>
      <c r="F153" s="93" t="s">
        <v>436</v>
      </c>
      <c r="G153" s="17">
        <v>1455638</v>
      </c>
      <c r="H153" s="52" t="s">
        <v>61</v>
      </c>
      <c r="I153" s="15" t="s">
        <v>401</v>
      </c>
      <c r="J153" s="52" t="s">
        <v>61</v>
      </c>
      <c r="K153" s="15" t="s">
        <v>146</v>
      </c>
      <c r="L153" s="15" t="s">
        <v>404</v>
      </c>
      <c r="M153" s="15" t="s">
        <v>150</v>
      </c>
      <c r="N153" s="15" t="s">
        <v>405</v>
      </c>
      <c r="O153" s="17" t="s">
        <v>61</v>
      </c>
      <c r="P153" s="17" t="s">
        <v>208</v>
      </c>
      <c r="Q153" s="18"/>
      <c r="R153" s="52" t="s">
        <v>61</v>
      </c>
      <c r="S153" s="15" t="s">
        <v>65</v>
      </c>
      <c r="T153" s="15"/>
      <c r="U153" s="15"/>
      <c r="V153" s="15">
        <v>66</v>
      </c>
      <c r="W153" s="15">
        <f t="shared" ref="W153:X168" si="38">V153</f>
        <v>66</v>
      </c>
      <c r="X153" s="15">
        <f t="shared" si="38"/>
        <v>66</v>
      </c>
      <c r="Y153" s="15">
        <f>ROUNDDOWN(W153/HLOOKUP(D153,Table!$C$3:$D$4,2,0)*8,2)</f>
        <v>1.17</v>
      </c>
      <c r="Z153" s="15">
        <v>1</v>
      </c>
      <c r="AA153" s="15" t="s">
        <v>74</v>
      </c>
      <c r="AB153" s="19">
        <v>43973</v>
      </c>
      <c r="AC153" s="19">
        <v>43972</v>
      </c>
      <c r="AD153" s="99">
        <v>43973</v>
      </c>
      <c r="AE153" s="19">
        <v>43971</v>
      </c>
      <c r="AF153" s="19">
        <v>43971</v>
      </c>
      <c r="AG153" s="19" t="s">
        <v>176</v>
      </c>
      <c r="AH153" s="31">
        <v>1</v>
      </c>
      <c r="AI153" s="31">
        <v>1</v>
      </c>
      <c r="AJ153" s="31">
        <v>1</v>
      </c>
      <c r="AK153" s="19" t="s">
        <v>150</v>
      </c>
      <c r="AL153" s="15"/>
      <c r="AM153" s="15"/>
      <c r="AN153" s="16"/>
    </row>
    <row r="154" spans="2:40" x14ac:dyDescent="0.25">
      <c r="B154" s="86">
        <f t="shared" si="31"/>
        <v>95</v>
      </c>
      <c r="C154" s="16">
        <v>20200521</v>
      </c>
      <c r="D154" s="15" t="s">
        <v>3</v>
      </c>
      <c r="E154" s="15" t="s">
        <v>398</v>
      </c>
      <c r="F154" s="93" t="s">
        <v>437</v>
      </c>
      <c r="G154" s="17">
        <v>1455638</v>
      </c>
      <c r="H154" s="52" t="s">
        <v>61</v>
      </c>
      <c r="I154" s="15" t="s">
        <v>402</v>
      </c>
      <c r="J154" s="52" t="s">
        <v>61</v>
      </c>
      <c r="K154" s="15" t="s">
        <v>146</v>
      </c>
      <c r="L154" s="15" t="s">
        <v>404</v>
      </c>
      <c r="M154" s="15" t="s">
        <v>150</v>
      </c>
      <c r="N154" s="15" t="s">
        <v>405</v>
      </c>
      <c r="O154" s="17" t="s">
        <v>61</v>
      </c>
      <c r="P154" s="17" t="s">
        <v>208</v>
      </c>
      <c r="Q154" s="18"/>
      <c r="R154" s="52" t="s">
        <v>61</v>
      </c>
      <c r="S154" s="15" t="s">
        <v>65</v>
      </c>
      <c r="T154" s="15"/>
      <c r="U154" s="15"/>
      <c r="V154" s="15">
        <v>149</v>
      </c>
      <c r="W154" s="15">
        <f t="shared" si="38"/>
        <v>149</v>
      </c>
      <c r="X154" s="15">
        <f t="shared" si="38"/>
        <v>149</v>
      </c>
      <c r="Y154" s="15">
        <f>ROUNDDOWN(W154/HLOOKUP(D154,Table!$C$3:$D$4,2,0)*8,2)</f>
        <v>2.64</v>
      </c>
      <c r="Z154" s="15">
        <v>1</v>
      </c>
      <c r="AA154" s="15" t="s">
        <v>74</v>
      </c>
      <c r="AB154" s="19">
        <v>43973</v>
      </c>
      <c r="AC154" s="19">
        <v>43972</v>
      </c>
      <c r="AD154" s="99">
        <v>43973</v>
      </c>
      <c r="AE154" s="19">
        <v>43971</v>
      </c>
      <c r="AF154" s="19">
        <v>43971</v>
      </c>
      <c r="AG154" s="19" t="s">
        <v>176</v>
      </c>
      <c r="AH154" s="31">
        <v>1</v>
      </c>
      <c r="AI154" s="31">
        <v>1</v>
      </c>
      <c r="AJ154" s="31">
        <v>1</v>
      </c>
      <c r="AK154" s="19" t="s">
        <v>150</v>
      </c>
      <c r="AL154" s="15"/>
      <c r="AM154" s="15"/>
      <c r="AN154" s="16"/>
    </row>
    <row r="155" spans="2:40" x14ac:dyDescent="0.25">
      <c r="B155" s="86">
        <f t="shared" si="31"/>
        <v>96</v>
      </c>
      <c r="C155" s="16">
        <v>20200521</v>
      </c>
      <c r="D155" s="15" t="s">
        <v>3</v>
      </c>
      <c r="E155" s="15" t="s">
        <v>398</v>
      </c>
      <c r="F155" s="93" t="s">
        <v>438</v>
      </c>
      <c r="G155" s="17">
        <v>1455638</v>
      </c>
      <c r="H155" s="52" t="s">
        <v>61</v>
      </c>
      <c r="I155" s="15" t="s">
        <v>403</v>
      </c>
      <c r="J155" s="52" t="s">
        <v>61</v>
      </c>
      <c r="K155" s="15" t="s">
        <v>146</v>
      </c>
      <c r="L155" s="15" t="s">
        <v>404</v>
      </c>
      <c r="M155" s="15" t="s">
        <v>150</v>
      </c>
      <c r="N155" s="15" t="s">
        <v>405</v>
      </c>
      <c r="O155" s="17" t="s">
        <v>61</v>
      </c>
      <c r="P155" s="17" t="s">
        <v>208</v>
      </c>
      <c r="Q155" s="18"/>
      <c r="R155" s="52" t="s">
        <v>61</v>
      </c>
      <c r="S155" s="15" t="s">
        <v>65</v>
      </c>
      <c r="T155" s="15"/>
      <c r="U155" s="15"/>
      <c r="V155" s="15">
        <v>4</v>
      </c>
      <c r="W155" s="15">
        <v>0</v>
      </c>
      <c r="X155" s="15">
        <f>W155</f>
        <v>0</v>
      </c>
      <c r="Y155" s="15">
        <f>ROUNDDOWN(W155/HLOOKUP(D155,Table!$C$3:$D$4,2,0)*8,2)</f>
        <v>0</v>
      </c>
      <c r="Z155" s="15">
        <v>0</v>
      </c>
      <c r="AA155" s="15" t="s">
        <v>74</v>
      </c>
      <c r="AB155" s="19">
        <v>43973</v>
      </c>
      <c r="AC155" s="19">
        <v>43972</v>
      </c>
      <c r="AD155" s="99">
        <v>43973</v>
      </c>
      <c r="AE155" s="19">
        <v>43971</v>
      </c>
      <c r="AF155" s="19">
        <v>43971</v>
      </c>
      <c r="AG155" s="19" t="s">
        <v>176</v>
      </c>
      <c r="AH155" s="79" t="s">
        <v>61</v>
      </c>
      <c r="AI155" s="79" t="s">
        <v>61</v>
      </c>
      <c r="AJ155" s="79" t="s">
        <v>61</v>
      </c>
      <c r="AK155" s="19" t="s">
        <v>150</v>
      </c>
      <c r="AL155" s="15"/>
      <c r="AM155" s="15"/>
      <c r="AN155" s="16" t="s">
        <v>194</v>
      </c>
    </row>
    <row r="156" spans="2:40" x14ac:dyDescent="0.25">
      <c r="B156" s="86">
        <f t="shared" si="31"/>
        <v>97</v>
      </c>
      <c r="C156" s="16">
        <v>20200521</v>
      </c>
      <c r="D156" s="15" t="s">
        <v>3</v>
      </c>
      <c r="E156" s="15" t="s">
        <v>399</v>
      </c>
      <c r="F156" s="93" t="s">
        <v>439</v>
      </c>
      <c r="G156" s="17">
        <v>1479500</v>
      </c>
      <c r="H156" s="52" t="s">
        <v>61</v>
      </c>
      <c r="I156" s="15" t="s">
        <v>435</v>
      </c>
      <c r="J156" s="52" t="s">
        <v>61</v>
      </c>
      <c r="K156" s="15" t="s">
        <v>146</v>
      </c>
      <c r="L156" s="15" t="s">
        <v>150</v>
      </c>
      <c r="M156" s="15" t="s">
        <v>400</v>
      </c>
      <c r="N156" s="15" t="s">
        <v>406</v>
      </c>
      <c r="O156" s="17" t="s">
        <v>61</v>
      </c>
      <c r="P156" s="17" t="s">
        <v>229</v>
      </c>
      <c r="Q156" s="18"/>
      <c r="R156" s="52" t="s">
        <v>61</v>
      </c>
      <c r="S156" s="15" t="s">
        <v>65</v>
      </c>
      <c r="T156" s="15"/>
      <c r="U156" s="15"/>
      <c r="V156" s="15">
        <v>825</v>
      </c>
      <c r="W156" s="15">
        <f t="shared" si="38"/>
        <v>825</v>
      </c>
      <c r="X156" s="15">
        <f t="shared" si="38"/>
        <v>825</v>
      </c>
      <c r="Y156" s="15">
        <f>ROUNDDOWN(W156/HLOOKUP(D156,Table!$C$3:$D$4,2,0)*8,2)</f>
        <v>14.66</v>
      </c>
      <c r="Z156" s="15">
        <v>2</v>
      </c>
      <c r="AA156" s="15" t="s">
        <v>74</v>
      </c>
      <c r="AB156" s="19">
        <v>43973</v>
      </c>
      <c r="AC156" s="19">
        <v>43972</v>
      </c>
      <c r="AD156" s="99">
        <v>43973</v>
      </c>
      <c r="AE156" s="19">
        <v>43971</v>
      </c>
      <c r="AF156" s="19">
        <v>43971</v>
      </c>
      <c r="AG156" s="19" t="s">
        <v>176</v>
      </c>
      <c r="AH156" s="31">
        <v>1</v>
      </c>
      <c r="AI156" s="31">
        <v>1</v>
      </c>
      <c r="AJ156" s="31">
        <v>1</v>
      </c>
      <c r="AK156" s="19" t="s">
        <v>150</v>
      </c>
      <c r="AL156" s="15"/>
      <c r="AM156" s="15"/>
      <c r="AN156" s="16"/>
    </row>
    <row r="157" spans="2:40" x14ac:dyDescent="0.25">
      <c r="B157" s="132">
        <f t="shared" si="31"/>
        <v>98</v>
      </c>
      <c r="C157" s="16">
        <v>20200522</v>
      </c>
      <c r="D157" s="15" t="s">
        <v>3</v>
      </c>
      <c r="E157" s="15" t="s">
        <v>411</v>
      </c>
      <c r="F157" s="93" t="s">
        <v>531</v>
      </c>
      <c r="G157" s="17">
        <v>1481262</v>
      </c>
      <c r="H157" s="52" t="s">
        <v>61</v>
      </c>
      <c r="I157" s="15" t="s">
        <v>226</v>
      </c>
      <c r="J157" s="52" t="s">
        <v>61</v>
      </c>
      <c r="K157" s="15" t="s">
        <v>146</v>
      </c>
      <c r="L157" s="15" t="s">
        <v>150</v>
      </c>
      <c r="M157" s="15" t="s">
        <v>150</v>
      </c>
      <c r="N157" s="15" t="s">
        <v>228</v>
      </c>
      <c r="O157" s="17" t="s">
        <v>61</v>
      </c>
      <c r="P157" s="17" t="s">
        <v>229</v>
      </c>
      <c r="Q157" s="18"/>
      <c r="R157" s="52" t="s">
        <v>61</v>
      </c>
      <c r="S157" s="15" t="s">
        <v>65</v>
      </c>
      <c r="T157" s="15"/>
      <c r="U157" s="15"/>
      <c r="V157" s="15">
        <v>106</v>
      </c>
      <c r="W157" s="15">
        <f t="shared" si="38"/>
        <v>106</v>
      </c>
      <c r="X157" s="15">
        <f t="shared" ref="X157:X179" si="39">W157</f>
        <v>106</v>
      </c>
      <c r="Y157" s="15">
        <f>ROUNDDOWN(W157/HLOOKUP(D157,Table!$C$3:$D$4,2,0)*8,2)</f>
        <v>1.88</v>
      </c>
      <c r="Z157" s="15">
        <v>1</v>
      </c>
      <c r="AA157" s="15" t="s">
        <v>74</v>
      </c>
      <c r="AB157" s="19">
        <v>43978</v>
      </c>
      <c r="AC157" s="19">
        <v>43973</v>
      </c>
      <c r="AD157" s="19">
        <v>43984</v>
      </c>
      <c r="AE157" s="19">
        <v>43977</v>
      </c>
      <c r="AF157" s="19">
        <v>43977</v>
      </c>
      <c r="AG157" s="19" t="s">
        <v>176</v>
      </c>
      <c r="AH157" s="31">
        <v>1</v>
      </c>
      <c r="AI157" s="31">
        <v>1</v>
      </c>
      <c r="AJ157" s="31">
        <v>1</v>
      </c>
      <c r="AK157" s="19" t="s">
        <v>150</v>
      </c>
      <c r="AL157" s="15"/>
      <c r="AM157" s="15"/>
      <c r="AN157" s="15"/>
    </row>
    <row r="158" spans="2:40" x14ac:dyDescent="0.25">
      <c r="B158" s="132">
        <f t="shared" si="31"/>
        <v>99</v>
      </c>
      <c r="C158" s="16">
        <v>20200522</v>
      </c>
      <c r="D158" s="15" t="s">
        <v>3</v>
      </c>
      <c r="E158" s="15" t="s">
        <v>412</v>
      </c>
      <c r="F158" s="93" t="s">
        <v>532</v>
      </c>
      <c r="G158" s="17">
        <v>1481558</v>
      </c>
      <c r="H158" s="52" t="s">
        <v>61</v>
      </c>
      <c r="I158" s="15" t="s">
        <v>159</v>
      </c>
      <c r="J158" s="52" t="s">
        <v>61</v>
      </c>
      <c r="K158" s="15" t="s">
        <v>146</v>
      </c>
      <c r="L158" s="15" t="s">
        <v>456</v>
      </c>
      <c r="M158" s="15" t="s">
        <v>433</v>
      </c>
      <c r="N158" s="15" t="s">
        <v>428</v>
      </c>
      <c r="O158" s="17" t="s">
        <v>61</v>
      </c>
      <c r="P158" s="17" t="s">
        <v>425</v>
      </c>
      <c r="Q158" s="18"/>
      <c r="R158" s="52" t="s">
        <v>61</v>
      </c>
      <c r="S158" s="15" t="s">
        <v>65</v>
      </c>
      <c r="T158" s="15"/>
      <c r="U158" s="15"/>
      <c r="V158" s="15">
        <v>42</v>
      </c>
      <c r="W158" s="15">
        <f t="shared" si="38"/>
        <v>42</v>
      </c>
      <c r="X158" s="15">
        <f t="shared" si="39"/>
        <v>42</v>
      </c>
      <c r="Y158" s="15">
        <f>ROUNDDOWN(W158/HLOOKUP(D158,Table!$C$3:$D$4,2,0)*8,2)</f>
        <v>0.74</v>
      </c>
      <c r="Z158" s="15">
        <v>0.5</v>
      </c>
      <c r="AA158" s="15" t="s">
        <v>74</v>
      </c>
      <c r="AB158" s="19">
        <v>43978</v>
      </c>
      <c r="AC158" s="19">
        <v>43973</v>
      </c>
      <c r="AD158" s="19">
        <v>43982</v>
      </c>
      <c r="AE158" s="19">
        <v>43978</v>
      </c>
      <c r="AF158" s="19">
        <v>43978</v>
      </c>
      <c r="AG158" s="19" t="s">
        <v>176</v>
      </c>
      <c r="AH158" s="31">
        <v>1</v>
      </c>
      <c r="AI158" s="31">
        <v>1</v>
      </c>
      <c r="AJ158" s="31">
        <v>1</v>
      </c>
      <c r="AK158" s="19" t="s">
        <v>150</v>
      </c>
      <c r="AL158" s="15"/>
      <c r="AM158" s="15"/>
      <c r="AN158" s="15"/>
    </row>
    <row r="159" spans="2:40" x14ac:dyDescent="0.25">
      <c r="B159" s="132">
        <f t="shared" si="31"/>
        <v>100</v>
      </c>
      <c r="C159" s="16">
        <v>20200522</v>
      </c>
      <c r="D159" s="15" t="s">
        <v>3</v>
      </c>
      <c r="E159" s="15" t="s">
        <v>412</v>
      </c>
      <c r="F159" s="93" t="s">
        <v>533</v>
      </c>
      <c r="G159" s="17">
        <v>1481558</v>
      </c>
      <c r="H159" s="52" t="s">
        <v>61</v>
      </c>
      <c r="I159" s="15" t="s">
        <v>159</v>
      </c>
      <c r="J159" s="52" t="s">
        <v>61</v>
      </c>
      <c r="K159" s="15" t="s">
        <v>146</v>
      </c>
      <c r="L159" s="15" t="s">
        <v>456</v>
      </c>
      <c r="M159" s="15" t="s">
        <v>433</v>
      </c>
      <c r="N159" s="15" t="s">
        <v>428</v>
      </c>
      <c r="O159" s="17" t="s">
        <v>61</v>
      </c>
      <c r="P159" s="17" t="s">
        <v>425</v>
      </c>
      <c r="Q159" s="18"/>
      <c r="R159" s="52" t="s">
        <v>61</v>
      </c>
      <c r="S159" s="15" t="s">
        <v>65</v>
      </c>
      <c r="T159" s="15"/>
      <c r="U159" s="15"/>
      <c r="V159" s="15">
        <v>42</v>
      </c>
      <c r="W159" s="15">
        <f t="shared" si="38"/>
        <v>42</v>
      </c>
      <c r="X159" s="15">
        <f t="shared" si="39"/>
        <v>42</v>
      </c>
      <c r="Y159" s="15">
        <f>ROUNDDOWN(W159/HLOOKUP(D159,Table!$C$3:$D$4,2,0)*8,2)</f>
        <v>0.74</v>
      </c>
      <c r="Z159" s="15">
        <v>0.5</v>
      </c>
      <c r="AA159" s="15" t="s">
        <v>74</v>
      </c>
      <c r="AB159" s="19">
        <v>43978</v>
      </c>
      <c r="AC159" s="19">
        <v>43973</v>
      </c>
      <c r="AD159" s="19">
        <v>43982</v>
      </c>
      <c r="AE159" s="19">
        <v>43978</v>
      </c>
      <c r="AF159" s="19">
        <v>43978</v>
      </c>
      <c r="AG159" s="19" t="s">
        <v>176</v>
      </c>
      <c r="AH159" s="31">
        <v>1</v>
      </c>
      <c r="AI159" s="31">
        <v>1</v>
      </c>
      <c r="AJ159" s="31">
        <v>1</v>
      </c>
      <c r="AK159" s="19" t="s">
        <v>150</v>
      </c>
      <c r="AL159" s="15"/>
      <c r="AM159" s="15"/>
      <c r="AN159" s="15"/>
    </row>
    <row r="160" spans="2:40" x14ac:dyDescent="0.25">
      <c r="B160" s="132">
        <f t="shared" si="31"/>
        <v>101</v>
      </c>
      <c r="C160" s="16">
        <v>20200522</v>
      </c>
      <c r="D160" s="15" t="s">
        <v>3</v>
      </c>
      <c r="E160" s="15" t="s">
        <v>413</v>
      </c>
      <c r="F160" s="93" t="s">
        <v>534</v>
      </c>
      <c r="G160" s="17">
        <v>1479486</v>
      </c>
      <c r="H160" s="52" t="s">
        <v>61</v>
      </c>
      <c r="I160" s="15" t="s">
        <v>209</v>
      </c>
      <c r="J160" s="52" t="s">
        <v>61</v>
      </c>
      <c r="K160" s="15" t="s">
        <v>146</v>
      </c>
      <c r="L160" s="15" t="s">
        <v>150</v>
      </c>
      <c r="M160" s="15" t="s">
        <v>434</v>
      </c>
      <c r="N160" s="15" t="s">
        <v>230</v>
      </c>
      <c r="O160" s="17" t="s">
        <v>61</v>
      </c>
      <c r="P160" s="17" t="s">
        <v>231</v>
      </c>
      <c r="Q160" s="18"/>
      <c r="R160" s="52" t="s">
        <v>61</v>
      </c>
      <c r="S160" s="15" t="s">
        <v>65</v>
      </c>
      <c r="T160" s="15"/>
      <c r="U160" s="15"/>
      <c r="V160" s="15">
        <v>259</v>
      </c>
      <c r="W160" s="15">
        <f t="shared" si="38"/>
        <v>259</v>
      </c>
      <c r="X160" s="15">
        <f t="shared" si="39"/>
        <v>259</v>
      </c>
      <c r="Y160" s="15">
        <f>ROUNDDOWN(W160/HLOOKUP(D160,Table!$C$3:$D$4,2,0)*8,2)</f>
        <v>4.5999999999999996</v>
      </c>
      <c r="Z160" s="15">
        <v>0.5</v>
      </c>
      <c r="AA160" s="15" t="s">
        <v>74</v>
      </c>
      <c r="AB160" s="19">
        <v>43978</v>
      </c>
      <c r="AC160" s="19">
        <v>43973</v>
      </c>
      <c r="AD160" s="19">
        <v>43982</v>
      </c>
      <c r="AE160" s="19">
        <v>43977</v>
      </c>
      <c r="AF160" s="19">
        <v>43977</v>
      </c>
      <c r="AG160" s="19" t="s">
        <v>177</v>
      </c>
      <c r="AH160" s="31">
        <v>1</v>
      </c>
      <c r="AI160" s="31">
        <v>1</v>
      </c>
      <c r="AJ160" s="31">
        <v>0.97</v>
      </c>
      <c r="AK160" s="19" t="s">
        <v>139</v>
      </c>
      <c r="AL160" s="15" t="s">
        <v>704</v>
      </c>
      <c r="AM160" s="15"/>
      <c r="AN160" s="15" t="s">
        <v>702</v>
      </c>
    </row>
    <row r="161" spans="2:40" x14ac:dyDescent="0.25">
      <c r="B161" s="132">
        <f t="shared" si="31"/>
        <v>102</v>
      </c>
      <c r="C161" s="16">
        <v>20200522</v>
      </c>
      <c r="D161" s="15" t="s">
        <v>2</v>
      </c>
      <c r="E161" s="15" t="s">
        <v>414</v>
      </c>
      <c r="F161" s="93" t="s">
        <v>61</v>
      </c>
      <c r="G161" s="17">
        <v>1481813</v>
      </c>
      <c r="H161" s="52" t="s">
        <v>61</v>
      </c>
      <c r="I161" s="15" t="s">
        <v>416</v>
      </c>
      <c r="J161" s="52" t="s">
        <v>61</v>
      </c>
      <c r="K161" s="15" t="s">
        <v>184</v>
      </c>
      <c r="L161" s="17" t="s">
        <v>61</v>
      </c>
      <c r="M161" s="15" t="s">
        <v>303</v>
      </c>
      <c r="N161" s="15" t="s">
        <v>429</v>
      </c>
      <c r="O161" s="17" t="s">
        <v>423</v>
      </c>
      <c r="P161" s="17" t="s">
        <v>426</v>
      </c>
      <c r="Q161" s="18"/>
      <c r="R161" s="52" t="s">
        <v>61</v>
      </c>
      <c r="S161" s="15" t="s">
        <v>64</v>
      </c>
      <c r="T161" s="15"/>
      <c r="U161" s="15"/>
      <c r="V161" s="15">
        <v>30</v>
      </c>
      <c r="W161" s="15">
        <f t="shared" si="38"/>
        <v>30</v>
      </c>
      <c r="X161" s="15">
        <f t="shared" si="39"/>
        <v>30</v>
      </c>
      <c r="Y161" s="15">
        <f>ROUNDDOWN(W161/HLOOKUP(D161,Table!$C$3:$D$4,2,0)*8,2)</f>
        <v>1.84</v>
      </c>
      <c r="Z161" s="15">
        <v>1</v>
      </c>
      <c r="AA161" s="15" t="s">
        <v>74</v>
      </c>
      <c r="AB161" s="19">
        <v>43978</v>
      </c>
      <c r="AC161" s="19">
        <v>43973</v>
      </c>
      <c r="AD161" s="19">
        <v>43983</v>
      </c>
      <c r="AE161" s="19">
        <v>43976</v>
      </c>
      <c r="AF161" s="19">
        <v>43976</v>
      </c>
      <c r="AG161" s="19" t="s">
        <v>177</v>
      </c>
      <c r="AH161" s="31">
        <v>0.77300000000000002</v>
      </c>
      <c r="AI161" s="31">
        <v>0.8</v>
      </c>
      <c r="AJ161" s="31">
        <v>0.75</v>
      </c>
      <c r="AK161" s="19" t="s">
        <v>139</v>
      </c>
      <c r="AL161" s="17" t="s">
        <v>476</v>
      </c>
      <c r="AM161" s="15"/>
      <c r="AN161" s="15" t="s">
        <v>702</v>
      </c>
    </row>
    <row r="162" spans="2:40" x14ac:dyDescent="0.25">
      <c r="B162" s="132">
        <f t="shared" si="31"/>
        <v>103</v>
      </c>
      <c r="C162" s="16">
        <v>20200522</v>
      </c>
      <c r="D162" s="15" t="s">
        <v>2</v>
      </c>
      <c r="E162" s="15" t="s">
        <v>414</v>
      </c>
      <c r="F162" s="93" t="s">
        <v>61</v>
      </c>
      <c r="G162" s="17">
        <v>1482132</v>
      </c>
      <c r="H162" s="52" t="s">
        <v>61</v>
      </c>
      <c r="I162" s="15" t="s">
        <v>417</v>
      </c>
      <c r="J162" s="52" t="s">
        <v>61</v>
      </c>
      <c r="K162" s="15" t="s">
        <v>184</v>
      </c>
      <c r="L162" s="15" t="s">
        <v>61</v>
      </c>
      <c r="M162" s="15" t="s">
        <v>303</v>
      </c>
      <c r="N162" s="15" t="s">
        <v>429</v>
      </c>
      <c r="O162" s="17" t="s">
        <v>424</v>
      </c>
      <c r="P162" s="17" t="s">
        <v>426</v>
      </c>
      <c r="Q162" s="18"/>
      <c r="R162" s="52" t="s">
        <v>61</v>
      </c>
      <c r="S162" s="15" t="s">
        <v>64</v>
      </c>
      <c r="T162" s="15"/>
      <c r="U162" s="15"/>
      <c r="V162" s="15">
        <v>50</v>
      </c>
      <c r="W162" s="15">
        <f t="shared" si="38"/>
        <v>50</v>
      </c>
      <c r="X162" s="15">
        <f t="shared" si="39"/>
        <v>50</v>
      </c>
      <c r="Y162" s="15">
        <f>ROUNDDOWN(W162/HLOOKUP(D162,Table!$C$3:$D$4,2,0)*8,2)</f>
        <v>3.07</v>
      </c>
      <c r="Z162" s="15">
        <v>3</v>
      </c>
      <c r="AA162" s="15" t="s">
        <v>74</v>
      </c>
      <c r="AB162" s="19">
        <v>43978</v>
      </c>
      <c r="AC162" s="19">
        <v>43973</v>
      </c>
      <c r="AD162" s="19">
        <v>43983</v>
      </c>
      <c r="AE162" s="19">
        <v>43976</v>
      </c>
      <c r="AF162" s="19">
        <v>43976</v>
      </c>
      <c r="AG162" s="19" t="s">
        <v>176</v>
      </c>
      <c r="AH162" s="31">
        <v>1</v>
      </c>
      <c r="AI162" s="31">
        <v>1</v>
      </c>
      <c r="AJ162" s="31">
        <v>1</v>
      </c>
      <c r="AK162" s="19" t="s">
        <v>150</v>
      </c>
      <c r="AL162" s="15" t="s">
        <v>61</v>
      </c>
      <c r="AM162" s="15" t="s">
        <v>61</v>
      </c>
      <c r="AN162" s="15" t="s">
        <v>61</v>
      </c>
    </row>
    <row r="163" spans="2:40" x14ac:dyDescent="0.25">
      <c r="B163" s="132">
        <f t="shared" si="31"/>
        <v>104</v>
      </c>
      <c r="C163" s="16">
        <v>20200522</v>
      </c>
      <c r="D163" s="15" t="s">
        <v>3</v>
      </c>
      <c r="E163" s="15" t="s">
        <v>398</v>
      </c>
      <c r="F163" s="93" t="s">
        <v>458</v>
      </c>
      <c r="G163" s="17">
        <v>1479179</v>
      </c>
      <c r="H163" s="52" t="s">
        <v>61</v>
      </c>
      <c r="I163" s="15" t="s">
        <v>418</v>
      </c>
      <c r="J163" s="52" t="s">
        <v>61</v>
      </c>
      <c r="K163" s="15" t="s">
        <v>146</v>
      </c>
      <c r="L163" s="15" t="s">
        <v>431</v>
      </c>
      <c r="M163" s="15"/>
      <c r="N163" s="15" t="s">
        <v>405</v>
      </c>
      <c r="O163" s="17" t="s">
        <v>61</v>
      </c>
      <c r="P163" s="17" t="s">
        <v>427</v>
      </c>
      <c r="Q163" s="18"/>
      <c r="R163" s="52" t="s">
        <v>61</v>
      </c>
      <c r="S163" s="15" t="s">
        <v>65</v>
      </c>
      <c r="T163" s="15"/>
      <c r="U163" s="15"/>
      <c r="V163" s="15">
        <v>26</v>
      </c>
      <c r="W163" s="15">
        <f t="shared" si="38"/>
        <v>26</v>
      </c>
      <c r="X163" s="15">
        <f t="shared" si="39"/>
        <v>26</v>
      </c>
      <c r="Y163" s="15">
        <f>ROUNDDOWN(W163/HLOOKUP(D163,Table!$C$3:$D$4,2,0)*8,2)</f>
        <v>0.46</v>
      </c>
      <c r="Z163" s="15">
        <v>0.5</v>
      </c>
      <c r="AA163" s="15" t="s">
        <v>74</v>
      </c>
      <c r="AB163" s="19">
        <v>43977</v>
      </c>
      <c r="AC163" s="19">
        <v>43973</v>
      </c>
      <c r="AD163" s="19">
        <v>43977</v>
      </c>
      <c r="AE163" s="19">
        <v>43977</v>
      </c>
      <c r="AF163" s="19">
        <v>43977</v>
      </c>
      <c r="AG163" s="19" t="s">
        <v>176</v>
      </c>
      <c r="AH163" s="31">
        <v>1</v>
      </c>
      <c r="AI163" s="31">
        <v>1</v>
      </c>
      <c r="AJ163" s="31">
        <v>1</v>
      </c>
      <c r="AK163" s="19" t="s">
        <v>150</v>
      </c>
      <c r="AL163" s="15"/>
      <c r="AM163" s="15"/>
      <c r="AN163" s="15"/>
    </row>
    <row r="164" spans="2:40" x14ac:dyDescent="0.25">
      <c r="B164" s="132">
        <f t="shared" si="31"/>
        <v>105</v>
      </c>
      <c r="C164" s="16">
        <v>20200522</v>
      </c>
      <c r="D164" s="15" t="s">
        <v>3</v>
      </c>
      <c r="E164" s="15" t="s">
        <v>415</v>
      </c>
      <c r="F164" s="93" t="s">
        <v>459</v>
      </c>
      <c r="G164" s="17">
        <v>1481841</v>
      </c>
      <c r="H164" s="52" t="s">
        <v>61</v>
      </c>
      <c r="I164" s="15" t="s">
        <v>267</v>
      </c>
      <c r="J164" s="52" t="s">
        <v>61</v>
      </c>
      <c r="K164" s="15" t="s">
        <v>146</v>
      </c>
      <c r="L164" s="15" t="s">
        <v>432</v>
      </c>
      <c r="M164" s="15" t="s">
        <v>150</v>
      </c>
      <c r="N164" s="15" t="s">
        <v>430</v>
      </c>
      <c r="O164" s="17" t="s">
        <v>61</v>
      </c>
      <c r="P164" s="17" t="s">
        <v>269</v>
      </c>
      <c r="Q164" s="18"/>
      <c r="R164" s="52" t="s">
        <v>61</v>
      </c>
      <c r="S164" s="15" t="s">
        <v>6</v>
      </c>
      <c r="T164" s="15"/>
      <c r="U164" s="15"/>
      <c r="V164" s="15">
        <v>296</v>
      </c>
      <c r="W164" s="15">
        <f t="shared" si="38"/>
        <v>296</v>
      </c>
      <c r="X164" s="15">
        <f t="shared" si="39"/>
        <v>296</v>
      </c>
      <c r="Y164" s="15">
        <f>ROUNDDOWN(W164/HLOOKUP(D164,Table!$C$3:$D$4,2,0)*8,2)</f>
        <v>5.26</v>
      </c>
      <c r="Z164" s="15">
        <v>2</v>
      </c>
      <c r="AA164" s="15" t="s">
        <v>74</v>
      </c>
      <c r="AB164" s="19">
        <v>43978</v>
      </c>
      <c r="AC164" s="19">
        <v>43973</v>
      </c>
      <c r="AD164" s="19">
        <v>43979</v>
      </c>
      <c r="AE164" s="19">
        <v>43977</v>
      </c>
      <c r="AF164" s="19">
        <v>43977</v>
      </c>
      <c r="AG164" s="19" t="s">
        <v>176</v>
      </c>
      <c r="AH164" s="31">
        <v>1</v>
      </c>
      <c r="AI164" s="31">
        <v>1</v>
      </c>
      <c r="AJ164" s="31">
        <v>1</v>
      </c>
      <c r="AK164" s="19" t="s">
        <v>150</v>
      </c>
      <c r="AL164" s="15"/>
      <c r="AM164" s="15"/>
      <c r="AN164" s="15"/>
    </row>
    <row r="165" spans="2:40" x14ac:dyDescent="0.25">
      <c r="B165" s="132">
        <f t="shared" si="31"/>
        <v>106</v>
      </c>
      <c r="C165" s="16">
        <v>20200522</v>
      </c>
      <c r="D165" s="15" t="s">
        <v>3</v>
      </c>
      <c r="E165" s="15" t="s">
        <v>415</v>
      </c>
      <c r="F165" s="93" t="s">
        <v>460</v>
      </c>
      <c r="G165" s="17">
        <v>1481841</v>
      </c>
      <c r="H165" s="52" t="s">
        <v>61</v>
      </c>
      <c r="I165" s="15" t="s">
        <v>182</v>
      </c>
      <c r="J165" s="52" t="s">
        <v>61</v>
      </c>
      <c r="K165" s="15" t="s">
        <v>146</v>
      </c>
      <c r="L165" s="15" t="s">
        <v>432</v>
      </c>
      <c r="M165" s="15" t="s">
        <v>150</v>
      </c>
      <c r="N165" s="15" t="s">
        <v>430</v>
      </c>
      <c r="O165" s="17" t="s">
        <v>61</v>
      </c>
      <c r="P165" s="17" t="s">
        <v>269</v>
      </c>
      <c r="Q165" s="18"/>
      <c r="R165" s="52" t="s">
        <v>61</v>
      </c>
      <c r="S165" s="15" t="s">
        <v>6</v>
      </c>
      <c r="T165" s="15"/>
      <c r="U165" s="15"/>
      <c r="V165" s="15">
        <v>184</v>
      </c>
      <c r="W165" s="15">
        <f t="shared" si="38"/>
        <v>184</v>
      </c>
      <c r="X165" s="15">
        <f t="shared" si="39"/>
        <v>184</v>
      </c>
      <c r="Y165" s="15">
        <f>ROUNDDOWN(W165/HLOOKUP(D165,Table!$C$3:$D$4,2,0)*8,2)</f>
        <v>3.27</v>
      </c>
      <c r="Z165" s="15">
        <v>1</v>
      </c>
      <c r="AA165" s="15" t="s">
        <v>74</v>
      </c>
      <c r="AB165" s="19">
        <v>43978</v>
      </c>
      <c r="AC165" s="19">
        <v>43973</v>
      </c>
      <c r="AD165" s="19">
        <v>43979</v>
      </c>
      <c r="AE165" s="19">
        <v>43977</v>
      </c>
      <c r="AF165" s="19">
        <v>43977</v>
      </c>
      <c r="AG165" s="19" t="s">
        <v>176</v>
      </c>
      <c r="AH165" s="31">
        <v>1</v>
      </c>
      <c r="AI165" s="31">
        <v>1</v>
      </c>
      <c r="AJ165" s="31">
        <v>1</v>
      </c>
      <c r="AK165" s="19" t="s">
        <v>150</v>
      </c>
      <c r="AL165" s="15"/>
      <c r="AM165" s="15"/>
      <c r="AN165" s="15"/>
    </row>
    <row r="166" spans="2:40" x14ac:dyDescent="0.25">
      <c r="B166" s="132">
        <f t="shared" si="31"/>
        <v>107</v>
      </c>
      <c r="C166" s="16">
        <v>20200522</v>
      </c>
      <c r="D166" s="15" t="s">
        <v>3</v>
      </c>
      <c r="E166" s="15" t="s">
        <v>415</v>
      </c>
      <c r="F166" s="93" t="s">
        <v>461</v>
      </c>
      <c r="G166" s="17">
        <v>1481841</v>
      </c>
      <c r="H166" s="52" t="s">
        <v>61</v>
      </c>
      <c r="I166" s="15" t="s">
        <v>266</v>
      </c>
      <c r="J166" s="52" t="s">
        <v>61</v>
      </c>
      <c r="K166" s="15" t="s">
        <v>146</v>
      </c>
      <c r="L166" s="15" t="s">
        <v>432</v>
      </c>
      <c r="M166" s="15" t="s">
        <v>150</v>
      </c>
      <c r="N166" s="15" t="s">
        <v>430</v>
      </c>
      <c r="O166" s="17" t="s">
        <v>61</v>
      </c>
      <c r="P166" s="17" t="s">
        <v>269</v>
      </c>
      <c r="Q166" s="18"/>
      <c r="R166" s="52" t="s">
        <v>61</v>
      </c>
      <c r="S166" s="15" t="s">
        <v>6</v>
      </c>
      <c r="T166" s="15"/>
      <c r="U166" s="15"/>
      <c r="V166" s="15">
        <v>641</v>
      </c>
      <c r="W166" s="15">
        <f t="shared" si="38"/>
        <v>641</v>
      </c>
      <c r="X166" s="15">
        <f t="shared" si="39"/>
        <v>641</v>
      </c>
      <c r="Y166" s="15">
        <f>ROUNDDOWN(W166/HLOOKUP(D166,Table!$C$3:$D$4,2,0)*8,2)</f>
        <v>11.39</v>
      </c>
      <c r="Z166" s="15">
        <v>4</v>
      </c>
      <c r="AA166" s="15" t="s">
        <v>74</v>
      </c>
      <c r="AB166" s="19">
        <v>43978</v>
      </c>
      <c r="AC166" s="19">
        <v>43973</v>
      </c>
      <c r="AD166" s="19">
        <v>43979</v>
      </c>
      <c r="AE166" s="19">
        <v>43977</v>
      </c>
      <c r="AF166" s="19">
        <v>43977</v>
      </c>
      <c r="AG166" s="19" t="s">
        <v>177</v>
      </c>
      <c r="AH166" s="31">
        <v>0.98</v>
      </c>
      <c r="AI166" s="31">
        <v>0.96</v>
      </c>
      <c r="AJ166" s="31">
        <v>0.9</v>
      </c>
      <c r="AK166" s="19" t="s">
        <v>139</v>
      </c>
      <c r="AL166" s="15" t="s">
        <v>598</v>
      </c>
      <c r="AM166" s="15"/>
      <c r="AN166" s="15" t="s">
        <v>702</v>
      </c>
    </row>
    <row r="167" spans="2:40" x14ac:dyDescent="0.25">
      <c r="B167" s="132">
        <f t="shared" si="31"/>
        <v>108</v>
      </c>
      <c r="C167" s="16">
        <v>20200522</v>
      </c>
      <c r="D167" s="15" t="s">
        <v>3</v>
      </c>
      <c r="E167" s="15" t="s">
        <v>415</v>
      </c>
      <c r="F167" s="93" t="s">
        <v>462</v>
      </c>
      <c r="G167" s="17">
        <v>1481841</v>
      </c>
      <c r="H167" s="52" t="s">
        <v>61</v>
      </c>
      <c r="I167" s="15" t="s">
        <v>419</v>
      </c>
      <c r="J167" s="52" t="s">
        <v>61</v>
      </c>
      <c r="K167" s="15" t="s">
        <v>146</v>
      </c>
      <c r="L167" s="15" t="s">
        <v>432</v>
      </c>
      <c r="M167" s="15" t="s">
        <v>150</v>
      </c>
      <c r="N167" s="15" t="s">
        <v>430</v>
      </c>
      <c r="O167" s="17" t="s">
        <v>61</v>
      </c>
      <c r="P167" s="17" t="s">
        <v>269</v>
      </c>
      <c r="Q167" s="18"/>
      <c r="R167" s="52" t="s">
        <v>61</v>
      </c>
      <c r="S167" s="15" t="s">
        <v>142</v>
      </c>
      <c r="T167" s="15"/>
      <c r="U167" s="15"/>
      <c r="V167" s="15">
        <v>25</v>
      </c>
      <c r="W167" s="15">
        <v>0</v>
      </c>
      <c r="X167" s="15">
        <f>W167</f>
        <v>0</v>
      </c>
      <c r="Y167" s="15">
        <f>ROUNDDOWN(W167/HLOOKUP(D167,Table!$C$3:$D$4,2,0)*8,2)</f>
        <v>0</v>
      </c>
      <c r="Z167" s="15">
        <v>0.1</v>
      </c>
      <c r="AA167" s="15" t="s">
        <v>74</v>
      </c>
      <c r="AB167" s="19">
        <v>43978</v>
      </c>
      <c r="AC167" s="19">
        <v>43973</v>
      </c>
      <c r="AD167" s="19">
        <v>43979</v>
      </c>
      <c r="AE167" s="19">
        <v>43977</v>
      </c>
      <c r="AF167" s="19">
        <v>43977</v>
      </c>
      <c r="AG167" s="19" t="s">
        <v>176</v>
      </c>
      <c r="AH167" s="79" t="s">
        <v>61</v>
      </c>
      <c r="AI167" s="79" t="s">
        <v>61</v>
      </c>
      <c r="AJ167" s="79" t="s">
        <v>61</v>
      </c>
      <c r="AK167" s="19" t="s">
        <v>150</v>
      </c>
      <c r="AL167" s="124" t="s">
        <v>61</v>
      </c>
      <c r="AM167" s="124" t="s">
        <v>61</v>
      </c>
      <c r="AN167" s="159" t="s">
        <v>194</v>
      </c>
    </row>
    <row r="168" spans="2:40" x14ac:dyDescent="0.25">
      <c r="B168" s="132">
        <f t="shared" si="31"/>
        <v>109</v>
      </c>
      <c r="C168" s="16">
        <v>20200522</v>
      </c>
      <c r="D168" s="15" t="s">
        <v>3</v>
      </c>
      <c r="E168" s="15" t="s">
        <v>415</v>
      </c>
      <c r="F168" s="93" t="s">
        <v>463</v>
      </c>
      <c r="G168" s="17">
        <v>1481841</v>
      </c>
      <c r="H168" s="52" t="s">
        <v>61</v>
      </c>
      <c r="I168" s="15" t="s">
        <v>201</v>
      </c>
      <c r="J168" s="52" t="s">
        <v>61</v>
      </c>
      <c r="K168" s="15" t="s">
        <v>146</v>
      </c>
      <c r="L168" s="15" t="s">
        <v>432</v>
      </c>
      <c r="M168" s="15" t="s">
        <v>150</v>
      </c>
      <c r="N168" s="15" t="s">
        <v>430</v>
      </c>
      <c r="O168" s="17" t="s">
        <v>61</v>
      </c>
      <c r="P168" s="17" t="s">
        <v>269</v>
      </c>
      <c r="Q168" s="18"/>
      <c r="R168" s="52" t="s">
        <v>61</v>
      </c>
      <c r="S168" s="15" t="s">
        <v>142</v>
      </c>
      <c r="T168" s="15"/>
      <c r="U168" s="15"/>
      <c r="V168" s="15">
        <v>220</v>
      </c>
      <c r="W168" s="15">
        <f t="shared" si="38"/>
        <v>220</v>
      </c>
      <c r="X168" s="15">
        <f t="shared" si="39"/>
        <v>220</v>
      </c>
      <c r="Y168" s="15">
        <f>ROUNDDOWN(W168/HLOOKUP(D168,Table!$C$3:$D$4,2,0)*8,2)</f>
        <v>3.91</v>
      </c>
      <c r="Z168" s="15">
        <v>2</v>
      </c>
      <c r="AA168" s="15" t="s">
        <v>74</v>
      </c>
      <c r="AB168" s="19">
        <v>43978</v>
      </c>
      <c r="AC168" s="19">
        <v>43973</v>
      </c>
      <c r="AD168" s="19">
        <v>43979</v>
      </c>
      <c r="AE168" s="19">
        <v>43977</v>
      </c>
      <c r="AF168" s="19">
        <v>43977</v>
      </c>
      <c r="AG168" s="19" t="s">
        <v>176</v>
      </c>
      <c r="AH168" s="31">
        <v>1</v>
      </c>
      <c r="AI168" s="31">
        <v>1</v>
      </c>
      <c r="AJ168" s="31">
        <v>1</v>
      </c>
      <c r="AK168" s="19" t="s">
        <v>150</v>
      </c>
      <c r="AL168" s="124" t="s">
        <v>61</v>
      </c>
      <c r="AM168" s="124" t="s">
        <v>61</v>
      </c>
      <c r="AN168" s="15" t="s">
        <v>61</v>
      </c>
    </row>
    <row r="169" spans="2:40" x14ac:dyDescent="0.25">
      <c r="B169" s="132">
        <f t="shared" si="31"/>
        <v>110</v>
      </c>
      <c r="C169" s="16">
        <v>20200522</v>
      </c>
      <c r="D169" s="15" t="s">
        <v>3</v>
      </c>
      <c r="E169" s="15" t="s">
        <v>415</v>
      </c>
      <c r="F169" s="93" t="s">
        <v>464</v>
      </c>
      <c r="G169" s="17">
        <v>1481841</v>
      </c>
      <c r="H169" s="52" t="s">
        <v>61</v>
      </c>
      <c r="I169" s="15" t="s">
        <v>420</v>
      </c>
      <c r="J169" s="52" t="s">
        <v>61</v>
      </c>
      <c r="K169" s="15" t="s">
        <v>146</v>
      </c>
      <c r="L169" s="15" t="s">
        <v>432</v>
      </c>
      <c r="M169" s="15" t="s">
        <v>150</v>
      </c>
      <c r="N169" s="15" t="s">
        <v>430</v>
      </c>
      <c r="O169" s="17" t="s">
        <v>61</v>
      </c>
      <c r="P169" s="17" t="s">
        <v>269</v>
      </c>
      <c r="Q169" s="18"/>
      <c r="R169" s="52" t="s">
        <v>61</v>
      </c>
      <c r="S169" s="15" t="s">
        <v>142</v>
      </c>
      <c r="T169" s="15"/>
      <c r="U169" s="15"/>
      <c r="V169" s="15">
        <v>7</v>
      </c>
      <c r="W169" s="15">
        <f t="shared" ref="W169:W174" si="40">V169</f>
        <v>7</v>
      </c>
      <c r="X169" s="15">
        <f t="shared" si="39"/>
        <v>7</v>
      </c>
      <c r="Y169" s="15">
        <f>ROUNDDOWN(W169/HLOOKUP(D169,Table!$C$3:$D$4,2,0)*8,2)</f>
        <v>0.12</v>
      </c>
      <c r="Z169" s="15">
        <v>0.1</v>
      </c>
      <c r="AA169" s="15" t="s">
        <v>74</v>
      </c>
      <c r="AB169" s="19">
        <v>43978</v>
      </c>
      <c r="AC169" s="19">
        <v>43973</v>
      </c>
      <c r="AD169" s="19">
        <v>43979</v>
      </c>
      <c r="AE169" s="19">
        <v>43977</v>
      </c>
      <c r="AF169" s="19">
        <v>43977</v>
      </c>
      <c r="AG169" s="19" t="s">
        <v>176</v>
      </c>
      <c r="AH169" s="31">
        <v>1</v>
      </c>
      <c r="AI169" s="31">
        <v>1</v>
      </c>
      <c r="AJ169" s="31">
        <v>1</v>
      </c>
      <c r="AK169" s="19" t="s">
        <v>150</v>
      </c>
      <c r="AL169" s="124" t="s">
        <v>61</v>
      </c>
      <c r="AM169" s="124" t="s">
        <v>61</v>
      </c>
      <c r="AN169" s="15" t="s">
        <v>61</v>
      </c>
    </row>
    <row r="170" spans="2:40" x14ac:dyDescent="0.25">
      <c r="B170" s="132">
        <f t="shared" si="31"/>
        <v>111</v>
      </c>
      <c r="C170" s="16">
        <v>20200522</v>
      </c>
      <c r="D170" s="15" t="s">
        <v>3</v>
      </c>
      <c r="E170" s="15" t="s">
        <v>415</v>
      </c>
      <c r="F170" s="93" t="s">
        <v>465</v>
      </c>
      <c r="G170" s="17">
        <v>1481841</v>
      </c>
      <c r="H170" s="52" t="s">
        <v>61</v>
      </c>
      <c r="I170" s="15" t="s">
        <v>421</v>
      </c>
      <c r="J170" s="52" t="s">
        <v>61</v>
      </c>
      <c r="K170" s="15" t="s">
        <v>146</v>
      </c>
      <c r="L170" s="15" t="s">
        <v>432</v>
      </c>
      <c r="M170" s="15" t="s">
        <v>150</v>
      </c>
      <c r="N170" s="15" t="s">
        <v>430</v>
      </c>
      <c r="O170" s="17" t="s">
        <v>61</v>
      </c>
      <c r="P170" s="17" t="s">
        <v>269</v>
      </c>
      <c r="Q170" s="18"/>
      <c r="R170" s="52" t="s">
        <v>61</v>
      </c>
      <c r="S170" s="15" t="s">
        <v>142</v>
      </c>
      <c r="T170" s="15"/>
      <c r="U170" s="15"/>
      <c r="V170" s="15">
        <v>7</v>
      </c>
      <c r="W170" s="15">
        <f t="shared" si="40"/>
        <v>7</v>
      </c>
      <c r="X170" s="15">
        <f t="shared" si="39"/>
        <v>7</v>
      </c>
      <c r="Y170" s="15">
        <f>ROUNDDOWN(W170/HLOOKUP(D170,Table!$C$3:$D$4,2,0)*8,2)</f>
        <v>0.12</v>
      </c>
      <c r="Z170" s="15">
        <v>0.1</v>
      </c>
      <c r="AA170" s="15" t="s">
        <v>74</v>
      </c>
      <c r="AB170" s="19">
        <v>43978</v>
      </c>
      <c r="AC170" s="19">
        <v>43973</v>
      </c>
      <c r="AD170" s="19">
        <v>43979</v>
      </c>
      <c r="AE170" s="19">
        <v>43977</v>
      </c>
      <c r="AF170" s="19">
        <v>43977</v>
      </c>
      <c r="AG170" s="19" t="s">
        <v>176</v>
      </c>
      <c r="AH170" s="31">
        <v>1</v>
      </c>
      <c r="AI170" s="31">
        <v>1</v>
      </c>
      <c r="AJ170" s="31">
        <v>1</v>
      </c>
      <c r="AK170" s="19" t="s">
        <v>150</v>
      </c>
      <c r="AL170" s="124" t="s">
        <v>61</v>
      </c>
      <c r="AM170" s="124" t="s">
        <v>61</v>
      </c>
      <c r="AN170" s="15" t="s">
        <v>61</v>
      </c>
    </row>
    <row r="171" spans="2:40" x14ac:dyDescent="0.25">
      <c r="B171" s="132">
        <f t="shared" si="31"/>
        <v>112</v>
      </c>
      <c r="C171" s="16">
        <v>20200522</v>
      </c>
      <c r="D171" s="15" t="s">
        <v>3</v>
      </c>
      <c r="E171" s="15" t="s">
        <v>415</v>
      </c>
      <c r="F171" s="93" t="s">
        <v>466</v>
      </c>
      <c r="G171" s="17">
        <v>1481841</v>
      </c>
      <c r="H171" s="52" t="s">
        <v>61</v>
      </c>
      <c r="I171" s="15" t="s">
        <v>422</v>
      </c>
      <c r="J171" s="52" t="s">
        <v>61</v>
      </c>
      <c r="K171" s="15" t="s">
        <v>146</v>
      </c>
      <c r="L171" s="15" t="s">
        <v>432</v>
      </c>
      <c r="M171" s="15" t="s">
        <v>150</v>
      </c>
      <c r="N171" s="15" t="s">
        <v>430</v>
      </c>
      <c r="O171" s="17" t="s">
        <v>61</v>
      </c>
      <c r="P171" s="17" t="s">
        <v>269</v>
      </c>
      <c r="Q171" s="18"/>
      <c r="R171" s="52" t="s">
        <v>61</v>
      </c>
      <c r="S171" s="15" t="s">
        <v>142</v>
      </c>
      <c r="T171" s="15"/>
      <c r="U171" s="15"/>
      <c r="V171" s="15">
        <v>7</v>
      </c>
      <c r="W171" s="15">
        <f t="shared" si="40"/>
        <v>7</v>
      </c>
      <c r="X171" s="15">
        <f t="shared" si="39"/>
        <v>7</v>
      </c>
      <c r="Y171" s="15">
        <f>ROUNDDOWN(W171/HLOOKUP(D171,Table!$C$3:$D$4,2,0)*8,2)</f>
        <v>0.12</v>
      </c>
      <c r="Z171" s="15">
        <v>0.1</v>
      </c>
      <c r="AA171" s="15" t="s">
        <v>74</v>
      </c>
      <c r="AB171" s="19">
        <v>43978</v>
      </c>
      <c r="AC171" s="19">
        <v>43973</v>
      </c>
      <c r="AD171" s="19">
        <v>43979</v>
      </c>
      <c r="AE171" s="19">
        <v>43977</v>
      </c>
      <c r="AF171" s="19">
        <v>43977</v>
      </c>
      <c r="AG171" s="19" t="s">
        <v>176</v>
      </c>
      <c r="AH171" s="31">
        <v>1</v>
      </c>
      <c r="AI171" s="31">
        <v>1</v>
      </c>
      <c r="AJ171" s="31">
        <v>1</v>
      </c>
      <c r="AK171" s="19" t="s">
        <v>150</v>
      </c>
      <c r="AL171" s="124" t="s">
        <v>61</v>
      </c>
      <c r="AM171" s="124" t="s">
        <v>61</v>
      </c>
      <c r="AN171" s="15" t="s">
        <v>61</v>
      </c>
    </row>
    <row r="172" spans="2:40" x14ac:dyDescent="0.25">
      <c r="B172" s="132">
        <f t="shared" si="31"/>
        <v>113</v>
      </c>
      <c r="C172" s="16">
        <v>20200522</v>
      </c>
      <c r="D172" s="15" t="s">
        <v>3</v>
      </c>
      <c r="E172" s="15" t="s">
        <v>415</v>
      </c>
      <c r="F172" s="93" t="s">
        <v>467</v>
      </c>
      <c r="G172" s="17">
        <v>1481841</v>
      </c>
      <c r="H172" s="52" t="s">
        <v>61</v>
      </c>
      <c r="I172" s="15" t="s">
        <v>214</v>
      </c>
      <c r="J172" s="52" t="s">
        <v>61</v>
      </c>
      <c r="K172" s="15" t="s">
        <v>146</v>
      </c>
      <c r="L172" s="15" t="s">
        <v>432</v>
      </c>
      <c r="M172" s="15" t="s">
        <v>150</v>
      </c>
      <c r="N172" s="15" t="s">
        <v>430</v>
      </c>
      <c r="O172" s="17" t="s">
        <v>61</v>
      </c>
      <c r="P172" s="17" t="s">
        <v>269</v>
      </c>
      <c r="Q172" s="18"/>
      <c r="R172" s="52" t="s">
        <v>61</v>
      </c>
      <c r="S172" s="15" t="s">
        <v>142</v>
      </c>
      <c r="T172" s="15"/>
      <c r="U172" s="15"/>
      <c r="V172" s="15">
        <v>259</v>
      </c>
      <c r="W172" s="15">
        <f t="shared" si="40"/>
        <v>259</v>
      </c>
      <c r="X172" s="15">
        <f t="shared" si="39"/>
        <v>259</v>
      </c>
      <c r="Y172" s="15">
        <f>ROUNDDOWN(W172/HLOOKUP(D172,Table!$C$3:$D$4,2,0)*8,2)</f>
        <v>4.5999999999999996</v>
      </c>
      <c r="Z172" s="15">
        <v>1</v>
      </c>
      <c r="AA172" s="15" t="s">
        <v>74</v>
      </c>
      <c r="AB172" s="19">
        <v>43978</v>
      </c>
      <c r="AC172" s="19">
        <v>43973</v>
      </c>
      <c r="AD172" s="19">
        <v>43979</v>
      </c>
      <c r="AE172" s="19">
        <v>43977</v>
      </c>
      <c r="AF172" s="19">
        <v>43977</v>
      </c>
      <c r="AG172" s="19" t="s">
        <v>177</v>
      </c>
      <c r="AH172" s="31">
        <v>1</v>
      </c>
      <c r="AI172" s="31">
        <v>1</v>
      </c>
      <c r="AJ172" s="31">
        <v>0.84</v>
      </c>
      <c r="AK172" s="19" t="s">
        <v>139</v>
      </c>
      <c r="AL172" s="17" t="s">
        <v>597</v>
      </c>
      <c r="AM172" s="15"/>
      <c r="AN172" s="17" t="s">
        <v>647</v>
      </c>
    </row>
    <row r="173" spans="2:40" x14ac:dyDescent="0.25">
      <c r="B173" s="132">
        <f t="shared" si="31"/>
        <v>114</v>
      </c>
      <c r="C173" s="16">
        <v>20200522</v>
      </c>
      <c r="D173" s="15" t="s">
        <v>3</v>
      </c>
      <c r="E173" s="15" t="s">
        <v>415</v>
      </c>
      <c r="F173" s="93" t="s">
        <v>468</v>
      </c>
      <c r="G173" s="17">
        <v>1481841</v>
      </c>
      <c r="H173" s="52" t="s">
        <v>61</v>
      </c>
      <c r="I173" s="15" t="s">
        <v>197</v>
      </c>
      <c r="J173" s="52" t="s">
        <v>61</v>
      </c>
      <c r="K173" s="15" t="s">
        <v>146</v>
      </c>
      <c r="L173" s="15" t="s">
        <v>432</v>
      </c>
      <c r="M173" s="15" t="s">
        <v>150</v>
      </c>
      <c r="N173" s="15" t="s">
        <v>430</v>
      </c>
      <c r="O173" s="17" t="s">
        <v>61</v>
      </c>
      <c r="P173" s="17" t="s">
        <v>269</v>
      </c>
      <c r="Q173" s="18"/>
      <c r="R173" s="52" t="s">
        <v>61</v>
      </c>
      <c r="S173" s="15" t="s">
        <v>6</v>
      </c>
      <c r="T173" s="15"/>
      <c r="U173" s="15"/>
      <c r="V173" s="15">
        <v>371</v>
      </c>
      <c r="W173" s="15">
        <f t="shared" si="40"/>
        <v>371</v>
      </c>
      <c r="X173" s="15">
        <f t="shared" si="39"/>
        <v>371</v>
      </c>
      <c r="Y173" s="15">
        <f>ROUNDDOWN(W173/HLOOKUP(D173,Table!$C$3:$D$4,2,0)*8,2)</f>
        <v>6.59</v>
      </c>
      <c r="Z173" s="15">
        <v>1</v>
      </c>
      <c r="AA173" s="15" t="s">
        <v>74</v>
      </c>
      <c r="AB173" s="19">
        <v>43978</v>
      </c>
      <c r="AC173" s="19">
        <v>43973</v>
      </c>
      <c r="AD173" s="19">
        <v>43979</v>
      </c>
      <c r="AE173" s="19">
        <v>43978</v>
      </c>
      <c r="AF173" s="19">
        <v>43978</v>
      </c>
      <c r="AG173" s="19" t="s">
        <v>176</v>
      </c>
      <c r="AH173" s="31">
        <v>1</v>
      </c>
      <c r="AI173" s="31">
        <v>1</v>
      </c>
      <c r="AJ173" s="31">
        <v>1</v>
      </c>
      <c r="AK173" s="19" t="s">
        <v>150</v>
      </c>
      <c r="AL173" s="15"/>
      <c r="AM173" s="15"/>
      <c r="AN173" s="15"/>
    </row>
    <row r="174" spans="2:40" x14ac:dyDescent="0.25">
      <c r="B174" s="132">
        <f t="shared" si="31"/>
        <v>115</v>
      </c>
      <c r="C174" s="16">
        <v>20200522</v>
      </c>
      <c r="D174" s="15" t="s">
        <v>3</v>
      </c>
      <c r="E174" s="15" t="s">
        <v>415</v>
      </c>
      <c r="F174" s="93" t="s">
        <v>469</v>
      </c>
      <c r="G174" s="17">
        <v>1481841</v>
      </c>
      <c r="H174" s="52" t="s">
        <v>61</v>
      </c>
      <c r="I174" s="15" t="s">
        <v>198</v>
      </c>
      <c r="J174" s="52" t="s">
        <v>61</v>
      </c>
      <c r="K174" s="15" t="s">
        <v>146</v>
      </c>
      <c r="L174" s="15" t="s">
        <v>432</v>
      </c>
      <c r="M174" s="15" t="s">
        <v>150</v>
      </c>
      <c r="N174" s="15" t="s">
        <v>430</v>
      </c>
      <c r="O174" s="17" t="s">
        <v>61</v>
      </c>
      <c r="P174" s="17" t="s">
        <v>269</v>
      </c>
      <c r="Q174" s="18"/>
      <c r="R174" s="52" t="s">
        <v>61</v>
      </c>
      <c r="S174" s="15" t="s">
        <v>142</v>
      </c>
      <c r="T174" s="15"/>
      <c r="U174" s="15"/>
      <c r="V174" s="15">
        <v>115</v>
      </c>
      <c r="W174" s="15">
        <f t="shared" si="40"/>
        <v>115</v>
      </c>
      <c r="X174" s="15">
        <f t="shared" si="39"/>
        <v>115</v>
      </c>
      <c r="Y174" s="15">
        <f>ROUNDDOWN(W174/HLOOKUP(D174,Table!$C$3:$D$4,2,0)*8,2)</f>
        <v>2.04</v>
      </c>
      <c r="Z174" s="15">
        <v>0.5</v>
      </c>
      <c r="AA174" s="15" t="s">
        <v>74</v>
      </c>
      <c r="AB174" s="19">
        <v>43978</v>
      </c>
      <c r="AC174" s="19">
        <v>43973</v>
      </c>
      <c r="AD174" s="19">
        <v>43979</v>
      </c>
      <c r="AE174" s="19">
        <v>43977</v>
      </c>
      <c r="AF174" s="19">
        <v>43977</v>
      </c>
      <c r="AG174" s="19" t="s">
        <v>176</v>
      </c>
      <c r="AH174" s="31">
        <v>1</v>
      </c>
      <c r="AI174" s="31">
        <v>1</v>
      </c>
      <c r="AJ174" s="31">
        <v>1</v>
      </c>
      <c r="AK174" s="19" t="s">
        <v>150</v>
      </c>
      <c r="AL174" s="17" t="s">
        <v>61</v>
      </c>
      <c r="AM174" s="17" t="s">
        <v>61</v>
      </c>
      <c r="AN174" s="17" t="s">
        <v>61</v>
      </c>
    </row>
    <row r="175" spans="2:40" x14ac:dyDescent="0.25">
      <c r="B175" s="133">
        <f t="shared" si="31"/>
        <v>116</v>
      </c>
      <c r="C175" s="16">
        <v>20200522</v>
      </c>
      <c r="D175" s="15" t="s">
        <v>3</v>
      </c>
      <c r="E175" s="15" t="s">
        <v>441</v>
      </c>
      <c r="F175" s="93" t="s">
        <v>706</v>
      </c>
      <c r="G175" s="17">
        <v>1482572</v>
      </c>
      <c r="H175" s="52" t="s">
        <v>61</v>
      </c>
      <c r="I175" s="15" t="s">
        <v>226</v>
      </c>
      <c r="J175" s="52" t="s">
        <v>61</v>
      </c>
      <c r="K175" s="15" t="s">
        <v>146</v>
      </c>
      <c r="L175" s="15" t="s">
        <v>451</v>
      </c>
      <c r="M175" s="15" t="s">
        <v>433</v>
      </c>
      <c r="N175" s="15" t="s">
        <v>452</v>
      </c>
      <c r="O175" s="17" t="s">
        <v>61</v>
      </c>
      <c r="P175" s="17" t="s">
        <v>448</v>
      </c>
      <c r="Q175" s="18"/>
      <c r="R175" s="52" t="s">
        <v>61</v>
      </c>
      <c r="S175" s="15" t="s">
        <v>70</v>
      </c>
      <c r="T175" s="15"/>
      <c r="U175" s="15"/>
      <c r="V175" s="15">
        <v>20</v>
      </c>
      <c r="W175" s="15">
        <f>V175</f>
        <v>20</v>
      </c>
      <c r="X175" s="15">
        <f t="shared" si="39"/>
        <v>20</v>
      </c>
      <c r="Y175" s="15">
        <f>ROUNDDOWN(W175/HLOOKUP(D175,Table!$C$3:$D$4,2,0)*8,2)</f>
        <v>0.35</v>
      </c>
      <c r="Z175" s="15">
        <v>0.5</v>
      </c>
      <c r="AA175" s="15" t="s">
        <v>74</v>
      </c>
      <c r="AB175" s="19">
        <v>43977</v>
      </c>
      <c r="AC175" s="19">
        <v>43973</v>
      </c>
      <c r="AD175" s="99">
        <v>43977</v>
      </c>
      <c r="AE175" s="19">
        <v>43977</v>
      </c>
      <c r="AF175" s="19">
        <v>43977</v>
      </c>
      <c r="AG175" s="19" t="s">
        <v>176</v>
      </c>
      <c r="AH175" s="31">
        <v>1</v>
      </c>
      <c r="AI175" s="31">
        <v>1</v>
      </c>
      <c r="AJ175" s="31">
        <v>1</v>
      </c>
      <c r="AK175" s="19" t="s">
        <v>150</v>
      </c>
      <c r="AL175" s="109" t="s">
        <v>61</v>
      </c>
      <c r="AM175" s="109" t="s">
        <v>61</v>
      </c>
      <c r="AN175" s="109" t="s">
        <v>61</v>
      </c>
    </row>
    <row r="176" spans="2:40" x14ac:dyDescent="0.25">
      <c r="B176" s="133">
        <f t="shared" si="31"/>
        <v>117</v>
      </c>
      <c r="C176" s="16">
        <v>20200522</v>
      </c>
      <c r="D176" s="15" t="s">
        <v>3</v>
      </c>
      <c r="E176" s="15" t="s">
        <v>440</v>
      </c>
      <c r="F176" s="93" t="s">
        <v>470</v>
      </c>
      <c r="G176" s="17">
        <v>1481766</v>
      </c>
      <c r="H176" s="52" t="s">
        <v>61</v>
      </c>
      <c r="I176" s="15" t="s">
        <v>442</v>
      </c>
      <c r="J176" s="52" t="s">
        <v>61</v>
      </c>
      <c r="K176" s="15" t="s">
        <v>146</v>
      </c>
      <c r="L176" s="15" t="s">
        <v>457</v>
      </c>
      <c r="M176" s="15" t="s">
        <v>150</v>
      </c>
      <c r="N176" s="15" t="s">
        <v>228</v>
      </c>
      <c r="O176" s="17" t="s">
        <v>61</v>
      </c>
      <c r="P176" s="17" t="s">
        <v>447</v>
      </c>
      <c r="Q176" s="18"/>
      <c r="R176" s="52" t="s">
        <v>61</v>
      </c>
      <c r="S176" s="15" t="s">
        <v>70</v>
      </c>
      <c r="T176" s="15"/>
      <c r="U176" s="15"/>
      <c r="V176" s="15">
        <v>43</v>
      </c>
      <c r="W176" s="15">
        <f>V176</f>
        <v>43</v>
      </c>
      <c r="X176" s="15">
        <f t="shared" si="39"/>
        <v>43</v>
      </c>
      <c r="Y176" s="15">
        <f>ROUNDDOWN(W176/HLOOKUP(D176,Table!$C$3:$D$4,2,0)*8,2)</f>
        <v>0.76</v>
      </c>
      <c r="Z176" s="15">
        <v>0.5</v>
      </c>
      <c r="AA176" s="15" t="s">
        <v>74</v>
      </c>
      <c r="AB176" s="19">
        <v>43980</v>
      </c>
      <c r="AC176" s="19">
        <v>43973</v>
      </c>
      <c r="AD176" s="19">
        <v>43982</v>
      </c>
      <c r="AE176" s="19">
        <v>43976</v>
      </c>
      <c r="AF176" s="19">
        <v>43976</v>
      </c>
      <c r="AG176" s="19" t="s">
        <v>176</v>
      </c>
      <c r="AH176" s="31">
        <v>1</v>
      </c>
      <c r="AI176" s="31">
        <v>1</v>
      </c>
      <c r="AJ176" s="31">
        <v>1</v>
      </c>
      <c r="AK176" s="19" t="s">
        <v>150</v>
      </c>
      <c r="AL176" s="109" t="s">
        <v>61</v>
      </c>
      <c r="AM176" s="109" t="s">
        <v>61</v>
      </c>
      <c r="AN176" s="109" t="s">
        <v>61</v>
      </c>
    </row>
    <row r="177" spans="2:40" x14ac:dyDescent="0.25">
      <c r="B177" s="133">
        <f t="shared" si="31"/>
        <v>118</v>
      </c>
      <c r="C177" s="16">
        <v>20200522</v>
      </c>
      <c r="D177" s="15" t="s">
        <v>3</v>
      </c>
      <c r="E177" s="15" t="s">
        <v>440</v>
      </c>
      <c r="F177" s="93" t="s">
        <v>471</v>
      </c>
      <c r="G177" s="17">
        <v>1481766</v>
      </c>
      <c r="H177" s="52" t="s">
        <v>61</v>
      </c>
      <c r="I177" s="15" t="s">
        <v>443</v>
      </c>
      <c r="J177" s="52" t="s">
        <v>61</v>
      </c>
      <c r="K177" s="15" t="s">
        <v>146</v>
      </c>
      <c r="L177" s="15" t="s">
        <v>457</v>
      </c>
      <c r="M177" s="15" t="s">
        <v>150</v>
      </c>
      <c r="N177" s="15" t="s">
        <v>228</v>
      </c>
      <c r="O177" s="17" t="s">
        <v>61</v>
      </c>
      <c r="P177" s="17" t="s">
        <v>447</v>
      </c>
      <c r="Q177" s="18"/>
      <c r="R177" s="52" t="s">
        <v>61</v>
      </c>
      <c r="S177" s="15" t="s">
        <v>70</v>
      </c>
      <c r="T177" s="15"/>
      <c r="U177" s="15"/>
      <c r="V177" s="15">
        <v>132</v>
      </c>
      <c r="W177" s="15">
        <f t="shared" ref="W177:W182" si="41">V177</f>
        <v>132</v>
      </c>
      <c r="X177" s="15">
        <f t="shared" si="39"/>
        <v>132</v>
      </c>
      <c r="Y177" s="15">
        <f>ROUNDDOWN(W177/HLOOKUP(D177,Table!$C$3:$D$4,2,0)*8,2)</f>
        <v>2.34</v>
      </c>
      <c r="Z177" s="15">
        <v>0.5</v>
      </c>
      <c r="AA177" s="15" t="s">
        <v>74</v>
      </c>
      <c r="AB177" s="19">
        <v>43980</v>
      </c>
      <c r="AC177" s="19">
        <v>43973</v>
      </c>
      <c r="AD177" s="19">
        <v>43982</v>
      </c>
      <c r="AE177" s="19">
        <v>43976</v>
      </c>
      <c r="AF177" s="19">
        <v>43976</v>
      </c>
      <c r="AG177" s="19" t="s">
        <v>176</v>
      </c>
      <c r="AH177" s="31">
        <v>1</v>
      </c>
      <c r="AI177" s="31">
        <v>1</v>
      </c>
      <c r="AJ177" s="31">
        <v>1</v>
      </c>
      <c r="AK177" s="19" t="s">
        <v>150</v>
      </c>
      <c r="AL177" s="109" t="s">
        <v>61</v>
      </c>
      <c r="AM177" s="109" t="s">
        <v>61</v>
      </c>
      <c r="AN177" s="109" t="s">
        <v>61</v>
      </c>
    </row>
    <row r="178" spans="2:40" x14ac:dyDescent="0.25">
      <c r="B178" s="133">
        <f t="shared" si="31"/>
        <v>119</v>
      </c>
      <c r="C178" s="16">
        <v>20200522</v>
      </c>
      <c r="D178" s="15" t="s">
        <v>3</v>
      </c>
      <c r="E178" s="15" t="s">
        <v>440</v>
      </c>
      <c r="F178" s="93" t="s">
        <v>472</v>
      </c>
      <c r="G178" s="17">
        <v>1481766</v>
      </c>
      <c r="H178" s="52" t="s">
        <v>61</v>
      </c>
      <c r="I178" s="15" t="s">
        <v>444</v>
      </c>
      <c r="J178" s="52" t="s">
        <v>61</v>
      </c>
      <c r="K178" s="15" t="s">
        <v>146</v>
      </c>
      <c r="L178" s="15" t="s">
        <v>457</v>
      </c>
      <c r="M178" s="15" t="s">
        <v>150</v>
      </c>
      <c r="N178" s="15" t="s">
        <v>228</v>
      </c>
      <c r="O178" s="17" t="s">
        <v>61</v>
      </c>
      <c r="P178" s="17" t="s">
        <v>447</v>
      </c>
      <c r="Q178" s="18"/>
      <c r="R178" s="52" t="s">
        <v>61</v>
      </c>
      <c r="S178" s="15" t="s">
        <v>67</v>
      </c>
      <c r="T178" s="15"/>
      <c r="U178" s="15"/>
      <c r="V178" s="15">
        <v>72</v>
      </c>
      <c r="W178" s="15">
        <f t="shared" si="41"/>
        <v>72</v>
      </c>
      <c r="X178" s="15">
        <f t="shared" si="39"/>
        <v>72</v>
      </c>
      <c r="Y178" s="15">
        <f>ROUNDDOWN(W178/HLOOKUP(D178,Table!$C$3:$D$4,2,0)*8,2)</f>
        <v>1.28</v>
      </c>
      <c r="Z178" s="15">
        <v>1</v>
      </c>
      <c r="AA178" s="15" t="s">
        <v>74</v>
      </c>
      <c r="AB178" s="19">
        <v>43980</v>
      </c>
      <c r="AC178" s="19">
        <v>43973</v>
      </c>
      <c r="AD178" s="19">
        <v>43982</v>
      </c>
      <c r="AE178" s="19">
        <v>43977</v>
      </c>
      <c r="AF178" s="19">
        <v>43977</v>
      </c>
      <c r="AG178" s="19" t="s">
        <v>176</v>
      </c>
      <c r="AH178" s="31">
        <v>1</v>
      </c>
      <c r="AI178" s="31">
        <v>1</v>
      </c>
      <c r="AJ178" s="31">
        <v>1</v>
      </c>
      <c r="AK178" s="19" t="s">
        <v>150</v>
      </c>
      <c r="AL178" s="109" t="s">
        <v>61</v>
      </c>
      <c r="AM178" s="109" t="s">
        <v>61</v>
      </c>
      <c r="AN178" s="109" t="s">
        <v>61</v>
      </c>
    </row>
    <row r="179" spans="2:40" x14ac:dyDescent="0.25">
      <c r="B179" s="133">
        <f t="shared" si="31"/>
        <v>120</v>
      </c>
      <c r="C179" s="16">
        <v>20200522</v>
      </c>
      <c r="D179" s="15" t="s">
        <v>3</v>
      </c>
      <c r="E179" s="15" t="s">
        <v>440</v>
      </c>
      <c r="F179" s="93" t="s">
        <v>473</v>
      </c>
      <c r="G179" s="17">
        <v>1482047</v>
      </c>
      <c r="H179" s="52" t="s">
        <v>61</v>
      </c>
      <c r="I179" s="15" t="s">
        <v>153</v>
      </c>
      <c r="J179" s="52" t="s">
        <v>61</v>
      </c>
      <c r="K179" s="15" t="s">
        <v>146</v>
      </c>
      <c r="L179" s="15" t="s">
        <v>453</v>
      </c>
      <c r="M179" s="15" t="s">
        <v>150</v>
      </c>
      <c r="N179" s="15" t="s">
        <v>228</v>
      </c>
      <c r="O179" s="17" t="s">
        <v>61</v>
      </c>
      <c r="P179" s="17" t="s">
        <v>454</v>
      </c>
      <c r="Q179" s="18"/>
      <c r="R179" s="52" t="s">
        <v>61</v>
      </c>
      <c r="S179" s="15" t="s">
        <v>70</v>
      </c>
      <c r="T179" s="15"/>
      <c r="U179" s="15"/>
      <c r="V179" s="15">
        <v>175</v>
      </c>
      <c r="W179" s="15">
        <f>V179</f>
        <v>175</v>
      </c>
      <c r="X179" s="15">
        <f t="shared" si="39"/>
        <v>175</v>
      </c>
      <c r="Y179" s="15">
        <f>ROUNDDOWN(W179/HLOOKUP(D179,Table!$C$3:$D$4,2,0)*8,2)</f>
        <v>3.11</v>
      </c>
      <c r="Z179" s="15">
        <v>0.5</v>
      </c>
      <c r="AA179" s="15" t="s">
        <v>74</v>
      </c>
      <c r="AB179" s="19">
        <v>43980</v>
      </c>
      <c r="AC179" s="19">
        <v>43973</v>
      </c>
      <c r="AD179" s="19">
        <v>43982</v>
      </c>
      <c r="AE179" s="19">
        <v>43976</v>
      </c>
      <c r="AF179" s="19">
        <v>43976</v>
      </c>
      <c r="AG179" s="19" t="s">
        <v>176</v>
      </c>
      <c r="AH179" s="31">
        <v>1</v>
      </c>
      <c r="AI179" s="31">
        <v>1</v>
      </c>
      <c r="AJ179" s="31">
        <v>1</v>
      </c>
      <c r="AK179" s="19" t="s">
        <v>150</v>
      </c>
      <c r="AL179" s="109" t="s">
        <v>61</v>
      </c>
      <c r="AM179" s="109" t="s">
        <v>61</v>
      </c>
      <c r="AN179" s="109" t="s">
        <v>61</v>
      </c>
    </row>
    <row r="180" spans="2:40" x14ac:dyDescent="0.25">
      <c r="B180" s="133">
        <f t="shared" si="31"/>
        <v>121</v>
      </c>
      <c r="C180" s="16">
        <v>20200522</v>
      </c>
      <c r="D180" s="15" t="s">
        <v>2</v>
      </c>
      <c r="E180" s="15" t="s">
        <v>414</v>
      </c>
      <c r="F180" s="93" t="s">
        <v>61</v>
      </c>
      <c r="G180" s="17">
        <v>1482841</v>
      </c>
      <c r="H180" s="52" t="s">
        <v>61</v>
      </c>
      <c r="I180" s="15" t="s">
        <v>843</v>
      </c>
      <c r="J180" s="52" t="s">
        <v>61</v>
      </c>
      <c r="K180" s="15" t="s">
        <v>146</v>
      </c>
      <c r="L180" s="15" t="s">
        <v>150</v>
      </c>
      <c r="M180" s="15" t="s">
        <v>450</v>
      </c>
      <c r="N180" s="15" t="s">
        <v>449</v>
      </c>
      <c r="O180" s="17">
        <v>1.1000000000000001</v>
      </c>
      <c r="P180" s="17" t="s">
        <v>426</v>
      </c>
      <c r="Q180" s="18"/>
      <c r="R180" s="52" t="s">
        <v>61</v>
      </c>
      <c r="S180" s="15" t="s">
        <v>69</v>
      </c>
      <c r="T180" s="15"/>
      <c r="U180" s="15"/>
      <c r="V180" s="15">
        <v>5</v>
      </c>
      <c r="W180" s="15">
        <f t="shared" si="41"/>
        <v>5</v>
      </c>
      <c r="X180" s="15">
        <f>W180</f>
        <v>5</v>
      </c>
      <c r="Y180" s="15">
        <f>ROUNDDOWN(W180/HLOOKUP(D180,Table!$C$3:$D$4,2,0)*8,2)</f>
        <v>0.3</v>
      </c>
      <c r="Z180" s="15">
        <v>0.3</v>
      </c>
      <c r="AA180" s="15" t="s">
        <v>74</v>
      </c>
      <c r="AB180" s="19">
        <v>43984</v>
      </c>
      <c r="AC180" s="19">
        <v>43973</v>
      </c>
      <c r="AD180" s="19">
        <v>43984</v>
      </c>
      <c r="AE180" s="19">
        <v>43983</v>
      </c>
      <c r="AF180" s="19">
        <v>43983</v>
      </c>
      <c r="AG180" s="19" t="s">
        <v>176</v>
      </c>
      <c r="AH180" s="31">
        <v>1</v>
      </c>
      <c r="AI180" s="31">
        <v>1</v>
      </c>
      <c r="AJ180" s="31">
        <v>1</v>
      </c>
      <c r="AK180" s="19" t="s">
        <v>150</v>
      </c>
      <c r="AL180" s="109" t="s">
        <v>61</v>
      </c>
      <c r="AM180" s="109" t="s">
        <v>61</v>
      </c>
      <c r="AN180" s="109" t="s">
        <v>61</v>
      </c>
    </row>
    <row r="181" spans="2:40" x14ac:dyDescent="0.25">
      <c r="B181" s="133">
        <f t="shared" si="31"/>
        <v>122</v>
      </c>
      <c r="C181" s="16">
        <v>20200522</v>
      </c>
      <c r="D181" s="15" t="s">
        <v>2</v>
      </c>
      <c r="E181" s="15" t="s">
        <v>414</v>
      </c>
      <c r="F181" s="93" t="s">
        <v>61</v>
      </c>
      <c r="G181" s="17">
        <v>1482841</v>
      </c>
      <c r="H181" s="52" t="s">
        <v>61</v>
      </c>
      <c r="I181" s="15" t="s">
        <v>477</v>
      </c>
      <c r="J181" s="52" t="s">
        <v>61</v>
      </c>
      <c r="K181" s="15" t="s">
        <v>146</v>
      </c>
      <c r="L181" s="15" t="s">
        <v>150</v>
      </c>
      <c r="M181" s="15" t="s">
        <v>450</v>
      </c>
      <c r="N181" s="15" t="s">
        <v>449</v>
      </c>
      <c r="O181" s="17" t="s">
        <v>446</v>
      </c>
      <c r="P181" s="17" t="s">
        <v>426</v>
      </c>
      <c r="Q181" s="18"/>
      <c r="R181" s="52" t="s">
        <v>61</v>
      </c>
      <c r="S181" s="15" t="s">
        <v>67</v>
      </c>
      <c r="T181" s="15"/>
      <c r="U181" s="15"/>
      <c r="V181" s="15">
        <v>150</v>
      </c>
      <c r="W181" s="15">
        <f t="shared" si="41"/>
        <v>150</v>
      </c>
      <c r="X181" s="15">
        <f>W181</f>
        <v>150</v>
      </c>
      <c r="Y181" s="15">
        <f>ROUNDDOWN(W181/HLOOKUP(D181,Table!$C$3:$D$4,2,0)*8,2)</f>
        <v>9.23</v>
      </c>
      <c r="Z181" s="15">
        <v>9</v>
      </c>
      <c r="AA181" s="15" t="s">
        <v>74</v>
      </c>
      <c r="AB181" s="19">
        <v>43986</v>
      </c>
      <c r="AC181" s="19">
        <v>43973</v>
      </c>
      <c r="AD181" s="99">
        <v>43984</v>
      </c>
      <c r="AE181" s="19">
        <v>43986</v>
      </c>
      <c r="AF181" s="19">
        <v>43986</v>
      </c>
      <c r="AG181" s="19" t="s">
        <v>177</v>
      </c>
      <c r="AH181" s="31">
        <v>0.90200000000000002</v>
      </c>
      <c r="AI181" s="31">
        <v>0.90900000000000003</v>
      </c>
      <c r="AJ181" s="31">
        <v>0.91200000000000003</v>
      </c>
      <c r="AK181" s="19" t="s">
        <v>139</v>
      </c>
      <c r="AL181" s="17" t="s">
        <v>1248</v>
      </c>
      <c r="AM181" s="109" t="s">
        <v>61</v>
      </c>
      <c r="AN181" s="15" t="s">
        <v>1239</v>
      </c>
    </row>
    <row r="182" spans="2:40" x14ac:dyDescent="0.25">
      <c r="B182" s="133">
        <f t="shared" si="31"/>
        <v>123</v>
      </c>
      <c r="C182" s="16">
        <v>20200522</v>
      </c>
      <c r="D182" s="15" t="s">
        <v>3</v>
      </c>
      <c r="E182" s="15" t="s">
        <v>359</v>
      </c>
      <c r="F182" s="93" t="s">
        <v>474</v>
      </c>
      <c r="G182" s="17">
        <v>1479289</v>
      </c>
      <c r="H182" s="52" t="s">
        <v>61</v>
      </c>
      <c r="I182" s="15" t="s">
        <v>445</v>
      </c>
      <c r="J182" s="52" t="s">
        <v>61</v>
      </c>
      <c r="K182" s="15" t="s">
        <v>146</v>
      </c>
      <c r="L182" s="15" t="s">
        <v>180</v>
      </c>
      <c r="M182" s="15" t="s">
        <v>150</v>
      </c>
      <c r="N182" s="15" t="s">
        <v>181</v>
      </c>
      <c r="O182" s="17" t="s">
        <v>61</v>
      </c>
      <c r="P182" s="17" t="s">
        <v>179</v>
      </c>
      <c r="Q182" s="18"/>
      <c r="R182" s="52" t="s">
        <v>61</v>
      </c>
      <c r="S182" s="15" t="s">
        <v>70</v>
      </c>
      <c r="T182" s="15"/>
      <c r="U182" s="15"/>
      <c r="V182" s="15">
        <v>108</v>
      </c>
      <c r="W182" s="15">
        <f t="shared" si="41"/>
        <v>108</v>
      </c>
      <c r="X182" s="15">
        <f t="shared" ref="X182:X190" si="42">W182</f>
        <v>108</v>
      </c>
      <c r="Y182" s="15">
        <f>ROUNDDOWN(W182/HLOOKUP(D182,Table!$C$3:$D$4,2,0)*8,2)</f>
        <v>1.92</v>
      </c>
      <c r="Z182" s="15">
        <v>1</v>
      </c>
      <c r="AA182" s="15" t="s">
        <v>74</v>
      </c>
      <c r="AB182" s="19">
        <v>43984</v>
      </c>
      <c r="AC182" s="19">
        <v>43973</v>
      </c>
      <c r="AD182" s="19">
        <v>43984</v>
      </c>
      <c r="AE182" s="19">
        <v>43976</v>
      </c>
      <c r="AF182" s="19">
        <v>43976</v>
      </c>
      <c r="AG182" s="19" t="s">
        <v>176</v>
      </c>
      <c r="AH182" s="31">
        <v>1</v>
      </c>
      <c r="AI182" s="31">
        <v>1</v>
      </c>
      <c r="AJ182" s="31">
        <v>1</v>
      </c>
      <c r="AK182" s="19" t="s">
        <v>150</v>
      </c>
      <c r="AL182" s="109" t="s">
        <v>61</v>
      </c>
      <c r="AM182" s="109" t="s">
        <v>61</v>
      </c>
      <c r="AN182" s="109" t="s">
        <v>61</v>
      </c>
    </row>
    <row r="183" spans="2:40" x14ac:dyDescent="0.25">
      <c r="B183" s="41">
        <f t="shared" si="31"/>
        <v>124</v>
      </c>
      <c r="C183" s="16">
        <v>20200525</v>
      </c>
      <c r="D183" s="15" t="s">
        <v>3</v>
      </c>
      <c r="E183" s="80" t="s">
        <v>479</v>
      </c>
      <c r="F183" s="93" t="s">
        <v>535</v>
      </c>
      <c r="G183" s="80">
        <v>1484917</v>
      </c>
      <c r="H183" s="52" t="s">
        <v>61</v>
      </c>
      <c r="I183" s="80" t="s">
        <v>480</v>
      </c>
      <c r="J183" s="52" t="s">
        <v>61</v>
      </c>
      <c r="K183" s="15" t="s">
        <v>184</v>
      </c>
      <c r="L183" s="15" t="s">
        <v>526</v>
      </c>
      <c r="M183" s="80" t="s">
        <v>527</v>
      </c>
      <c r="N183" s="80" t="s">
        <v>528</v>
      </c>
      <c r="O183" s="17" t="s">
        <v>61</v>
      </c>
      <c r="P183" s="77" t="s">
        <v>529</v>
      </c>
      <c r="Q183" s="18"/>
      <c r="R183" s="52" t="s">
        <v>61</v>
      </c>
      <c r="S183" s="15" t="s">
        <v>69</v>
      </c>
      <c r="T183" s="15"/>
      <c r="U183" s="15"/>
      <c r="V183" s="80">
        <v>8</v>
      </c>
      <c r="W183" s="15">
        <f t="shared" ref="W183:W214" si="43">V183</f>
        <v>8</v>
      </c>
      <c r="X183" s="15">
        <f t="shared" si="42"/>
        <v>8</v>
      </c>
      <c r="Y183" s="15">
        <f>ROUNDDOWN(W183/HLOOKUP(D183,Table!$C$3:$D$4,2,0)*8,2)</f>
        <v>0.14000000000000001</v>
      </c>
      <c r="Z183" s="15">
        <v>0.1</v>
      </c>
      <c r="AA183" s="15" t="s">
        <v>74</v>
      </c>
      <c r="AB183" s="19">
        <v>43983</v>
      </c>
      <c r="AC183" s="19">
        <v>43976</v>
      </c>
      <c r="AD183" s="19">
        <v>43983</v>
      </c>
      <c r="AE183" s="19">
        <v>43978</v>
      </c>
      <c r="AF183" s="19">
        <v>43978</v>
      </c>
      <c r="AG183" s="19" t="s">
        <v>176</v>
      </c>
      <c r="AH183" s="31">
        <v>1</v>
      </c>
      <c r="AI183" s="31">
        <v>1</v>
      </c>
      <c r="AJ183" s="31">
        <v>1</v>
      </c>
      <c r="AK183" s="19" t="s">
        <v>150</v>
      </c>
      <c r="AL183" s="136" t="s">
        <v>61</v>
      </c>
      <c r="AM183" s="136" t="s">
        <v>61</v>
      </c>
      <c r="AN183" s="137" t="s">
        <v>530</v>
      </c>
    </row>
    <row r="184" spans="2:40" x14ac:dyDescent="0.25">
      <c r="B184" s="41">
        <f t="shared" si="31"/>
        <v>125</v>
      </c>
      <c r="C184" s="16">
        <v>20200525</v>
      </c>
      <c r="D184" s="15" t="s">
        <v>3</v>
      </c>
      <c r="E184" s="80" t="s">
        <v>479</v>
      </c>
      <c r="F184" s="93" t="s">
        <v>536</v>
      </c>
      <c r="G184" s="80">
        <v>1484917</v>
      </c>
      <c r="H184" s="52" t="s">
        <v>61</v>
      </c>
      <c r="I184" s="80" t="s">
        <v>481</v>
      </c>
      <c r="J184" s="52" t="s">
        <v>61</v>
      </c>
      <c r="K184" s="15" t="s">
        <v>184</v>
      </c>
      <c r="L184" s="15" t="s">
        <v>526</v>
      </c>
      <c r="M184" s="15" t="s">
        <v>527</v>
      </c>
      <c r="N184" s="15" t="s">
        <v>528</v>
      </c>
      <c r="O184" s="17" t="s">
        <v>61</v>
      </c>
      <c r="P184" s="17" t="s">
        <v>529</v>
      </c>
      <c r="Q184" s="18"/>
      <c r="R184" s="52" t="s">
        <v>61</v>
      </c>
      <c r="S184" s="15" t="s">
        <v>69</v>
      </c>
      <c r="T184" s="15"/>
      <c r="U184" s="15"/>
      <c r="V184" s="80">
        <v>25</v>
      </c>
      <c r="W184" s="15">
        <f t="shared" si="43"/>
        <v>25</v>
      </c>
      <c r="X184" s="15">
        <f t="shared" si="42"/>
        <v>25</v>
      </c>
      <c r="Y184" s="15">
        <f>ROUNDDOWN(W184/HLOOKUP(D184,Table!$C$3:$D$4,2,0)*8,2)</f>
        <v>0.44</v>
      </c>
      <c r="Z184" s="15">
        <v>0.4</v>
      </c>
      <c r="AA184" s="15" t="s">
        <v>74</v>
      </c>
      <c r="AB184" s="19">
        <v>43983</v>
      </c>
      <c r="AC184" s="19">
        <v>43976</v>
      </c>
      <c r="AD184" s="19">
        <v>43983</v>
      </c>
      <c r="AE184" s="19">
        <v>43978</v>
      </c>
      <c r="AF184" s="19">
        <v>43978</v>
      </c>
      <c r="AG184" s="19" t="s">
        <v>176</v>
      </c>
      <c r="AH184" s="31">
        <v>1</v>
      </c>
      <c r="AI184" s="31">
        <v>1</v>
      </c>
      <c r="AJ184" s="31">
        <v>1</v>
      </c>
      <c r="AK184" s="19" t="s">
        <v>150</v>
      </c>
      <c r="AL184" s="136" t="s">
        <v>61</v>
      </c>
      <c r="AM184" s="136" t="s">
        <v>61</v>
      </c>
      <c r="AN184" s="137" t="s">
        <v>530</v>
      </c>
    </row>
    <row r="185" spans="2:40" x14ac:dyDescent="0.25">
      <c r="B185" s="41">
        <f t="shared" si="31"/>
        <v>126</v>
      </c>
      <c r="C185" s="16">
        <v>20200525</v>
      </c>
      <c r="D185" s="15" t="s">
        <v>3</v>
      </c>
      <c r="E185" s="80" t="s">
        <v>479</v>
      </c>
      <c r="F185" s="93" t="s">
        <v>537</v>
      </c>
      <c r="G185" s="80">
        <v>1484917</v>
      </c>
      <c r="H185" s="52" t="s">
        <v>61</v>
      </c>
      <c r="I185" s="80" t="s">
        <v>482</v>
      </c>
      <c r="J185" s="52" t="s">
        <v>61</v>
      </c>
      <c r="K185" s="15" t="s">
        <v>184</v>
      </c>
      <c r="L185" s="15" t="s">
        <v>526</v>
      </c>
      <c r="M185" s="15" t="s">
        <v>527</v>
      </c>
      <c r="N185" s="15" t="s">
        <v>528</v>
      </c>
      <c r="O185" s="17" t="s">
        <v>61</v>
      </c>
      <c r="P185" s="17" t="s">
        <v>529</v>
      </c>
      <c r="Q185" s="18"/>
      <c r="R185" s="52" t="s">
        <v>61</v>
      </c>
      <c r="S185" s="15" t="s">
        <v>69</v>
      </c>
      <c r="T185" s="15"/>
      <c r="U185" s="15"/>
      <c r="V185" s="80">
        <v>15</v>
      </c>
      <c r="W185" s="15">
        <f t="shared" si="43"/>
        <v>15</v>
      </c>
      <c r="X185" s="15">
        <f t="shared" si="42"/>
        <v>15</v>
      </c>
      <c r="Y185" s="15">
        <f>ROUNDDOWN(W185/HLOOKUP(D185,Table!$C$3:$D$4,2,0)*8,2)</f>
        <v>0.26</v>
      </c>
      <c r="Z185" s="15">
        <v>0.2</v>
      </c>
      <c r="AA185" s="15" t="s">
        <v>74</v>
      </c>
      <c r="AB185" s="19">
        <v>43983</v>
      </c>
      <c r="AC185" s="19">
        <v>43976</v>
      </c>
      <c r="AD185" s="19">
        <v>43983</v>
      </c>
      <c r="AE185" s="19">
        <v>43978</v>
      </c>
      <c r="AF185" s="19">
        <v>43978</v>
      </c>
      <c r="AG185" s="19" t="s">
        <v>176</v>
      </c>
      <c r="AH185" s="31">
        <v>1</v>
      </c>
      <c r="AI185" s="31">
        <v>1</v>
      </c>
      <c r="AJ185" s="31">
        <v>1</v>
      </c>
      <c r="AK185" s="19" t="s">
        <v>150</v>
      </c>
      <c r="AL185" s="136" t="s">
        <v>61</v>
      </c>
      <c r="AM185" s="136" t="s">
        <v>61</v>
      </c>
      <c r="AN185" s="137" t="s">
        <v>530</v>
      </c>
    </row>
    <row r="186" spans="2:40" x14ac:dyDescent="0.25">
      <c r="B186" s="41">
        <f t="shared" si="31"/>
        <v>127</v>
      </c>
      <c r="C186" s="16">
        <v>20200525</v>
      </c>
      <c r="D186" s="15" t="s">
        <v>3</v>
      </c>
      <c r="E186" s="80" t="s">
        <v>479</v>
      </c>
      <c r="F186" s="93" t="s">
        <v>538</v>
      </c>
      <c r="G186" s="80">
        <v>1484917</v>
      </c>
      <c r="H186" s="52" t="s">
        <v>61</v>
      </c>
      <c r="I186" s="80" t="s">
        <v>483</v>
      </c>
      <c r="J186" s="52" t="s">
        <v>61</v>
      </c>
      <c r="K186" s="15" t="s">
        <v>184</v>
      </c>
      <c r="L186" s="15" t="s">
        <v>526</v>
      </c>
      <c r="M186" s="15" t="s">
        <v>527</v>
      </c>
      <c r="N186" s="15" t="s">
        <v>528</v>
      </c>
      <c r="O186" s="17" t="s">
        <v>61</v>
      </c>
      <c r="P186" s="17" t="s">
        <v>529</v>
      </c>
      <c r="Q186" s="18"/>
      <c r="R186" s="52" t="s">
        <v>61</v>
      </c>
      <c r="S186" s="15" t="s">
        <v>69</v>
      </c>
      <c r="T186" s="15"/>
      <c r="U186" s="15"/>
      <c r="V186" s="80">
        <v>30</v>
      </c>
      <c r="W186" s="15">
        <f t="shared" si="43"/>
        <v>30</v>
      </c>
      <c r="X186" s="15">
        <f t="shared" si="42"/>
        <v>30</v>
      </c>
      <c r="Y186" s="15">
        <f>ROUNDDOWN(W186/HLOOKUP(D186,Table!$C$3:$D$4,2,0)*8,2)</f>
        <v>0.53</v>
      </c>
      <c r="Z186" s="15">
        <v>0.5</v>
      </c>
      <c r="AA186" s="15" t="s">
        <v>74</v>
      </c>
      <c r="AB186" s="19">
        <v>43983</v>
      </c>
      <c r="AC186" s="19">
        <v>43976</v>
      </c>
      <c r="AD186" s="19">
        <v>43983</v>
      </c>
      <c r="AE186" s="19">
        <v>43978</v>
      </c>
      <c r="AF186" s="19">
        <v>43978</v>
      </c>
      <c r="AG186" s="19" t="s">
        <v>176</v>
      </c>
      <c r="AH186" s="31">
        <v>1</v>
      </c>
      <c r="AI186" s="31">
        <v>1</v>
      </c>
      <c r="AJ186" s="31">
        <v>1</v>
      </c>
      <c r="AK186" s="19" t="s">
        <v>150</v>
      </c>
      <c r="AL186" s="136" t="s">
        <v>61</v>
      </c>
      <c r="AM186" s="136" t="s">
        <v>61</v>
      </c>
      <c r="AN186" s="137" t="s">
        <v>530</v>
      </c>
    </row>
    <row r="187" spans="2:40" x14ac:dyDescent="0.25">
      <c r="B187" s="41">
        <f t="shared" si="31"/>
        <v>128</v>
      </c>
      <c r="C187" s="16">
        <v>20200525</v>
      </c>
      <c r="D187" s="15" t="s">
        <v>3</v>
      </c>
      <c r="E187" s="80" t="s">
        <v>479</v>
      </c>
      <c r="F187" s="93" t="s">
        <v>539</v>
      </c>
      <c r="G187" s="80">
        <v>1484917</v>
      </c>
      <c r="H187" s="52" t="s">
        <v>61</v>
      </c>
      <c r="I187" s="80" t="s">
        <v>484</v>
      </c>
      <c r="J187" s="52" t="s">
        <v>61</v>
      </c>
      <c r="K187" s="15" t="s">
        <v>184</v>
      </c>
      <c r="L187" s="15" t="s">
        <v>526</v>
      </c>
      <c r="M187" s="15" t="s">
        <v>527</v>
      </c>
      <c r="N187" s="15" t="s">
        <v>528</v>
      </c>
      <c r="O187" s="17" t="s">
        <v>61</v>
      </c>
      <c r="P187" s="17" t="s">
        <v>529</v>
      </c>
      <c r="Q187" s="18"/>
      <c r="R187" s="52" t="s">
        <v>61</v>
      </c>
      <c r="S187" s="15" t="s">
        <v>67</v>
      </c>
      <c r="T187" s="15"/>
      <c r="U187" s="15"/>
      <c r="V187" s="80">
        <v>21</v>
      </c>
      <c r="W187" s="15">
        <f t="shared" si="43"/>
        <v>21</v>
      </c>
      <c r="X187" s="15">
        <f t="shared" si="42"/>
        <v>21</v>
      </c>
      <c r="Y187" s="15">
        <f>ROUNDDOWN(W187/HLOOKUP(D187,Table!$C$3:$D$4,2,0)*8,2)</f>
        <v>0.37</v>
      </c>
      <c r="Z187" s="15">
        <v>0.2</v>
      </c>
      <c r="AA187" s="15" t="s">
        <v>74</v>
      </c>
      <c r="AB187" s="19">
        <v>43983</v>
      </c>
      <c r="AC187" s="19">
        <v>43976</v>
      </c>
      <c r="AD187" s="19">
        <v>43983</v>
      </c>
      <c r="AE187" s="19">
        <v>43980</v>
      </c>
      <c r="AF187" s="19">
        <v>43980</v>
      </c>
      <c r="AG187" s="19" t="s">
        <v>176</v>
      </c>
      <c r="AH187" s="31">
        <v>1</v>
      </c>
      <c r="AI187" s="31">
        <v>1</v>
      </c>
      <c r="AJ187" s="31">
        <v>1</v>
      </c>
      <c r="AK187" s="19" t="s">
        <v>150</v>
      </c>
      <c r="AL187" s="136" t="s">
        <v>61</v>
      </c>
      <c r="AM187" s="136" t="s">
        <v>61</v>
      </c>
      <c r="AN187" s="137" t="s">
        <v>530</v>
      </c>
    </row>
    <row r="188" spans="2:40" x14ac:dyDescent="0.25">
      <c r="B188" s="41">
        <f t="shared" si="31"/>
        <v>129</v>
      </c>
      <c r="C188" s="16">
        <v>20200525</v>
      </c>
      <c r="D188" s="15" t="s">
        <v>3</v>
      </c>
      <c r="E188" s="80" t="s">
        <v>479</v>
      </c>
      <c r="F188" s="93" t="s">
        <v>540</v>
      </c>
      <c r="G188" s="80">
        <v>1484917</v>
      </c>
      <c r="H188" s="52" t="s">
        <v>61</v>
      </c>
      <c r="I188" s="80" t="s">
        <v>485</v>
      </c>
      <c r="J188" s="52" t="s">
        <v>61</v>
      </c>
      <c r="K188" s="15" t="s">
        <v>184</v>
      </c>
      <c r="L188" s="15" t="s">
        <v>526</v>
      </c>
      <c r="M188" s="15" t="s">
        <v>527</v>
      </c>
      <c r="N188" s="15" t="s">
        <v>528</v>
      </c>
      <c r="O188" s="17" t="s">
        <v>61</v>
      </c>
      <c r="P188" s="17" t="s">
        <v>529</v>
      </c>
      <c r="Q188" s="18"/>
      <c r="R188" s="52" t="s">
        <v>61</v>
      </c>
      <c r="S188" s="15" t="s">
        <v>67</v>
      </c>
      <c r="T188" s="15"/>
      <c r="U188" s="15"/>
      <c r="V188" s="80">
        <v>17</v>
      </c>
      <c r="W188" s="15">
        <f t="shared" si="43"/>
        <v>17</v>
      </c>
      <c r="X188" s="15">
        <f t="shared" si="42"/>
        <v>17</v>
      </c>
      <c r="Y188" s="15">
        <f>ROUNDDOWN(W188/HLOOKUP(D188,Table!$C$3:$D$4,2,0)*8,2)</f>
        <v>0.3</v>
      </c>
      <c r="Z188" s="15">
        <v>0.1</v>
      </c>
      <c r="AA188" s="15" t="s">
        <v>74</v>
      </c>
      <c r="AB188" s="19">
        <v>43983</v>
      </c>
      <c r="AC188" s="19">
        <v>43976</v>
      </c>
      <c r="AD188" s="19">
        <v>43983</v>
      </c>
      <c r="AE188" s="19">
        <v>43980</v>
      </c>
      <c r="AF188" s="19">
        <v>43980</v>
      </c>
      <c r="AG188" s="19" t="s">
        <v>176</v>
      </c>
      <c r="AH188" s="31">
        <v>1</v>
      </c>
      <c r="AI188" s="31">
        <v>1</v>
      </c>
      <c r="AJ188" s="31">
        <v>1</v>
      </c>
      <c r="AK188" s="19" t="s">
        <v>150</v>
      </c>
      <c r="AL188" s="136" t="s">
        <v>61</v>
      </c>
      <c r="AM188" s="136" t="s">
        <v>61</v>
      </c>
      <c r="AN188" s="137" t="s">
        <v>530</v>
      </c>
    </row>
    <row r="189" spans="2:40" x14ac:dyDescent="0.25">
      <c r="B189" s="41">
        <f t="shared" si="31"/>
        <v>130</v>
      </c>
      <c r="C189" s="16">
        <v>20200525</v>
      </c>
      <c r="D189" s="15" t="s">
        <v>3</v>
      </c>
      <c r="E189" s="80" t="s">
        <v>479</v>
      </c>
      <c r="F189" s="93" t="s">
        <v>541</v>
      </c>
      <c r="G189" s="80">
        <v>1484917</v>
      </c>
      <c r="H189" s="52" t="s">
        <v>61</v>
      </c>
      <c r="I189" s="80" t="s">
        <v>486</v>
      </c>
      <c r="J189" s="52" t="s">
        <v>61</v>
      </c>
      <c r="K189" s="15" t="s">
        <v>184</v>
      </c>
      <c r="L189" s="15" t="s">
        <v>526</v>
      </c>
      <c r="M189" s="15" t="s">
        <v>527</v>
      </c>
      <c r="N189" s="15" t="s">
        <v>528</v>
      </c>
      <c r="O189" s="17" t="s">
        <v>61</v>
      </c>
      <c r="P189" s="17" t="s">
        <v>529</v>
      </c>
      <c r="Q189" s="18"/>
      <c r="R189" s="52" t="s">
        <v>61</v>
      </c>
      <c r="S189" s="15" t="s">
        <v>67</v>
      </c>
      <c r="T189" s="15"/>
      <c r="U189" s="15"/>
      <c r="V189" s="80">
        <v>31</v>
      </c>
      <c r="W189" s="15">
        <f t="shared" si="43"/>
        <v>31</v>
      </c>
      <c r="X189" s="15">
        <f t="shared" si="42"/>
        <v>31</v>
      </c>
      <c r="Y189" s="15">
        <f>ROUNDDOWN(W189/HLOOKUP(D189,Table!$C$3:$D$4,2,0)*8,2)</f>
        <v>0.55000000000000004</v>
      </c>
      <c r="Z189" s="15">
        <v>0.5</v>
      </c>
      <c r="AA189" s="15" t="s">
        <v>74</v>
      </c>
      <c r="AB189" s="19">
        <v>43983</v>
      </c>
      <c r="AC189" s="19">
        <v>43976</v>
      </c>
      <c r="AD189" s="19">
        <v>43983</v>
      </c>
      <c r="AE189" s="19">
        <v>43980</v>
      </c>
      <c r="AF189" s="19">
        <v>43980</v>
      </c>
      <c r="AG189" s="19" t="s">
        <v>176</v>
      </c>
      <c r="AH189" s="31">
        <v>1</v>
      </c>
      <c r="AI189" s="31">
        <v>1</v>
      </c>
      <c r="AJ189" s="31">
        <v>1</v>
      </c>
      <c r="AK189" s="19" t="s">
        <v>150</v>
      </c>
      <c r="AL189" s="136" t="s">
        <v>61</v>
      </c>
      <c r="AM189" s="136" t="s">
        <v>61</v>
      </c>
      <c r="AN189" s="137" t="s">
        <v>530</v>
      </c>
    </row>
    <row r="190" spans="2:40" x14ac:dyDescent="0.25">
      <c r="B190" s="41">
        <f t="shared" ref="B190:B253" si="44">B189+1</f>
        <v>131</v>
      </c>
      <c r="C190" s="16">
        <v>20200525</v>
      </c>
      <c r="D190" s="15" t="s">
        <v>3</v>
      </c>
      <c r="E190" s="80" t="s">
        <v>479</v>
      </c>
      <c r="F190" s="93" t="s">
        <v>542</v>
      </c>
      <c r="G190" s="80">
        <v>1484917</v>
      </c>
      <c r="H190" s="52" t="s">
        <v>61</v>
      </c>
      <c r="I190" s="80" t="s">
        <v>487</v>
      </c>
      <c r="J190" s="52" t="s">
        <v>61</v>
      </c>
      <c r="K190" s="15" t="s">
        <v>184</v>
      </c>
      <c r="L190" s="15" t="s">
        <v>526</v>
      </c>
      <c r="M190" s="15" t="s">
        <v>527</v>
      </c>
      <c r="N190" s="15" t="s">
        <v>528</v>
      </c>
      <c r="O190" s="17" t="s">
        <v>61</v>
      </c>
      <c r="P190" s="17" t="s">
        <v>529</v>
      </c>
      <c r="Q190" s="18"/>
      <c r="R190" s="52" t="s">
        <v>61</v>
      </c>
      <c r="S190" s="15" t="s">
        <v>67</v>
      </c>
      <c r="T190" s="15"/>
      <c r="U190" s="15"/>
      <c r="V190" s="80">
        <v>31</v>
      </c>
      <c r="W190" s="15">
        <f t="shared" si="43"/>
        <v>31</v>
      </c>
      <c r="X190" s="15">
        <f t="shared" si="42"/>
        <v>31</v>
      </c>
      <c r="Y190" s="15">
        <f>ROUNDDOWN(W190/HLOOKUP(D190,Table!$C$3:$D$4,2,0)*8,2)</f>
        <v>0.55000000000000004</v>
      </c>
      <c r="Z190" s="15">
        <v>0.5</v>
      </c>
      <c r="AA190" s="15" t="s">
        <v>74</v>
      </c>
      <c r="AB190" s="19">
        <v>43983</v>
      </c>
      <c r="AC190" s="19">
        <v>43976</v>
      </c>
      <c r="AD190" s="19">
        <v>43983</v>
      </c>
      <c r="AE190" s="19">
        <v>43980</v>
      </c>
      <c r="AF190" s="19">
        <v>43980</v>
      </c>
      <c r="AG190" s="19" t="s">
        <v>176</v>
      </c>
      <c r="AH190" s="31">
        <v>1</v>
      </c>
      <c r="AI190" s="31">
        <v>1</v>
      </c>
      <c r="AJ190" s="31">
        <v>1</v>
      </c>
      <c r="AK190" s="19" t="s">
        <v>150</v>
      </c>
      <c r="AL190" s="136" t="s">
        <v>61</v>
      </c>
      <c r="AM190" s="136" t="s">
        <v>61</v>
      </c>
      <c r="AN190" s="137" t="s">
        <v>530</v>
      </c>
    </row>
    <row r="191" spans="2:40" x14ac:dyDescent="0.25">
      <c r="B191" s="41">
        <f t="shared" si="44"/>
        <v>132</v>
      </c>
      <c r="C191" s="16">
        <v>20200525</v>
      </c>
      <c r="D191" s="15" t="s">
        <v>3</v>
      </c>
      <c r="E191" s="80" t="s">
        <v>479</v>
      </c>
      <c r="F191" s="93" t="s">
        <v>543</v>
      </c>
      <c r="G191" s="80">
        <v>1484917</v>
      </c>
      <c r="H191" s="52" t="s">
        <v>61</v>
      </c>
      <c r="I191" s="80" t="s">
        <v>488</v>
      </c>
      <c r="J191" s="52" t="s">
        <v>61</v>
      </c>
      <c r="K191" s="15" t="s">
        <v>184</v>
      </c>
      <c r="L191" s="15" t="s">
        <v>526</v>
      </c>
      <c r="M191" s="15" t="s">
        <v>527</v>
      </c>
      <c r="N191" s="15" t="s">
        <v>528</v>
      </c>
      <c r="O191" s="17" t="s">
        <v>61</v>
      </c>
      <c r="P191" s="17" t="s">
        <v>529</v>
      </c>
      <c r="Q191" s="18"/>
      <c r="R191" s="52" t="s">
        <v>61</v>
      </c>
      <c r="S191" s="15" t="s">
        <v>70</v>
      </c>
      <c r="T191" s="15"/>
      <c r="U191" s="15"/>
      <c r="V191" s="80">
        <v>12</v>
      </c>
      <c r="W191" s="15">
        <f t="shared" si="43"/>
        <v>12</v>
      </c>
      <c r="X191" s="15">
        <f t="shared" ref="X191:X199" si="45">W191</f>
        <v>12</v>
      </c>
      <c r="Y191" s="15">
        <f>ROUNDDOWN(W191/HLOOKUP(D191,Table!$C$3:$D$4,2,0)*8,2)</f>
        <v>0.21</v>
      </c>
      <c r="Z191" s="15">
        <v>0.2</v>
      </c>
      <c r="AA191" s="15" t="s">
        <v>74</v>
      </c>
      <c r="AB191" s="19">
        <v>43983</v>
      </c>
      <c r="AC191" s="19">
        <v>43976</v>
      </c>
      <c r="AD191" s="19">
        <v>43983</v>
      </c>
      <c r="AE191" s="19">
        <v>43977</v>
      </c>
      <c r="AF191" s="19">
        <v>43977</v>
      </c>
      <c r="AG191" s="19" t="s">
        <v>176</v>
      </c>
      <c r="AH191" s="31">
        <v>1</v>
      </c>
      <c r="AI191" s="31">
        <v>1</v>
      </c>
      <c r="AJ191" s="31">
        <v>1</v>
      </c>
      <c r="AK191" s="19" t="s">
        <v>150</v>
      </c>
      <c r="AL191" s="136" t="s">
        <v>61</v>
      </c>
      <c r="AM191" s="136" t="s">
        <v>61</v>
      </c>
      <c r="AN191" s="137" t="s">
        <v>530</v>
      </c>
    </row>
    <row r="192" spans="2:40" x14ac:dyDescent="0.25">
      <c r="B192" s="41">
        <f t="shared" si="44"/>
        <v>133</v>
      </c>
      <c r="C192" s="16">
        <v>20200525</v>
      </c>
      <c r="D192" s="15" t="s">
        <v>3</v>
      </c>
      <c r="E192" s="80" t="s">
        <v>479</v>
      </c>
      <c r="F192" s="93" t="s">
        <v>544</v>
      </c>
      <c r="G192" s="80">
        <v>1484917</v>
      </c>
      <c r="H192" s="52" t="s">
        <v>61</v>
      </c>
      <c r="I192" s="80" t="s">
        <v>489</v>
      </c>
      <c r="J192" s="52" t="s">
        <v>61</v>
      </c>
      <c r="K192" s="15" t="s">
        <v>184</v>
      </c>
      <c r="L192" s="15" t="s">
        <v>526</v>
      </c>
      <c r="M192" s="15" t="s">
        <v>527</v>
      </c>
      <c r="N192" s="15" t="s">
        <v>528</v>
      </c>
      <c r="O192" s="17" t="s">
        <v>61</v>
      </c>
      <c r="P192" s="17" t="s">
        <v>529</v>
      </c>
      <c r="Q192" s="18"/>
      <c r="R192" s="52" t="s">
        <v>61</v>
      </c>
      <c r="S192" s="15" t="s">
        <v>70</v>
      </c>
      <c r="T192" s="15"/>
      <c r="U192" s="15"/>
      <c r="V192" s="80">
        <v>35</v>
      </c>
      <c r="W192" s="15">
        <f t="shared" si="43"/>
        <v>35</v>
      </c>
      <c r="X192" s="15">
        <f t="shared" si="45"/>
        <v>35</v>
      </c>
      <c r="Y192" s="15">
        <f>ROUNDDOWN(W192/HLOOKUP(D192,Table!$C$3:$D$4,2,0)*8,2)</f>
        <v>0.62</v>
      </c>
      <c r="Z192" s="15">
        <v>0.6</v>
      </c>
      <c r="AA192" s="15" t="s">
        <v>74</v>
      </c>
      <c r="AB192" s="19">
        <v>43983</v>
      </c>
      <c r="AC192" s="19">
        <v>43976</v>
      </c>
      <c r="AD192" s="19">
        <v>43983</v>
      </c>
      <c r="AE192" s="19">
        <v>43977</v>
      </c>
      <c r="AF192" s="19">
        <v>43977</v>
      </c>
      <c r="AG192" s="19" t="s">
        <v>176</v>
      </c>
      <c r="AH192" s="31">
        <v>1</v>
      </c>
      <c r="AI192" s="31">
        <v>1</v>
      </c>
      <c r="AJ192" s="31">
        <v>1</v>
      </c>
      <c r="AK192" s="19" t="s">
        <v>150</v>
      </c>
      <c r="AL192" s="136" t="s">
        <v>61</v>
      </c>
      <c r="AM192" s="136" t="s">
        <v>61</v>
      </c>
      <c r="AN192" s="137" t="s">
        <v>530</v>
      </c>
    </row>
    <row r="193" spans="2:40" x14ac:dyDescent="0.25">
      <c r="B193" s="41">
        <f t="shared" si="44"/>
        <v>134</v>
      </c>
      <c r="C193" s="16">
        <v>20200525</v>
      </c>
      <c r="D193" s="15" t="s">
        <v>3</v>
      </c>
      <c r="E193" s="80" t="s">
        <v>479</v>
      </c>
      <c r="F193" s="93" t="s">
        <v>545</v>
      </c>
      <c r="G193" s="234">
        <v>1484917</v>
      </c>
      <c r="H193" s="52" t="s">
        <v>61</v>
      </c>
      <c r="I193" s="80" t="s">
        <v>490</v>
      </c>
      <c r="J193" s="52" t="s">
        <v>61</v>
      </c>
      <c r="K193" s="15" t="s">
        <v>184</v>
      </c>
      <c r="L193" s="15" t="s">
        <v>526</v>
      </c>
      <c r="M193" s="15" t="s">
        <v>527</v>
      </c>
      <c r="N193" s="15" t="s">
        <v>528</v>
      </c>
      <c r="O193" s="17" t="s">
        <v>61</v>
      </c>
      <c r="P193" s="17" t="s">
        <v>529</v>
      </c>
      <c r="Q193" s="18"/>
      <c r="R193" s="52" t="s">
        <v>61</v>
      </c>
      <c r="S193" s="15" t="s">
        <v>70</v>
      </c>
      <c r="T193" s="15"/>
      <c r="U193" s="15"/>
      <c r="V193" s="80">
        <v>30</v>
      </c>
      <c r="W193" s="15">
        <f t="shared" si="43"/>
        <v>30</v>
      </c>
      <c r="X193" s="15">
        <f t="shared" si="45"/>
        <v>30</v>
      </c>
      <c r="Y193" s="15">
        <f>ROUNDDOWN(W193/HLOOKUP(D193,Table!$C$3:$D$4,2,0)*8,2)</f>
        <v>0.53</v>
      </c>
      <c r="Z193" s="15">
        <v>0.5</v>
      </c>
      <c r="AA193" s="15" t="s">
        <v>74</v>
      </c>
      <c r="AB193" s="19">
        <v>43983</v>
      </c>
      <c r="AC193" s="19">
        <v>43976</v>
      </c>
      <c r="AD193" s="19">
        <v>43983</v>
      </c>
      <c r="AE193" s="19">
        <v>43977</v>
      </c>
      <c r="AF193" s="19">
        <v>43977</v>
      </c>
      <c r="AG193" s="19" t="s">
        <v>176</v>
      </c>
      <c r="AH193" s="31">
        <v>1</v>
      </c>
      <c r="AI193" s="31">
        <v>1</v>
      </c>
      <c r="AJ193" s="31">
        <v>1</v>
      </c>
      <c r="AK193" s="19" t="s">
        <v>150</v>
      </c>
      <c r="AL193" s="136" t="s">
        <v>61</v>
      </c>
      <c r="AM193" s="136" t="s">
        <v>61</v>
      </c>
      <c r="AN193" s="137" t="s">
        <v>530</v>
      </c>
    </row>
    <row r="194" spans="2:40" x14ac:dyDescent="0.25">
      <c r="B194" s="41">
        <f t="shared" si="44"/>
        <v>135</v>
      </c>
      <c r="C194" s="16">
        <v>20200525</v>
      </c>
      <c r="D194" s="15" t="s">
        <v>3</v>
      </c>
      <c r="E194" s="80" t="s">
        <v>479</v>
      </c>
      <c r="F194" s="93" t="s">
        <v>546</v>
      </c>
      <c r="G194" s="80">
        <v>1484917</v>
      </c>
      <c r="H194" s="52" t="s">
        <v>61</v>
      </c>
      <c r="I194" s="80" t="s">
        <v>491</v>
      </c>
      <c r="J194" s="52" t="s">
        <v>61</v>
      </c>
      <c r="K194" s="15" t="s">
        <v>184</v>
      </c>
      <c r="L194" s="15" t="s">
        <v>526</v>
      </c>
      <c r="M194" s="15" t="s">
        <v>527</v>
      </c>
      <c r="N194" s="15" t="s">
        <v>528</v>
      </c>
      <c r="O194" s="17" t="s">
        <v>61</v>
      </c>
      <c r="P194" s="17" t="s">
        <v>529</v>
      </c>
      <c r="Q194" s="18"/>
      <c r="R194" s="52" t="s">
        <v>61</v>
      </c>
      <c r="S194" s="15" t="s">
        <v>70</v>
      </c>
      <c r="T194" s="15"/>
      <c r="U194" s="15"/>
      <c r="V194" s="80">
        <v>14</v>
      </c>
      <c r="W194" s="15">
        <f t="shared" si="43"/>
        <v>14</v>
      </c>
      <c r="X194" s="15">
        <f t="shared" si="45"/>
        <v>14</v>
      </c>
      <c r="Y194" s="15">
        <f>ROUNDDOWN(W194/HLOOKUP(D194,Table!$C$3:$D$4,2,0)*8,2)</f>
        <v>0.24</v>
      </c>
      <c r="Z194" s="15">
        <v>0.2</v>
      </c>
      <c r="AA194" s="15" t="s">
        <v>74</v>
      </c>
      <c r="AB194" s="19">
        <v>43983</v>
      </c>
      <c r="AC194" s="19">
        <v>43976</v>
      </c>
      <c r="AD194" s="19">
        <v>43983</v>
      </c>
      <c r="AE194" s="19">
        <v>43977</v>
      </c>
      <c r="AF194" s="19">
        <v>43977</v>
      </c>
      <c r="AG194" s="19" t="s">
        <v>176</v>
      </c>
      <c r="AH194" s="31">
        <v>1</v>
      </c>
      <c r="AI194" s="31">
        <v>1</v>
      </c>
      <c r="AJ194" s="31">
        <v>1</v>
      </c>
      <c r="AK194" s="19" t="s">
        <v>150</v>
      </c>
      <c r="AL194" s="136" t="s">
        <v>61</v>
      </c>
      <c r="AM194" s="136" t="s">
        <v>61</v>
      </c>
      <c r="AN194" s="137" t="s">
        <v>530</v>
      </c>
    </row>
    <row r="195" spans="2:40" x14ac:dyDescent="0.25">
      <c r="B195" s="41">
        <f t="shared" si="44"/>
        <v>136</v>
      </c>
      <c r="C195" s="16">
        <v>20200525</v>
      </c>
      <c r="D195" s="15" t="s">
        <v>3</v>
      </c>
      <c r="E195" s="80" t="s">
        <v>479</v>
      </c>
      <c r="F195" s="93" t="s">
        <v>547</v>
      </c>
      <c r="G195" s="80">
        <v>1484917</v>
      </c>
      <c r="H195" s="52" t="s">
        <v>61</v>
      </c>
      <c r="I195" s="80" t="s">
        <v>492</v>
      </c>
      <c r="J195" s="52" t="s">
        <v>61</v>
      </c>
      <c r="K195" s="15" t="s">
        <v>184</v>
      </c>
      <c r="L195" s="15" t="s">
        <v>526</v>
      </c>
      <c r="M195" s="15" t="s">
        <v>527</v>
      </c>
      <c r="N195" s="15" t="s">
        <v>528</v>
      </c>
      <c r="O195" s="17" t="s">
        <v>61</v>
      </c>
      <c r="P195" s="17" t="s">
        <v>529</v>
      </c>
      <c r="Q195" s="18"/>
      <c r="R195" s="52" t="s">
        <v>61</v>
      </c>
      <c r="S195" s="15" t="s">
        <v>142</v>
      </c>
      <c r="T195" s="15"/>
      <c r="U195" s="15"/>
      <c r="V195" s="80">
        <v>12</v>
      </c>
      <c r="W195" s="15">
        <f t="shared" si="43"/>
        <v>12</v>
      </c>
      <c r="X195" s="15">
        <f t="shared" si="45"/>
        <v>12</v>
      </c>
      <c r="Y195" s="15">
        <f>ROUNDDOWN(W195/HLOOKUP(D195,Table!$C$3:$D$4,2,0)*8,2)</f>
        <v>0.21</v>
      </c>
      <c r="Z195" s="15">
        <v>0.1</v>
      </c>
      <c r="AA195" s="15" t="s">
        <v>74</v>
      </c>
      <c r="AB195" s="19">
        <v>43983</v>
      </c>
      <c r="AC195" s="19">
        <v>43976</v>
      </c>
      <c r="AD195" s="19">
        <v>43983</v>
      </c>
      <c r="AE195" s="19">
        <v>43978</v>
      </c>
      <c r="AF195" s="19">
        <v>43978</v>
      </c>
      <c r="AG195" s="19" t="s">
        <v>176</v>
      </c>
      <c r="AH195" s="31">
        <v>1</v>
      </c>
      <c r="AI195" s="31">
        <v>1</v>
      </c>
      <c r="AJ195" s="31">
        <v>1</v>
      </c>
      <c r="AK195" s="19" t="s">
        <v>150</v>
      </c>
      <c r="AL195" s="136" t="s">
        <v>61</v>
      </c>
      <c r="AM195" s="136" t="s">
        <v>61</v>
      </c>
      <c r="AN195" s="137" t="s">
        <v>530</v>
      </c>
    </row>
    <row r="196" spans="2:40" x14ac:dyDescent="0.25">
      <c r="B196" s="41">
        <f t="shared" si="44"/>
        <v>137</v>
      </c>
      <c r="C196" s="16">
        <v>20200525</v>
      </c>
      <c r="D196" s="15" t="s">
        <v>3</v>
      </c>
      <c r="E196" s="80" t="s">
        <v>479</v>
      </c>
      <c r="F196" s="93" t="s">
        <v>548</v>
      </c>
      <c r="G196" s="80">
        <v>1484917</v>
      </c>
      <c r="H196" s="52" t="s">
        <v>61</v>
      </c>
      <c r="I196" s="80" t="s">
        <v>493</v>
      </c>
      <c r="J196" s="52" t="s">
        <v>61</v>
      </c>
      <c r="K196" s="15" t="s">
        <v>184</v>
      </c>
      <c r="L196" s="15" t="s">
        <v>526</v>
      </c>
      <c r="M196" s="15" t="s">
        <v>527</v>
      </c>
      <c r="N196" s="15" t="s">
        <v>528</v>
      </c>
      <c r="O196" s="17" t="s">
        <v>61</v>
      </c>
      <c r="P196" s="17" t="s">
        <v>529</v>
      </c>
      <c r="Q196" s="18"/>
      <c r="R196" s="52" t="s">
        <v>61</v>
      </c>
      <c r="S196" s="15" t="s">
        <v>68</v>
      </c>
      <c r="T196" s="15"/>
      <c r="U196" s="15"/>
      <c r="V196" s="80">
        <v>45</v>
      </c>
      <c r="W196" s="15">
        <f t="shared" si="43"/>
        <v>45</v>
      </c>
      <c r="X196" s="15">
        <f t="shared" si="45"/>
        <v>45</v>
      </c>
      <c r="Y196" s="15">
        <f>ROUNDDOWN(W196/HLOOKUP(D196,Table!$C$3:$D$4,2,0)*8,2)</f>
        <v>0.8</v>
      </c>
      <c r="Z196" s="15">
        <f>Y196</f>
        <v>0.8</v>
      </c>
      <c r="AA196" s="15" t="s">
        <v>74</v>
      </c>
      <c r="AB196" s="19">
        <v>43983</v>
      </c>
      <c r="AC196" s="19">
        <v>43976</v>
      </c>
      <c r="AD196" s="19">
        <v>43983</v>
      </c>
      <c r="AE196" s="19">
        <v>43979</v>
      </c>
      <c r="AF196" s="19">
        <v>43979</v>
      </c>
      <c r="AG196" s="19" t="s">
        <v>176</v>
      </c>
      <c r="AH196" s="31">
        <v>1</v>
      </c>
      <c r="AI196" s="31">
        <v>1</v>
      </c>
      <c r="AJ196" s="31">
        <v>1</v>
      </c>
      <c r="AK196" s="19" t="s">
        <v>150</v>
      </c>
      <c r="AL196" s="136" t="s">
        <v>61</v>
      </c>
      <c r="AM196" s="136" t="s">
        <v>61</v>
      </c>
      <c r="AN196" s="137" t="s">
        <v>530</v>
      </c>
    </row>
    <row r="197" spans="2:40" x14ac:dyDescent="0.25">
      <c r="B197" s="41">
        <f t="shared" si="44"/>
        <v>138</v>
      </c>
      <c r="C197" s="16">
        <v>20200525</v>
      </c>
      <c r="D197" s="15" t="s">
        <v>3</v>
      </c>
      <c r="E197" s="80" t="s">
        <v>479</v>
      </c>
      <c r="F197" s="93" t="s">
        <v>549</v>
      </c>
      <c r="G197" s="80">
        <v>1484917</v>
      </c>
      <c r="H197" s="52" t="s">
        <v>61</v>
      </c>
      <c r="I197" s="80" t="s">
        <v>494</v>
      </c>
      <c r="J197" s="52" t="s">
        <v>61</v>
      </c>
      <c r="K197" s="15" t="s">
        <v>184</v>
      </c>
      <c r="L197" s="15" t="s">
        <v>526</v>
      </c>
      <c r="M197" s="15" t="s">
        <v>527</v>
      </c>
      <c r="N197" s="15" t="s">
        <v>528</v>
      </c>
      <c r="O197" s="17" t="s">
        <v>61</v>
      </c>
      <c r="P197" s="17" t="s">
        <v>529</v>
      </c>
      <c r="Q197" s="18"/>
      <c r="R197" s="52" t="s">
        <v>61</v>
      </c>
      <c r="S197" s="15" t="s">
        <v>68</v>
      </c>
      <c r="T197" s="15"/>
      <c r="U197" s="15"/>
      <c r="V197" s="80">
        <v>14</v>
      </c>
      <c r="W197" s="15">
        <f t="shared" si="43"/>
        <v>14</v>
      </c>
      <c r="X197" s="15">
        <f t="shared" si="45"/>
        <v>14</v>
      </c>
      <c r="Y197" s="15">
        <f>ROUNDDOWN(W197/HLOOKUP(D197,Table!$C$3:$D$4,2,0)*8,2)</f>
        <v>0.24</v>
      </c>
      <c r="Z197" s="15">
        <v>0.2</v>
      </c>
      <c r="AA197" s="15" t="s">
        <v>74</v>
      </c>
      <c r="AB197" s="19">
        <v>43983</v>
      </c>
      <c r="AC197" s="19">
        <v>43976</v>
      </c>
      <c r="AD197" s="19">
        <v>43983</v>
      </c>
      <c r="AE197" s="19">
        <v>43979</v>
      </c>
      <c r="AF197" s="19">
        <v>43979</v>
      </c>
      <c r="AG197" s="19" t="s">
        <v>176</v>
      </c>
      <c r="AH197" s="31">
        <v>1</v>
      </c>
      <c r="AI197" s="31">
        <v>1</v>
      </c>
      <c r="AJ197" s="31">
        <v>1</v>
      </c>
      <c r="AK197" s="19" t="s">
        <v>150</v>
      </c>
      <c r="AL197" s="136" t="s">
        <v>61</v>
      </c>
      <c r="AM197" s="136" t="s">
        <v>61</v>
      </c>
      <c r="AN197" s="137" t="s">
        <v>530</v>
      </c>
    </row>
    <row r="198" spans="2:40" x14ac:dyDescent="0.25">
      <c r="B198" s="41">
        <f t="shared" si="44"/>
        <v>139</v>
      </c>
      <c r="C198" s="16">
        <v>20200525</v>
      </c>
      <c r="D198" s="15" t="s">
        <v>3</v>
      </c>
      <c r="E198" s="80" t="s">
        <v>479</v>
      </c>
      <c r="F198" s="93" t="s">
        <v>550</v>
      </c>
      <c r="G198" s="80">
        <v>1484917</v>
      </c>
      <c r="H198" s="52" t="s">
        <v>61</v>
      </c>
      <c r="I198" s="80" t="s">
        <v>495</v>
      </c>
      <c r="J198" s="52" t="s">
        <v>61</v>
      </c>
      <c r="K198" s="15" t="s">
        <v>184</v>
      </c>
      <c r="L198" s="15" t="s">
        <v>526</v>
      </c>
      <c r="M198" s="15" t="s">
        <v>527</v>
      </c>
      <c r="N198" s="15" t="s">
        <v>528</v>
      </c>
      <c r="O198" s="17" t="s">
        <v>61</v>
      </c>
      <c r="P198" s="17" t="s">
        <v>529</v>
      </c>
      <c r="Q198" s="18"/>
      <c r="R198" s="52" t="s">
        <v>61</v>
      </c>
      <c r="S198" s="15" t="s">
        <v>68</v>
      </c>
      <c r="T198" s="15"/>
      <c r="U198" s="15"/>
      <c r="V198" s="80">
        <v>81</v>
      </c>
      <c r="W198" s="15">
        <f t="shared" si="43"/>
        <v>81</v>
      </c>
      <c r="X198" s="15">
        <f t="shared" si="45"/>
        <v>81</v>
      </c>
      <c r="Y198" s="15">
        <f>ROUNDDOWN(W198/HLOOKUP(D198,Table!$C$3:$D$4,2,0)*8,2)</f>
        <v>1.44</v>
      </c>
      <c r="Z198" s="15">
        <v>1</v>
      </c>
      <c r="AA198" s="15" t="s">
        <v>74</v>
      </c>
      <c r="AB198" s="19">
        <v>43983</v>
      </c>
      <c r="AC198" s="19">
        <v>43976</v>
      </c>
      <c r="AD198" s="19">
        <v>43983</v>
      </c>
      <c r="AE198" s="19">
        <v>43979</v>
      </c>
      <c r="AF198" s="19">
        <v>43979</v>
      </c>
      <c r="AG198" s="19" t="s">
        <v>176</v>
      </c>
      <c r="AH198" s="31">
        <v>1</v>
      </c>
      <c r="AI198" s="31">
        <v>1</v>
      </c>
      <c r="AJ198" s="31">
        <v>1</v>
      </c>
      <c r="AK198" s="19" t="s">
        <v>150</v>
      </c>
      <c r="AL198" s="136" t="s">
        <v>61</v>
      </c>
      <c r="AM198" s="136" t="s">
        <v>61</v>
      </c>
      <c r="AN198" s="137" t="s">
        <v>530</v>
      </c>
    </row>
    <row r="199" spans="2:40" x14ac:dyDescent="0.25">
      <c r="B199" s="41">
        <f t="shared" si="44"/>
        <v>140</v>
      </c>
      <c r="C199" s="16">
        <v>20200525</v>
      </c>
      <c r="D199" s="15" t="s">
        <v>3</v>
      </c>
      <c r="E199" s="80" t="s">
        <v>479</v>
      </c>
      <c r="F199" s="93" t="s">
        <v>551</v>
      </c>
      <c r="G199" s="80">
        <v>1484917</v>
      </c>
      <c r="H199" s="52" t="s">
        <v>61</v>
      </c>
      <c r="I199" s="80" t="s">
        <v>496</v>
      </c>
      <c r="J199" s="52" t="s">
        <v>61</v>
      </c>
      <c r="K199" s="15" t="s">
        <v>184</v>
      </c>
      <c r="L199" s="15" t="s">
        <v>526</v>
      </c>
      <c r="M199" s="15" t="s">
        <v>527</v>
      </c>
      <c r="N199" s="15" t="s">
        <v>528</v>
      </c>
      <c r="O199" s="17" t="s">
        <v>61</v>
      </c>
      <c r="P199" s="17" t="s">
        <v>529</v>
      </c>
      <c r="Q199" s="18"/>
      <c r="R199" s="52" t="s">
        <v>61</v>
      </c>
      <c r="S199" s="15" t="s">
        <v>68</v>
      </c>
      <c r="T199" s="15"/>
      <c r="U199" s="15"/>
      <c r="V199" s="80">
        <v>18</v>
      </c>
      <c r="W199" s="15">
        <f t="shared" si="43"/>
        <v>18</v>
      </c>
      <c r="X199" s="15">
        <f t="shared" si="45"/>
        <v>18</v>
      </c>
      <c r="Y199" s="15">
        <f>ROUNDDOWN(W199/HLOOKUP(D199,Table!$C$3:$D$4,2,0)*8,2)</f>
        <v>0.32</v>
      </c>
      <c r="Z199" s="15">
        <v>0.2</v>
      </c>
      <c r="AA199" s="15" t="s">
        <v>74</v>
      </c>
      <c r="AB199" s="19">
        <v>43983</v>
      </c>
      <c r="AC199" s="19">
        <v>43976</v>
      </c>
      <c r="AD199" s="19">
        <v>43983</v>
      </c>
      <c r="AE199" s="19">
        <v>43979</v>
      </c>
      <c r="AF199" s="19">
        <v>43979</v>
      </c>
      <c r="AG199" s="19" t="s">
        <v>176</v>
      </c>
      <c r="AH199" s="31">
        <v>1</v>
      </c>
      <c r="AI199" s="31">
        <v>1</v>
      </c>
      <c r="AJ199" s="31">
        <v>1</v>
      </c>
      <c r="AK199" s="19" t="s">
        <v>150</v>
      </c>
      <c r="AL199" s="136" t="s">
        <v>61</v>
      </c>
      <c r="AM199" s="136" t="s">
        <v>61</v>
      </c>
      <c r="AN199" s="137" t="s">
        <v>530</v>
      </c>
    </row>
    <row r="200" spans="2:40" x14ac:dyDescent="0.25">
      <c r="B200" s="41">
        <f t="shared" si="44"/>
        <v>141</v>
      </c>
      <c r="C200" s="16">
        <v>20200525</v>
      </c>
      <c r="D200" s="15" t="s">
        <v>3</v>
      </c>
      <c r="E200" s="80" t="s">
        <v>479</v>
      </c>
      <c r="F200" s="93" t="s">
        <v>552</v>
      </c>
      <c r="G200" s="80">
        <v>1484917</v>
      </c>
      <c r="H200" s="52" t="s">
        <v>61</v>
      </c>
      <c r="I200" s="80" t="s">
        <v>214</v>
      </c>
      <c r="J200" s="52" t="s">
        <v>61</v>
      </c>
      <c r="K200" s="15" t="s">
        <v>184</v>
      </c>
      <c r="L200" s="15" t="s">
        <v>526</v>
      </c>
      <c r="M200" s="15" t="s">
        <v>527</v>
      </c>
      <c r="N200" s="15" t="s">
        <v>528</v>
      </c>
      <c r="O200" s="17" t="s">
        <v>61</v>
      </c>
      <c r="P200" s="17" t="s">
        <v>529</v>
      </c>
      <c r="Q200" s="18"/>
      <c r="R200" s="52" t="s">
        <v>61</v>
      </c>
      <c r="S200" s="15" t="s">
        <v>67</v>
      </c>
      <c r="T200" s="15"/>
      <c r="U200" s="15"/>
      <c r="V200" s="80">
        <v>259</v>
      </c>
      <c r="W200" s="15">
        <f t="shared" si="43"/>
        <v>259</v>
      </c>
      <c r="X200" s="15">
        <f t="shared" ref="X200:X205" si="46">W200</f>
        <v>259</v>
      </c>
      <c r="Y200" s="15">
        <f>ROUNDDOWN(W200/HLOOKUP(D200,Table!$C$3:$D$4,2,0)*8,2)</f>
        <v>4.5999999999999996</v>
      </c>
      <c r="Z200" s="15">
        <v>2</v>
      </c>
      <c r="AA200" s="15" t="s">
        <v>74</v>
      </c>
      <c r="AB200" s="19">
        <v>43983</v>
      </c>
      <c r="AC200" s="19">
        <v>43976</v>
      </c>
      <c r="AD200" s="19">
        <v>43983</v>
      </c>
      <c r="AE200" s="19">
        <v>43980</v>
      </c>
      <c r="AF200" s="19">
        <v>43980</v>
      </c>
      <c r="AG200" s="19" t="s">
        <v>177</v>
      </c>
      <c r="AH200" s="31">
        <v>1</v>
      </c>
      <c r="AI200" s="31">
        <v>1</v>
      </c>
      <c r="AJ200" s="31">
        <v>0.87</v>
      </c>
      <c r="AK200" s="19" t="s">
        <v>139</v>
      </c>
      <c r="AL200" s="17" t="s">
        <v>1093</v>
      </c>
      <c r="AM200" s="136" t="s">
        <v>61</v>
      </c>
      <c r="AN200" s="170" t="s">
        <v>853</v>
      </c>
    </row>
    <row r="201" spans="2:40" x14ac:dyDescent="0.25">
      <c r="B201" s="41">
        <f t="shared" si="44"/>
        <v>142</v>
      </c>
      <c r="C201" s="16">
        <v>20200525</v>
      </c>
      <c r="D201" s="15" t="s">
        <v>3</v>
      </c>
      <c r="E201" s="80" t="s">
        <v>479</v>
      </c>
      <c r="F201" s="93" t="s">
        <v>553</v>
      </c>
      <c r="G201" s="80">
        <v>1484917</v>
      </c>
      <c r="H201" s="52" t="s">
        <v>61</v>
      </c>
      <c r="I201" s="80" t="s">
        <v>284</v>
      </c>
      <c r="J201" s="52" t="s">
        <v>61</v>
      </c>
      <c r="K201" s="15" t="s">
        <v>184</v>
      </c>
      <c r="L201" s="15" t="s">
        <v>526</v>
      </c>
      <c r="M201" s="15" t="s">
        <v>527</v>
      </c>
      <c r="N201" s="15" t="s">
        <v>528</v>
      </c>
      <c r="O201" s="17" t="s">
        <v>61</v>
      </c>
      <c r="P201" s="17" t="s">
        <v>529</v>
      </c>
      <c r="Q201" s="18"/>
      <c r="R201" s="52" t="s">
        <v>61</v>
      </c>
      <c r="S201" s="15" t="s">
        <v>70</v>
      </c>
      <c r="T201" s="15"/>
      <c r="U201" s="15"/>
      <c r="V201" s="80">
        <v>109</v>
      </c>
      <c r="W201" s="15">
        <f t="shared" si="43"/>
        <v>109</v>
      </c>
      <c r="X201" s="15">
        <f t="shared" si="46"/>
        <v>109</v>
      </c>
      <c r="Y201" s="15">
        <f>ROUNDDOWN(W201/HLOOKUP(D201,Table!$C$3:$D$4,2,0)*8,2)</f>
        <v>1.93</v>
      </c>
      <c r="Z201" s="15">
        <v>1</v>
      </c>
      <c r="AA201" s="15" t="s">
        <v>74</v>
      </c>
      <c r="AB201" s="19">
        <v>43983</v>
      </c>
      <c r="AC201" s="19">
        <v>43976</v>
      </c>
      <c r="AD201" s="19">
        <v>43983</v>
      </c>
      <c r="AE201" s="19">
        <v>43977</v>
      </c>
      <c r="AF201" s="19">
        <v>43977</v>
      </c>
      <c r="AG201" s="19" t="s">
        <v>176</v>
      </c>
      <c r="AH201" s="31">
        <v>1</v>
      </c>
      <c r="AI201" s="31">
        <v>1</v>
      </c>
      <c r="AJ201" s="31">
        <v>1</v>
      </c>
      <c r="AK201" s="19" t="s">
        <v>150</v>
      </c>
      <c r="AL201" s="136" t="s">
        <v>61</v>
      </c>
      <c r="AM201" s="136" t="s">
        <v>61</v>
      </c>
      <c r="AN201" s="137" t="s">
        <v>530</v>
      </c>
    </row>
    <row r="202" spans="2:40" x14ac:dyDescent="0.25">
      <c r="B202" s="41">
        <f t="shared" si="44"/>
        <v>143</v>
      </c>
      <c r="C202" s="16">
        <v>20200525</v>
      </c>
      <c r="D202" s="15" t="s">
        <v>3</v>
      </c>
      <c r="E202" s="80" t="s">
        <v>479</v>
      </c>
      <c r="F202" s="93" t="s">
        <v>554</v>
      </c>
      <c r="G202" s="80">
        <v>1484917</v>
      </c>
      <c r="H202" s="52" t="s">
        <v>61</v>
      </c>
      <c r="I202" s="80" t="s">
        <v>284</v>
      </c>
      <c r="J202" s="52" t="s">
        <v>61</v>
      </c>
      <c r="K202" s="15" t="s">
        <v>184</v>
      </c>
      <c r="L202" s="15" t="s">
        <v>526</v>
      </c>
      <c r="M202" s="15" t="s">
        <v>527</v>
      </c>
      <c r="N202" s="15" t="s">
        <v>528</v>
      </c>
      <c r="O202" s="17" t="s">
        <v>61</v>
      </c>
      <c r="P202" s="17" t="s">
        <v>529</v>
      </c>
      <c r="Q202" s="18"/>
      <c r="R202" s="52" t="s">
        <v>61</v>
      </c>
      <c r="S202" s="15" t="s">
        <v>70</v>
      </c>
      <c r="T202" s="15"/>
      <c r="U202" s="15"/>
      <c r="V202" s="80">
        <v>109</v>
      </c>
      <c r="W202" s="84">
        <v>159</v>
      </c>
      <c r="X202" s="15">
        <f t="shared" si="46"/>
        <v>159</v>
      </c>
      <c r="Y202" s="15">
        <f>ROUNDDOWN(W202/HLOOKUP(D202,Table!$C$3:$D$4,2,0)*8,2)</f>
        <v>2.82</v>
      </c>
      <c r="Z202" s="15">
        <v>1</v>
      </c>
      <c r="AA202" s="15" t="s">
        <v>74</v>
      </c>
      <c r="AB202" s="19">
        <v>43983</v>
      </c>
      <c r="AC202" s="19">
        <v>43976</v>
      </c>
      <c r="AD202" s="19">
        <v>43983</v>
      </c>
      <c r="AE202" s="19">
        <v>43977</v>
      </c>
      <c r="AF202" s="19">
        <v>43977</v>
      </c>
      <c r="AG202" s="19" t="s">
        <v>176</v>
      </c>
      <c r="AH202" s="31">
        <v>1</v>
      </c>
      <c r="AI202" s="31">
        <v>1</v>
      </c>
      <c r="AJ202" s="31">
        <v>1</v>
      </c>
      <c r="AK202" s="19" t="s">
        <v>150</v>
      </c>
      <c r="AL202" s="136" t="s">
        <v>61</v>
      </c>
      <c r="AM202" s="136" t="s">
        <v>61</v>
      </c>
      <c r="AN202" s="137" t="s">
        <v>530</v>
      </c>
    </row>
    <row r="203" spans="2:40" x14ac:dyDescent="0.25">
      <c r="B203" s="41">
        <f t="shared" si="44"/>
        <v>144</v>
      </c>
      <c r="C203" s="16">
        <v>20200525</v>
      </c>
      <c r="D203" s="15" t="s">
        <v>3</v>
      </c>
      <c r="E203" s="80" t="s">
        <v>479</v>
      </c>
      <c r="F203" s="93" t="s">
        <v>555</v>
      </c>
      <c r="G203" s="80">
        <v>1484917</v>
      </c>
      <c r="H203" s="52" t="s">
        <v>61</v>
      </c>
      <c r="I203" s="80" t="s">
        <v>497</v>
      </c>
      <c r="J203" s="52" t="s">
        <v>61</v>
      </c>
      <c r="K203" s="15" t="s">
        <v>184</v>
      </c>
      <c r="L203" s="15" t="s">
        <v>526</v>
      </c>
      <c r="M203" s="15" t="s">
        <v>527</v>
      </c>
      <c r="N203" s="15" t="s">
        <v>528</v>
      </c>
      <c r="O203" s="17" t="s">
        <v>61</v>
      </c>
      <c r="P203" s="17" t="s">
        <v>529</v>
      </c>
      <c r="Q203" s="18"/>
      <c r="R203" s="52" t="s">
        <v>61</v>
      </c>
      <c r="S203" s="15" t="s">
        <v>70</v>
      </c>
      <c r="T203" s="15"/>
      <c r="U203" s="15"/>
      <c r="V203" s="80">
        <v>63</v>
      </c>
      <c r="W203" s="15">
        <f t="shared" si="43"/>
        <v>63</v>
      </c>
      <c r="X203" s="15">
        <f t="shared" si="46"/>
        <v>63</v>
      </c>
      <c r="Y203" s="15">
        <f>ROUNDDOWN(W203/HLOOKUP(D203,Table!$C$3:$D$4,2,0)*8,2)</f>
        <v>1.1200000000000001</v>
      </c>
      <c r="Z203" s="15">
        <v>1</v>
      </c>
      <c r="AA203" s="15" t="s">
        <v>74</v>
      </c>
      <c r="AB203" s="19">
        <v>43983</v>
      </c>
      <c r="AC203" s="19">
        <v>43976</v>
      </c>
      <c r="AD203" s="19">
        <v>43983</v>
      </c>
      <c r="AE203" s="19">
        <v>43977</v>
      </c>
      <c r="AF203" s="19">
        <v>43977</v>
      </c>
      <c r="AG203" s="19" t="s">
        <v>176</v>
      </c>
      <c r="AH203" s="31">
        <v>1</v>
      </c>
      <c r="AI203" s="31">
        <v>1</v>
      </c>
      <c r="AJ203" s="31">
        <v>1</v>
      </c>
      <c r="AK203" s="19" t="s">
        <v>150</v>
      </c>
      <c r="AL203" s="136" t="s">
        <v>61</v>
      </c>
      <c r="AM203" s="136" t="s">
        <v>61</v>
      </c>
      <c r="AN203" s="137" t="s">
        <v>530</v>
      </c>
    </row>
    <row r="204" spans="2:40" x14ac:dyDescent="0.25">
      <c r="B204" s="41">
        <f t="shared" si="44"/>
        <v>145</v>
      </c>
      <c r="C204" s="16">
        <v>20200525</v>
      </c>
      <c r="D204" s="15" t="s">
        <v>3</v>
      </c>
      <c r="E204" s="80" t="s">
        <v>479</v>
      </c>
      <c r="F204" s="93" t="s">
        <v>556</v>
      </c>
      <c r="G204" s="80">
        <v>1484917</v>
      </c>
      <c r="H204" s="52" t="s">
        <v>61</v>
      </c>
      <c r="I204" s="80" t="s">
        <v>498</v>
      </c>
      <c r="J204" s="52" t="s">
        <v>61</v>
      </c>
      <c r="K204" s="15" t="s">
        <v>184</v>
      </c>
      <c r="L204" s="15" t="s">
        <v>526</v>
      </c>
      <c r="M204" s="15" t="s">
        <v>527</v>
      </c>
      <c r="N204" s="15" t="s">
        <v>528</v>
      </c>
      <c r="O204" s="17" t="s">
        <v>61</v>
      </c>
      <c r="P204" s="17" t="s">
        <v>529</v>
      </c>
      <c r="Q204" s="18"/>
      <c r="R204" s="52" t="s">
        <v>61</v>
      </c>
      <c r="S204" s="15" t="s">
        <v>67</v>
      </c>
      <c r="T204" s="15"/>
      <c r="U204" s="15"/>
      <c r="V204" s="80">
        <v>100</v>
      </c>
      <c r="W204" s="15">
        <f t="shared" si="43"/>
        <v>100</v>
      </c>
      <c r="X204" s="15">
        <f t="shared" si="46"/>
        <v>100</v>
      </c>
      <c r="Y204" s="15">
        <f>ROUNDDOWN(W204/HLOOKUP(D204,Table!$C$3:$D$4,2,0)*8,2)</f>
        <v>1.77</v>
      </c>
      <c r="Z204" s="15">
        <v>1</v>
      </c>
      <c r="AA204" s="15" t="s">
        <v>74</v>
      </c>
      <c r="AB204" s="19">
        <v>43983</v>
      </c>
      <c r="AC204" s="19">
        <v>43976</v>
      </c>
      <c r="AD204" s="19">
        <v>43983</v>
      </c>
      <c r="AE204" s="19">
        <v>43980</v>
      </c>
      <c r="AF204" s="19">
        <v>43980</v>
      </c>
      <c r="AG204" s="19" t="s">
        <v>176</v>
      </c>
      <c r="AH204" s="31">
        <v>1</v>
      </c>
      <c r="AI204" s="31">
        <v>1</v>
      </c>
      <c r="AJ204" s="31">
        <v>1</v>
      </c>
      <c r="AK204" s="19" t="s">
        <v>150</v>
      </c>
      <c r="AL204" s="136" t="s">
        <v>61</v>
      </c>
      <c r="AM204" s="136" t="s">
        <v>61</v>
      </c>
      <c r="AN204" s="137" t="s">
        <v>530</v>
      </c>
    </row>
    <row r="205" spans="2:40" x14ac:dyDescent="0.25">
      <c r="B205" s="41">
        <f t="shared" si="44"/>
        <v>146</v>
      </c>
      <c r="C205" s="16">
        <v>20200525</v>
      </c>
      <c r="D205" s="15" t="s">
        <v>3</v>
      </c>
      <c r="E205" s="80" t="s">
        <v>479</v>
      </c>
      <c r="F205" s="93" t="s">
        <v>557</v>
      </c>
      <c r="G205" s="80">
        <v>1484917</v>
      </c>
      <c r="H205" s="52" t="s">
        <v>61</v>
      </c>
      <c r="I205" s="80" t="s">
        <v>498</v>
      </c>
      <c r="J205" s="52" t="s">
        <v>61</v>
      </c>
      <c r="K205" s="15" t="s">
        <v>184</v>
      </c>
      <c r="L205" s="15" t="s">
        <v>526</v>
      </c>
      <c r="M205" s="15" t="s">
        <v>527</v>
      </c>
      <c r="N205" s="15" t="s">
        <v>528</v>
      </c>
      <c r="O205" s="17" t="s">
        <v>61</v>
      </c>
      <c r="P205" s="17" t="s">
        <v>529</v>
      </c>
      <c r="Q205" s="18"/>
      <c r="R205" s="52" t="s">
        <v>61</v>
      </c>
      <c r="S205" s="15" t="s">
        <v>67</v>
      </c>
      <c r="T205" s="15"/>
      <c r="U205" s="15"/>
      <c r="V205" s="80">
        <v>100</v>
      </c>
      <c r="W205" s="15">
        <f t="shared" si="43"/>
        <v>100</v>
      </c>
      <c r="X205" s="15">
        <f t="shared" si="46"/>
        <v>100</v>
      </c>
      <c r="Y205" s="15">
        <f>ROUNDDOWN(W205/HLOOKUP(D205,Table!$C$3:$D$4,2,0)*8,2)</f>
        <v>1.77</v>
      </c>
      <c r="Z205" s="15">
        <v>1</v>
      </c>
      <c r="AA205" s="15" t="s">
        <v>74</v>
      </c>
      <c r="AB205" s="19">
        <v>43983</v>
      </c>
      <c r="AC205" s="19">
        <v>43976</v>
      </c>
      <c r="AD205" s="19">
        <v>43983</v>
      </c>
      <c r="AE205" s="19">
        <v>43980</v>
      </c>
      <c r="AF205" s="19">
        <v>43980</v>
      </c>
      <c r="AG205" s="19" t="s">
        <v>176</v>
      </c>
      <c r="AH205" s="31">
        <v>1</v>
      </c>
      <c r="AI205" s="31">
        <v>1</v>
      </c>
      <c r="AJ205" s="31">
        <v>1</v>
      </c>
      <c r="AK205" s="19" t="s">
        <v>150</v>
      </c>
      <c r="AL205" s="136" t="s">
        <v>61</v>
      </c>
      <c r="AM205" s="136" t="s">
        <v>61</v>
      </c>
      <c r="AN205" s="137" t="s">
        <v>530</v>
      </c>
    </row>
    <row r="206" spans="2:40" x14ac:dyDescent="0.25">
      <c r="B206" s="41">
        <f t="shared" si="44"/>
        <v>147</v>
      </c>
      <c r="C206" s="16">
        <v>20200525</v>
      </c>
      <c r="D206" s="15" t="s">
        <v>3</v>
      </c>
      <c r="E206" s="80" t="s">
        <v>479</v>
      </c>
      <c r="F206" s="93" t="s">
        <v>558</v>
      </c>
      <c r="G206" s="80">
        <v>1484917</v>
      </c>
      <c r="H206" s="52"/>
      <c r="I206" s="80" t="s">
        <v>499</v>
      </c>
      <c r="J206" s="52" t="s">
        <v>61</v>
      </c>
      <c r="K206" s="15" t="s">
        <v>184</v>
      </c>
      <c r="L206" s="15" t="s">
        <v>526</v>
      </c>
      <c r="M206" s="15" t="s">
        <v>527</v>
      </c>
      <c r="N206" s="15" t="s">
        <v>528</v>
      </c>
      <c r="O206" s="17" t="s">
        <v>61</v>
      </c>
      <c r="P206" s="17" t="s">
        <v>529</v>
      </c>
      <c r="Q206" s="18"/>
      <c r="R206" s="52" t="s">
        <v>61</v>
      </c>
      <c r="S206" s="15" t="s">
        <v>142</v>
      </c>
      <c r="T206" s="15"/>
      <c r="U206" s="15"/>
      <c r="V206" s="80">
        <v>77</v>
      </c>
      <c r="W206" s="15">
        <f t="shared" si="43"/>
        <v>77</v>
      </c>
      <c r="X206" s="15">
        <f t="shared" ref="X206:X213" si="47">W206</f>
        <v>77</v>
      </c>
      <c r="Y206" s="15">
        <f>ROUNDDOWN(W206/HLOOKUP(D206,Table!$C$3:$D$4,2,0)*8,2)</f>
        <v>1.36</v>
      </c>
      <c r="Z206" s="15">
        <v>1</v>
      </c>
      <c r="AA206" s="15" t="s">
        <v>74</v>
      </c>
      <c r="AB206" s="19">
        <v>43983</v>
      </c>
      <c r="AC206" s="19">
        <v>43976</v>
      </c>
      <c r="AD206" s="19">
        <v>43983</v>
      </c>
      <c r="AE206" s="19">
        <v>43978</v>
      </c>
      <c r="AF206" s="19">
        <v>43978</v>
      </c>
      <c r="AG206" s="19" t="s">
        <v>176</v>
      </c>
      <c r="AH206" s="31">
        <v>1</v>
      </c>
      <c r="AI206" s="31">
        <v>1</v>
      </c>
      <c r="AJ206" s="31">
        <v>1</v>
      </c>
      <c r="AK206" s="19" t="s">
        <v>150</v>
      </c>
      <c r="AL206" s="136" t="s">
        <v>61</v>
      </c>
      <c r="AM206" s="136" t="s">
        <v>61</v>
      </c>
      <c r="AN206" s="137" t="s">
        <v>530</v>
      </c>
    </row>
    <row r="207" spans="2:40" x14ac:dyDescent="0.25">
      <c r="B207" s="41">
        <f t="shared" si="44"/>
        <v>148</v>
      </c>
      <c r="C207" s="16">
        <v>20200525</v>
      </c>
      <c r="D207" s="15" t="s">
        <v>3</v>
      </c>
      <c r="E207" s="80" t="s">
        <v>479</v>
      </c>
      <c r="F207" s="93" t="s">
        <v>559</v>
      </c>
      <c r="G207" s="80">
        <v>1484917</v>
      </c>
      <c r="H207" s="52" t="s">
        <v>61</v>
      </c>
      <c r="I207" s="80" t="s">
        <v>500</v>
      </c>
      <c r="J207" s="52" t="s">
        <v>61</v>
      </c>
      <c r="K207" s="15" t="s">
        <v>184</v>
      </c>
      <c r="L207" s="15" t="s">
        <v>526</v>
      </c>
      <c r="M207" s="15" t="s">
        <v>527</v>
      </c>
      <c r="N207" s="15" t="s">
        <v>528</v>
      </c>
      <c r="O207" s="17" t="s">
        <v>61</v>
      </c>
      <c r="P207" s="17" t="s">
        <v>529</v>
      </c>
      <c r="Q207" s="18"/>
      <c r="R207" s="52" t="s">
        <v>61</v>
      </c>
      <c r="S207" s="15" t="s">
        <v>69</v>
      </c>
      <c r="T207" s="15"/>
      <c r="U207" s="15"/>
      <c r="V207" s="80">
        <v>16</v>
      </c>
      <c r="W207" s="15">
        <f t="shared" si="43"/>
        <v>16</v>
      </c>
      <c r="X207" s="15">
        <f t="shared" si="47"/>
        <v>16</v>
      </c>
      <c r="Y207" s="15">
        <f>ROUNDDOWN(W207/HLOOKUP(D207,Table!$C$3:$D$4,2,0)*8,2)</f>
        <v>0.28000000000000003</v>
      </c>
      <c r="Z207" s="15">
        <v>0.2</v>
      </c>
      <c r="AA207" s="15" t="s">
        <v>74</v>
      </c>
      <c r="AB207" s="19">
        <v>43983</v>
      </c>
      <c r="AC207" s="19">
        <v>43976</v>
      </c>
      <c r="AD207" s="19">
        <v>43983</v>
      </c>
      <c r="AE207" s="19">
        <v>43978</v>
      </c>
      <c r="AF207" s="19">
        <v>43978</v>
      </c>
      <c r="AG207" s="19" t="s">
        <v>176</v>
      </c>
      <c r="AH207" s="31">
        <v>1</v>
      </c>
      <c r="AI207" s="31">
        <v>1</v>
      </c>
      <c r="AJ207" s="31">
        <v>1</v>
      </c>
      <c r="AK207" s="19" t="s">
        <v>150</v>
      </c>
      <c r="AL207" s="136" t="s">
        <v>61</v>
      </c>
      <c r="AM207" s="136" t="s">
        <v>61</v>
      </c>
      <c r="AN207" s="137" t="s">
        <v>530</v>
      </c>
    </row>
    <row r="208" spans="2:40" x14ac:dyDescent="0.25">
      <c r="B208" s="41">
        <f t="shared" si="44"/>
        <v>149</v>
      </c>
      <c r="C208" s="16">
        <v>20200525</v>
      </c>
      <c r="D208" s="15" t="s">
        <v>3</v>
      </c>
      <c r="E208" s="80" t="s">
        <v>479</v>
      </c>
      <c r="F208" s="93" t="s">
        <v>560</v>
      </c>
      <c r="G208" s="80">
        <v>1484917</v>
      </c>
      <c r="H208" s="52" t="s">
        <v>61</v>
      </c>
      <c r="I208" s="80" t="s">
        <v>501</v>
      </c>
      <c r="J208" s="52" t="s">
        <v>61</v>
      </c>
      <c r="K208" s="15" t="s">
        <v>184</v>
      </c>
      <c r="L208" s="15" t="s">
        <v>526</v>
      </c>
      <c r="M208" s="15" t="s">
        <v>527</v>
      </c>
      <c r="N208" s="15" t="s">
        <v>528</v>
      </c>
      <c r="O208" s="17" t="s">
        <v>61</v>
      </c>
      <c r="P208" s="17" t="s">
        <v>529</v>
      </c>
      <c r="Q208" s="18"/>
      <c r="R208" s="52" t="s">
        <v>61</v>
      </c>
      <c r="S208" s="15" t="s">
        <v>69</v>
      </c>
      <c r="T208" s="15"/>
      <c r="U208" s="15"/>
      <c r="V208" s="80">
        <v>8</v>
      </c>
      <c r="W208" s="15">
        <f t="shared" si="43"/>
        <v>8</v>
      </c>
      <c r="X208" s="15">
        <f t="shared" si="47"/>
        <v>8</v>
      </c>
      <c r="Y208" s="15">
        <f>ROUNDDOWN(W208/HLOOKUP(D208,Table!$C$3:$D$4,2,0)*8,2)</f>
        <v>0.14000000000000001</v>
      </c>
      <c r="Z208" s="15">
        <v>0.1</v>
      </c>
      <c r="AA208" s="15" t="s">
        <v>74</v>
      </c>
      <c r="AB208" s="19">
        <v>43983</v>
      </c>
      <c r="AC208" s="19">
        <v>43976</v>
      </c>
      <c r="AD208" s="19">
        <v>43983</v>
      </c>
      <c r="AE208" s="19">
        <v>43978</v>
      </c>
      <c r="AF208" s="19">
        <v>43978</v>
      </c>
      <c r="AG208" s="19" t="s">
        <v>176</v>
      </c>
      <c r="AH208" s="31" t="s">
        <v>61</v>
      </c>
      <c r="AI208" s="31" t="s">
        <v>61</v>
      </c>
      <c r="AJ208" s="31" t="s">
        <v>61</v>
      </c>
      <c r="AK208" s="19" t="s">
        <v>150</v>
      </c>
      <c r="AL208" s="17" t="s">
        <v>656</v>
      </c>
      <c r="AM208" s="136" t="s">
        <v>61</v>
      </c>
      <c r="AN208" s="137" t="s">
        <v>530</v>
      </c>
    </row>
    <row r="209" spans="2:40" x14ac:dyDescent="0.25">
      <c r="B209" s="41">
        <f t="shared" si="44"/>
        <v>150</v>
      </c>
      <c r="C209" s="16">
        <v>20200525</v>
      </c>
      <c r="D209" s="15" t="s">
        <v>3</v>
      </c>
      <c r="E209" s="80" t="s">
        <v>479</v>
      </c>
      <c r="F209" s="93" t="s">
        <v>561</v>
      </c>
      <c r="G209" s="80">
        <v>1484917</v>
      </c>
      <c r="H209" s="52" t="s">
        <v>61</v>
      </c>
      <c r="I209" s="80" t="s">
        <v>225</v>
      </c>
      <c r="J209" s="52" t="s">
        <v>61</v>
      </c>
      <c r="K209" s="15" t="s">
        <v>184</v>
      </c>
      <c r="L209" s="15" t="s">
        <v>526</v>
      </c>
      <c r="M209" s="15" t="s">
        <v>527</v>
      </c>
      <c r="N209" s="15" t="s">
        <v>528</v>
      </c>
      <c r="O209" s="17" t="s">
        <v>61</v>
      </c>
      <c r="P209" s="17" t="s">
        <v>529</v>
      </c>
      <c r="Q209" s="18"/>
      <c r="R209" s="52" t="s">
        <v>61</v>
      </c>
      <c r="S209" s="15" t="s">
        <v>69</v>
      </c>
      <c r="T209" s="15"/>
      <c r="U209" s="15"/>
      <c r="V209" s="80">
        <v>162</v>
      </c>
      <c r="W209" s="15">
        <f t="shared" si="43"/>
        <v>162</v>
      </c>
      <c r="X209" s="15">
        <f t="shared" si="47"/>
        <v>162</v>
      </c>
      <c r="Y209" s="15">
        <f>ROUNDDOWN(W209/HLOOKUP(D209,Table!$C$3:$D$4,2,0)*8,2)</f>
        <v>2.88</v>
      </c>
      <c r="Z209" s="15">
        <v>2</v>
      </c>
      <c r="AA209" s="15" t="s">
        <v>74</v>
      </c>
      <c r="AB209" s="19">
        <v>43983</v>
      </c>
      <c r="AC209" s="19">
        <v>43976</v>
      </c>
      <c r="AD209" s="19">
        <v>43983</v>
      </c>
      <c r="AE209" s="19">
        <v>43978</v>
      </c>
      <c r="AF209" s="19">
        <v>43978</v>
      </c>
      <c r="AG209" s="19" t="s">
        <v>176</v>
      </c>
      <c r="AH209" s="31">
        <v>1</v>
      </c>
      <c r="AI209" s="31">
        <v>1</v>
      </c>
      <c r="AJ209" s="31">
        <v>1</v>
      </c>
      <c r="AK209" s="19" t="s">
        <v>150</v>
      </c>
      <c r="AL209" s="136" t="s">
        <v>61</v>
      </c>
      <c r="AM209" s="136" t="s">
        <v>61</v>
      </c>
      <c r="AN209" s="137" t="s">
        <v>530</v>
      </c>
    </row>
    <row r="210" spans="2:40" x14ac:dyDescent="0.25">
      <c r="B210" s="41">
        <f t="shared" si="44"/>
        <v>151</v>
      </c>
      <c r="C210" s="16">
        <v>20200525</v>
      </c>
      <c r="D210" s="15" t="s">
        <v>3</v>
      </c>
      <c r="E210" s="80" t="s">
        <v>479</v>
      </c>
      <c r="F210" s="93" t="s">
        <v>562</v>
      </c>
      <c r="G210" s="80">
        <v>1484917</v>
      </c>
      <c r="H210" s="52" t="s">
        <v>61</v>
      </c>
      <c r="I210" s="80" t="s">
        <v>225</v>
      </c>
      <c r="J210" s="52" t="s">
        <v>61</v>
      </c>
      <c r="K210" s="15" t="s">
        <v>184</v>
      </c>
      <c r="L210" s="15" t="s">
        <v>526</v>
      </c>
      <c r="M210" s="15" t="s">
        <v>527</v>
      </c>
      <c r="N210" s="15" t="s">
        <v>528</v>
      </c>
      <c r="O210" s="17" t="s">
        <v>61</v>
      </c>
      <c r="P210" s="17" t="s">
        <v>529</v>
      </c>
      <c r="Q210" s="18"/>
      <c r="R210" s="52" t="s">
        <v>61</v>
      </c>
      <c r="S210" s="15" t="s">
        <v>69</v>
      </c>
      <c r="T210" s="15"/>
      <c r="U210" s="15"/>
      <c r="V210" s="80">
        <v>162</v>
      </c>
      <c r="W210" s="84">
        <f>V210-162+209</f>
        <v>209</v>
      </c>
      <c r="X210" s="15">
        <f t="shared" si="47"/>
        <v>209</v>
      </c>
      <c r="Y210" s="15">
        <f>ROUNDDOWN(W210/HLOOKUP(D210,Table!$C$3:$D$4,2,0)*8,2)</f>
        <v>3.71</v>
      </c>
      <c r="Z210" s="15">
        <v>2</v>
      </c>
      <c r="AA210" s="15" t="s">
        <v>74</v>
      </c>
      <c r="AB210" s="19">
        <v>43983</v>
      </c>
      <c r="AC210" s="19">
        <v>43976</v>
      </c>
      <c r="AD210" s="19">
        <v>43983</v>
      </c>
      <c r="AE210" s="19">
        <v>43978</v>
      </c>
      <c r="AF210" s="19">
        <v>43978</v>
      </c>
      <c r="AG210" s="19" t="s">
        <v>176</v>
      </c>
      <c r="AH210" s="31">
        <v>1</v>
      </c>
      <c r="AI210" s="31">
        <v>1</v>
      </c>
      <c r="AJ210" s="31">
        <v>1</v>
      </c>
      <c r="AK210" s="19" t="s">
        <v>150</v>
      </c>
      <c r="AL210" s="136" t="s">
        <v>61</v>
      </c>
      <c r="AM210" s="136" t="s">
        <v>61</v>
      </c>
      <c r="AN210" s="137" t="s">
        <v>530</v>
      </c>
    </row>
    <row r="211" spans="2:40" x14ac:dyDescent="0.25">
      <c r="B211" s="41">
        <f t="shared" si="44"/>
        <v>152</v>
      </c>
      <c r="C211" s="16">
        <v>20200525</v>
      </c>
      <c r="D211" s="15" t="s">
        <v>3</v>
      </c>
      <c r="E211" s="80" t="s">
        <v>479</v>
      </c>
      <c r="F211" s="93" t="s">
        <v>563</v>
      </c>
      <c r="G211" s="80">
        <v>1484917</v>
      </c>
      <c r="H211" s="52"/>
      <c r="I211" s="80" t="s">
        <v>502</v>
      </c>
      <c r="J211" s="52" t="s">
        <v>61</v>
      </c>
      <c r="K211" s="15" t="s">
        <v>184</v>
      </c>
      <c r="L211" s="15" t="s">
        <v>526</v>
      </c>
      <c r="M211" s="15" t="s">
        <v>527</v>
      </c>
      <c r="N211" s="15" t="s">
        <v>528</v>
      </c>
      <c r="O211" s="17" t="s">
        <v>61</v>
      </c>
      <c r="P211" s="17" t="s">
        <v>529</v>
      </c>
      <c r="Q211" s="18"/>
      <c r="R211" s="52" t="s">
        <v>61</v>
      </c>
      <c r="S211" s="15" t="s">
        <v>142</v>
      </c>
      <c r="T211" s="15"/>
      <c r="U211" s="15"/>
      <c r="V211" s="80">
        <v>17</v>
      </c>
      <c r="W211" s="15">
        <f t="shared" si="43"/>
        <v>17</v>
      </c>
      <c r="X211" s="15">
        <f t="shared" si="47"/>
        <v>17</v>
      </c>
      <c r="Y211" s="15">
        <f>ROUNDDOWN(W211/HLOOKUP(D211,Table!$C$3:$D$4,2,0)*8,2)</f>
        <v>0.3</v>
      </c>
      <c r="Z211" s="15">
        <v>0.1</v>
      </c>
      <c r="AA211" s="15" t="s">
        <v>74</v>
      </c>
      <c r="AB211" s="19">
        <v>43983</v>
      </c>
      <c r="AC211" s="19">
        <v>43976</v>
      </c>
      <c r="AD211" s="19">
        <v>43983</v>
      </c>
      <c r="AE211" s="19">
        <v>43978</v>
      </c>
      <c r="AF211" s="19">
        <v>43978</v>
      </c>
      <c r="AG211" s="19" t="s">
        <v>176</v>
      </c>
      <c r="AH211" s="31">
        <v>1</v>
      </c>
      <c r="AI211" s="31">
        <v>1</v>
      </c>
      <c r="AJ211" s="31">
        <v>1</v>
      </c>
      <c r="AK211" s="19" t="s">
        <v>150</v>
      </c>
      <c r="AL211" s="136" t="s">
        <v>61</v>
      </c>
      <c r="AM211" s="136" t="s">
        <v>61</v>
      </c>
      <c r="AN211" s="137" t="s">
        <v>530</v>
      </c>
    </row>
    <row r="212" spans="2:40" x14ac:dyDescent="0.25">
      <c r="B212" s="41">
        <f t="shared" si="44"/>
        <v>153</v>
      </c>
      <c r="C212" s="16">
        <v>20200525</v>
      </c>
      <c r="D212" s="15" t="s">
        <v>3</v>
      </c>
      <c r="E212" s="80" t="s">
        <v>479</v>
      </c>
      <c r="F212" s="93" t="s">
        <v>564</v>
      </c>
      <c r="G212" s="80">
        <v>1484917</v>
      </c>
      <c r="H212" s="52" t="s">
        <v>61</v>
      </c>
      <c r="I212" s="80" t="s">
        <v>503</v>
      </c>
      <c r="J212" s="52" t="s">
        <v>61</v>
      </c>
      <c r="K212" s="15" t="s">
        <v>184</v>
      </c>
      <c r="L212" s="15" t="s">
        <v>526</v>
      </c>
      <c r="M212" s="15" t="s">
        <v>527</v>
      </c>
      <c r="N212" s="15" t="s">
        <v>528</v>
      </c>
      <c r="O212" s="17" t="s">
        <v>61</v>
      </c>
      <c r="P212" s="17" t="s">
        <v>529</v>
      </c>
      <c r="Q212" s="18"/>
      <c r="R212" s="52" t="s">
        <v>61</v>
      </c>
      <c r="S212" s="15" t="s">
        <v>69</v>
      </c>
      <c r="T212" s="15"/>
      <c r="U212" s="15"/>
      <c r="V212" s="80">
        <v>18</v>
      </c>
      <c r="W212" s="15">
        <f t="shared" si="43"/>
        <v>18</v>
      </c>
      <c r="X212" s="15">
        <f t="shared" si="47"/>
        <v>18</v>
      </c>
      <c r="Y212" s="15">
        <f>ROUNDDOWN(W212/HLOOKUP(D212,Table!$C$3:$D$4,2,0)*8,2)</f>
        <v>0.32</v>
      </c>
      <c r="Z212" s="15">
        <v>0.3</v>
      </c>
      <c r="AA212" s="15" t="s">
        <v>74</v>
      </c>
      <c r="AB212" s="19">
        <v>43983</v>
      </c>
      <c r="AC212" s="19">
        <v>43976</v>
      </c>
      <c r="AD212" s="19">
        <v>43983</v>
      </c>
      <c r="AE212" s="19">
        <v>43978</v>
      </c>
      <c r="AF212" s="19">
        <v>43978</v>
      </c>
      <c r="AG212" s="19" t="s">
        <v>176</v>
      </c>
      <c r="AH212" s="31">
        <v>1</v>
      </c>
      <c r="AI212" s="31">
        <v>1</v>
      </c>
      <c r="AJ212" s="31">
        <v>1</v>
      </c>
      <c r="AK212" s="19" t="s">
        <v>150</v>
      </c>
      <c r="AL212" s="136" t="s">
        <v>61</v>
      </c>
      <c r="AM212" s="136" t="s">
        <v>61</v>
      </c>
      <c r="AN212" s="137" t="s">
        <v>530</v>
      </c>
    </row>
    <row r="213" spans="2:40" x14ac:dyDescent="0.25">
      <c r="B213" s="41">
        <f t="shared" si="44"/>
        <v>154</v>
      </c>
      <c r="C213" s="16">
        <v>20200525</v>
      </c>
      <c r="D213" s="15" t="s">
        <v>3</v>
      </c>
      <c r="E213" s="80" t="s">
        <v>479</v>
      </c>
      <c r="F213" s="93" t="s">
        <v>565</v>
      </c>
      <c r="G213" s="80">
        <v>1484917</v>
      </c>
      <c r="H213" s="52" t="s">
        <v>61</v>
      </c>
      <c r="I213" s="80" t="s">
        <v>503</v>
      </c>
      <c r="J213" s="52" t="s">
        <v>61</v>
      </c>
      <c r="K213" s="15" t="s">
        <v>184</v>
      </c>
      <c r="L213" s="15" t="s">
        <v>526</v>
      </c>
      <c r="M213" s="15" t="s">
        <v>527</v>
      </c>
      <c r="N213" s="15" t="s">
        <v>528</v>
      </c>
      <c r="O213" s="17" t="s">
        <v>61</v>
      </c>
      <c r="P213" s="17" t="s">
        <v>529</v>
      </c>
      <c r="Q213" s="18"/>
      <c r="R213" s="52" t="s">
        <v>61</v>
      </c>
      <c r="S213" s="15" t="s">
        <v>69</v>
      </c>
      <c r="T213" s="15"/>
      <c r="U213" s="15"/>
      <c r="V213" s="80">
        <v>18</v>
      </c>
      <c r="W213" s="15">
        <f t="shared" si="43"/>
        <v>18</v>
      </c>
      <c r="X213" s="15">
        <f t="shared" si="47"/>
        <v>18</v>
      </c>
      <c r="Y213" s="15">
        <f>ROUNDDOWN(W213/HLOOKUP(D213,Table!$C$3:$D$4,2,0)*8,2)</f>
        <v>0.32</v>
      </c>
      <c r="Z213" s="15">
        <v>0.3</v>
      </c>
      <c r="AA213" s="15" t="s">
        <v>74</v>
      </c>
      <c r="AB213" s="19">
        <v>43983</v>
      </c>
      <c r="AC213" s="19">
        <v>43976</v>
      </c>
      <c r="AD213" s="19">
        <v>43983</v>
      </c>
      <c r="AE213" s="19">
        <v>43978</v>
      </c>
      <c r="AF213" s="19">
        <v>43978</v>
      </c>
      <c r="AG213" s="19" t="s">
        <v>176</v>
      </c>
      <c r="AH213" s="31">
        <v>1</v>
      </c>
      <c r="AI213" s="31">
        <v>1</v>
      </c>
      <c r="AJ213" s="31">
        <v>1</v>
      </c>
      <c r="AK213" s="19" t="s">
        <v>150</v>
      </c>
      <c r="AL213" s="136" t="s">
        <v>61</v>
      </c>
      <c r="AM213" s="136" t="s">
        <v>61</v>
      </c>
      <c r="AN213" s="137" t="s">
        <v>530</v>
      </c>
    </row>
    <row r="214" spans="2:40" x14ac:dyDescent="0.25">
      <c r="B214" s="41">
        <f t="shared" si="44"/>
        <v>155</v>
      </c>
      <c r="C214" s="16">
        <v>20200525</v>
      </c>
      <c r="D214" s="15" t="s">
        <v>3</v>
      </c>
      <c r="E214" s="80" t="s">
        <v>479</v>
      </c>
      <c r="F214" s="93" t="s">
        <v>566</v>
      </c>
      <c r="G214" s="80">
        <v>1484917</v>
      </c>
      <c r="H214" s="52" t="s">
        <v>61</v>
      </c>
      <c r="I214" s="80" t="s">
        <v>504</v>
      </c>
      <c r="J214" s="52" t="s">
        <v>61</v>
      </c>
      <c r="K214" s="15" t="s">
        <v>184</v>
      </c>
      <c r="L214" s="15" t="s">
        <v>526</v>
      </c>
      <c r="M214" s="15" t="s">
        <v>527</v>
      </c>
      <c r="N214" s="15" t="s">
        <v>528</v>
      </c>
      <c r="O214" s="17" t="s">
        <v>61</v>
      </c>
      <c r="P214" s="17" t="s">
        <v>529</v>
      </c>
      <c r="Q214" s="18"/>
      <c r="R214" s="52" t="s">
        <v>61</v>
      </c>
      <c r="S214" s="15" t="s">
        <v>67</v>
      </c>
      <c r="T214" s="15"/>
      <c r="U214" s="15"/>
      <c r="V214" s="80">
        <v>44</v>
      </c>
      <c r="W214" s="15">
        <f t="shared" si="43"/>
        <v>44</v>
      </c>
      <c r="X214" s="15">
        <f t="shared" ref="X214:X219" si="48">W214</f>
        <v>44</v>
      </c>
      <c r="Y214" s="15">
        <f>ROUNDDOWN(W214/HLOOKUP(D214,Table!$C$3:$D$4,2,0)*8,2)</f>
        <v>0.78</v>
      </c>
      <c r="Z214" s="15">
        <v>0.5</v>
      </c>
      <c r="AA214" s="15" t="s">
        <v>74</v>
      </c>
      <c r="AB214" s="19">
        <v>43983</v>
      </c>
      <c r="AC214" s="19">
        <v>43976</v>
      </c>
      <c r="AD214" s="19">
        <v>43983</v>
      </c>
      <c r="AE214" s="19">
        <v>43980</v>
      </c>
      <c r="AF214" s="19">
        <v>43980</v>
      </c>
      <c r="AG214" s="19" t="s">
        <v>176</v>
      </c>
      <c r="AH214" s="31">
        <v>1</v>
      </c>
      <c r="AI214" s="31">
        <v>1</v>
      </c>
      <c r="AJ214" s="31">
        <v>1</v>
      </c>
      <c r="AK214" s="19" t="s">
        <v>150</v>
      </c>
      <c r="AL214" s="136" t="s">
        <v>61</v>
      </c>
      <c r="AM214" s="136" t="s">
        <v>61</v>
      </c>
      <c r="AN214" s="137" t="s">
        <v>530</v>
      </c>
    </row>
    <row r="215" spans="2:40" x14ac:dyDescent="0.25">
      <c r="B215" s="41">
        <f t="shared" si="44"/>
        <v>156</v>
      </c>
      <c r="C215" s="16">
        <v>20200525</v>
      </c>
      <c r="D215" s="15" t="s">
        <v>3</v>
      </c>
      <c r="E215" s="80" t="s">
        <v>479</v>
      </c>
      <c r="F215" s="93" t="s">
        <v>567</v>
      </c>
      <c r="G215" s="80">
        <v>1484917</v>
      </c>
      <c r="H215" s="52" t="s">
        <v>61</v>
      </c>
      <c r="I215" s="80" t="s">
        <v>505</v>
      </c>
      <c r="J215" s="52" t="s">
        <v>61</v>
      </c>
      <c r="K215" s="15" t="s">
        <v>184</v>
      </c>
      <c r="L215" s="15" t="s">
        <v>526</v>
      </c>
      <c r="M215" s="15" t="s">
        <v>527</v>
      </c>
      <c r="N215" s="15" t="s">
        <v>528</v>
      </c>
      <c r="O215" s="17" t="s">
        <v>61</v>
      </c>
      <c r="P215" s="17" t="s">
        <v>529</v>
      </c>
      <c r="Q215" s="18"/>
      <c r="R215" s="52" t="s">
        <v>61</v>
      </c>
      <c r="S215" s="15" t="s">
        <v>70</v>
      </c>
      <c r="T215" s="15"/>
      <c r="U215" s="15"/>
      <c r="V215" s="80">
        <v>129</v>
      </c>
      <c r="W215" s="15">
        <f t="shared" ref="W215:W240" si="49">V215</f>
        <v>129</v>
      </c>
      <c r="X215" s="15">
        <f t="shared" si="48"/>
        <v>129</v>
      </c>
      <c r="Y215" s="15">
        <f>ROUNDDOWN(W215/HLOOKUP(D215,Table!$C$3:$D$4,2,0)*8,2)</f>
        <v>2.29</v>
      </c>
      <c r="Z215" s="15">
        <v>1</v>
      </c>
      <c r="AA215" s="15" t="s">
        <v>74</v>
      </c>
      <c r="AB215" s="19">
        <v>43983</v>
      </c>
      <c r="AC215" s="19">
        <v>43976</v>
      </c>
      <c r="AD215" s="19">
        <v>43983</v>
      </c>
      <c r="AE215" s="19">
        <v>43977</v>
      </c>
      <c r="AF215" s="19">
        <v>43977</v>
      </c>
      <c r="AG215" s="19" t="s">
        <v>176</v>
      </c>
      <c r="AH215" s="31">
        <v>1</v>
      </c>
      <c r="AI215" s="31">
        <v>1</v>
      </c>
      <c r="AJ215" s="31">
        <v>1</v>
      </c>
      <c r="AK215" s="19" t="s">
        <v>150</v>
      </c>
      <c r="AL215" s="136" t="s">
        <v>61</v>
      </c>
      <c r="AM215" s="136" t="s">
        <v>61</v>
      </c>
      <c r="AN215" s="137" t="s">
        <v>530</v>
      </c>
    </row>
    <row r="216" spans="2:40" x14ac:dyDescent="0.25">
      <c r="B216" s="41">
        <f t="shared" si="44"/>
        <v>157</v>
      </c>
      <c r="C216" s="16">
        <v>20200525</v>
      </c>
      <c r="D216" s="15" t="s">
        <v>3</v>
      </c>
      <c r="E216" s="80" t="s">
        <v>479</v>
      </c>
      <c r="F216" s="93" t="s">
        <v>568</v>
      </c>
      <c r="G216" s="80">
        <v>1484917</v>
      </c>
      <c r="H216" s="52" t="s">
        <v>61</v>
      </c>
      <c r="I216" s="80" t="s">
        <v>506</v>
      </c>
      <c r="J216" s="52" t="s">
        <v>61</v>
      </c>
      <c r="K216" s="15" t="s">
        <v>184</v>
      </c>
      <c r="L216" s="15" t="s">
        <v>526</v>
      </c>
      <c r="M216" s="15" t="s">
        <v>527</v>
      </c>
      <c r="N216" s="15" t="s">
        <v>528</v>
      </c>
      <c r="O216" s="17" t="s">
        <v>61</v>
      </c>
      <c r="P216" s="17" t="s">
        <v>529</v>
      </c>
      <c r="Q216" s="18"/>
      <c r="R216" s="52" t="s">
        <v>61</v>
      </c>
      <c r="S216" s="15" t="s">
        <v>70</v>
      </c>
      <c r="T216" s="15"/>
      <c r="U216" s="15"/>
      <c r="V216" s="80">
        <v>164</v>
      </c>
      <c r="W216" s="15">
        <f t="shared" si="49"/>
        <v>164</v>
      </c>
      <c r="X216" s="15">
        <f t="shared" si="48"/>
        <v>164</v>
      </c>
      <c r="Y216" s="15">
        <f>ROUNDDOWN(W216/HLOOKUP(D216,Table!$C$3:$D$4,2,0)*8,2)</f>
        <v>2.91</v>
      </c>
      <c r="Z216" s="15">
        <v>1</v>
      </c>
      <c r="AA216" s="15" t="s">
        <v>74</v>
      </c>
      <c r="AB216" s="19">
        <v>43983</v>
      </c>
      <c r="AC216" s="19">
        <v>43976</v>
      </c>
      <c r="AD216" s="19">
        <v>43983</v>
      </c>
      <c r="AE216" s="19">
        <v>43978</v>
      </c>
      <c r="AF216" s="19">
        <v>43978</v>
      </c>
      <c r="AG216" s="19" t="s">
        <v>176</v>
      </c>
      <c r="AH216" s="31">
        <v>1</v>
      </c>
      <c r="AI216" s="31">
        <v>1</v>
      </c>
      <c r="AJ216" s="31">
        <v>1</v>
      </c>
      <c r="AK216" s="19" t="s">
        <v>150</v>
      </c>
      <c r="AL216" s="136" t="s">
        <v>61</v>
      </c>
      <c r="AM216" s="136" t="s">
        <v>61</v>
      </c>
      <c r="AN216" s="137" t="s">
        <v>530</v>
      </c>
    </row>
    <row r="217" spans="2:40" x14ac:dyDescent="0.25">
      <c r="B217" s="41">
        <f t="shared" si="44"/>
        <v>158</v>
      </c>
      <c r="C217" s="16">
        <v>20200525</v>
      </c>
      <c r="D217" s="15" t="s">
        <v>3</v>
      </c>
      <c r="E217" s="80" t="s">
        <v>479</v>
      </c>
      <c r="F217" s="93" t="s">
        <v>569</v>
      </c>
      <c r="G217" s="80">
        <v>1484917</v>
      </c>
      <c r="H217" s="52" t="s">
        <v>61</v>
      </c>
      <c r="I217" s="80" t="s">
        <v>506</v>
      </c>
      <c r="J217" s="52" t="s">
        <v>61</v>
      </c>
      <c r="K217" s="15" t="s">
        <v>184</v>
      </c>
      <c r="L217" s="15" t="s">
        <v>526</v>
      </c>
      <c r="M217" s="15" t="s">
        <v>527</v>
      </c>
      <c r="N217" s="15" t="s">
        <v>528</v>
      </c>
      <c r="O217" s="17" t="s">
        <v>61</v>
      </c>
      <c r="P217" s="17" t="s">
        <v>529</v>
      </c>
      <c r="Q217" s="18"/>
      <c r="R217" s="52" t="s">
        <v>61</v>
      </c>
      <c r="S217" s="15" t="s">
        <v>70</v>
      </c>
      <c r="T217" s="15"/>
      <c r="U217" s="15"/>
      <c r="V217" s="80">
        <v>164</v>
      </c>
      <c r="W217" s="84">
        <v>196</v>
      </c>
      <c r="X217" s="15">
        <f t="shared" si="48"/>
        <v>196</v>
      </c>
      <c r="Y217" s="15">
        <f>ROUNDDOWN(W217/HLOOKUP(D217,Table!$C$3:$D$4,2,0)*8,2)</f>
        <v>3.48</v>
      </c>
      <c r="Z217" s="15">
        <v>1</v>
      </c>
      <c r="AA217" s="15" t="s">
        <v>74</v>
      </c>
      <c r="AB217" s="19">
        <v>43983</v>
      </c>
      <c r="AC217" s="19">
        <v>43976</v>
      </c>
      <c r="AD217" s="19">
        <v>43983</v>
      </c>
      <c r="AE217" s="19">
        <v>43978</v>
      </c>
      <c r="AF217" s="19">
        <v>43978</v>
      </c>
      <c r="AG217" s="19" t="s">
        <v>176</v>
      </c>
      <c r="AH217" s="31">
        <v>1</v>
      </c>
      <c r="AI217" s="31">
        <v>1</v>
      </c>
      <c r="AJ217" s="31">
        <v>1</v>
      </c>
      <c r="AK217" s="19" t="s">
        <v>150</v>
      </c>
      <c r="AL217" s="136" t="s">
        <v>61</v>
      </c>
      <c r="AM217" s="136" t="s">
        <v>61</v>
      </c>
      <c r="AN217" s="137" t="s">
        <v>530</v>
      </c>
    </row>
    <row r="218" spans="2:40" x14ac:dyDescent="0.25">
      <c r="B218" s="41">
        <f t="shared" si="44"/>
        <v>159</v>
      </c>
      <c r="C218" s="16">
        <v>20200525</v>
      </c>
      <c r="D218" s="15" t="s">
        <v>3</v>
      </c>
      <c r="E218" s="80" t="s">
        <v>479</v>
      </c>
      <c r="F218" s="93" t="s">
        <v>570</v>
      </c>
      <c r="G218" s="80">
        <v>1484917</v>
      </c>
      <c r="H218" s="52"/>
      <c r="I218" s="80" t="s">
        <v>507</v>
      </c>
      <c r="J218" s="52" t="s">
        <v>61</v>
      </c>
      <c r="K218" s="15" t="s">
        <v>184</v>
      </c>
      <c r="L218" s="15" t="s">
        <v>526</v>
      </c>
      <c r="M218" s="15" t="s">
        <v>527</v>
      </c>
      <c r="N218" s="15" t="s">
        <v>528</v>
      </c>
      <c r="O218" s="17" t="s">
        <v>61</v>
      </c>
      <c r="P218" s="17" t="s">
        <v>529</v>
      </c>
      <c r="Q218" s="18"/>
      <c r="R218" s="52" t="s">
        <v>61</v>
      </c>
      <c r="S218" s="15" t="s">
        <v>142</v>
      </c>
      <c r="T218" s="15"/>
      <c r="U218" s="15"/>
      <c r="V218" s="80">
        <v>133</v>
      </c>
      <c r="W218" s="15">
        <f t="shared" si="49"/>
        <v>133</v>
      </c>
      <c r="X218" s="15">
        <f t="shared" si="48"/>
        <v>133</v>
      </c>
      <c r="Y218" s="15">
        <f>ROUNDDOWN(W218/HLOOKUP(D218,Table!$C$3:$D$4,2,0)*8,2)</f>
        <v>2.36</v>
      </c>
      <c r="Z218" s="15">
        <v>0.5</v>
      </c>
      <c r="AA218" s="15" t="s">
        <v>74</v>
      </c>
      <c r="AB218" s="19">
        <v>43983</v>
      </c>
      <c r="AC218" s="19">
        <v>43976</v>
      </c>
      <c r="AD218" s="19">
        <v>43983</v>
      </c>
      <c r="AE218" s="19">
        <v>43977</v>
      </c>
      <c r="AF218" s="19">
        <v>43977</v>
      </c>
      <c r="AG218" s="19" t="s">
        <v>176</v>
      </c>
      <c r="AH218" s="31">
        <v>1</v>
      </c>
      <c r="AI218" s="31">
        <v>1</v>
      </c>
      <c r="AJ218" s="31">
        <v>1</v>
      </c>
      <c r="AK218" s="19" t="s">
        <v>150</v>
      </c>
      <c r="AL218" s="136" t="s">
        <v>61</v>
      </c>
      <c r="AM218" s="136" t="s">
        <v>61</v>
      </c>
      <c r="AN218" s="137" t="s">
        <v>530</v>
      </c>
    </row>
    <row r="219" spans="2:40" x14ac:dyDescent="0.25">
      <c r="B219" s="41">
        <f t="shared" si="44"/>
        <v>160</v>
      </c>
      <c r="C219" s="16">
        <v>20200525</v>
      </c>
      <c r="D219" s="15" t="s">
        <v>3</v>
      </c>
      <c r="E219" s="80" t="s">
        <v>479</v>
      </c>
      <c r="F219" s="93" t="s">
        <v>571</v>
      </c>
      <c r="G219" s="80">
        <v>1484917</v>
      </c>
      <c r="H219" s="52" t="s">
        <v>61</v>
      </c>
      <c r="I219" s="80" t="s">
        <v>508</v>
      </c>
      <c r="J219" s="52" t="s">
        <v>61</v>
      </c>
      <c r="K219" s="15" t="s">
        <v>184</v>
      </c>
      <c r="L219" s="15" t="s">
        <v>526</v>
      </c>
      <c r="M219" s="15" t="s">
        <v>527</v>
      </c>
      <c r="N219" s="15" t="s">
        <v>528</v>
      </c>
      <c r="O219" s="17" t="s">
        <v>61</v>
      </c>
      <c r="P219" s="17" t="s">
        <v>529</v>
      </c>
      <c r="Q219" s="18"/>
      <c r="R219" s="52" t="s">
        <v>61</v>
      </c>
      <c r="S219" s="15" t="s">
        <v>69</v>
      </c>
      <c r="T219" s="15"/>
      <c r="U219" s="15"/>
      <c r="V219" s="80">
        <v>188</v>
      </c>
      <c r="W219" s="15">
        <f t="shared" si="49"/>
        <v>188</v>
      </c>
      <c r="X219" s="15">
        <f t="shared" si="48"/>
        <v>188</v>
      </c>
      <c r="Y219" s="15">
        <f>ROUNDDOWN(W219/HLOOKUP(D219,Table!$C$3:$D$4,2,0)*8,2)</f>
        <v>3.34</v>
      </c>
      <c r="Z219" s="15">
        <v>3</v>
      </c>
      <c r="AA219" s="15" t="s">
        <v>74</v>
      </c>
      <c r="AB219" s="19">
        <v>43983</v>
      </c>
      <c r="AC219" s="19">
        <v>43976</v>
      </c>
      <c r="AD219" s="19">
        <v>43983</v>
      </c>
      <c r="AE219" s="19">
        <v>43978</v>
      </c>
      <c r="AF219" s="19">
        <v>43978</v>
      </c>
      <c r="AG219" s="19" t="s">
        <v>176</v>
      </c>
      <c r="AH219" s="31">
        <v>1</v>
      </c>
      <c r="AI219" s="31">
        <v>1</v>
      </c>
      <c r="AJ219" s="31">
        <v>1</v>
      </c>
      <c r="AK219" s="19" t="s">
        <v>150</v>
      </c>
      <c r="AL219" s="136" t="s">
        <v>61</v>
      </c>
      <c r="AM219" s="136" t="s">
        <v>61</v>
      </c>
      <c r="AN219" s="137" t="s">
        <v>530</v>
      </c>
    </row>
    <row r="220" spans="2:40" x14ac:dyDescent="0.25">
      <c r="B220" s="41">
        <f t="shared" si="44"/>
        <v>161</v>
      </c>
      <c r="C220" s="16">
        <v>20200525</v>
      </c>
      <c r="D220" s="15" t="s">
        <v>3</v>
      </c>
      <c r="E220" s="80" t="s">
        <v>479</v>
      </c>
      <c r="F220" s="93" t="s">
        <v>572</v>
      </c>
      <c r="G220" s="80">
        <v>1484917</v>
      </c>
      <c r="H220" s="52" t="s">
        <v>61</v>
      </c>
      <c r="I220" s="80" t="s">
        <v>256</v>
      </c>
      <c r="J220" s="52" t="s">
        <v>61</v>
      </c>
      <c r="K220" s="15" t="s">
        <v>184</v>
      </c>
      <c r="L220" s="15" t="s">
        <v>526</v>
      </c>
      <c r="M220" s="15" t="s">
        <v>527</v>
      </c>
      <c r="N220" s="15" t="s">
        <v>528</v>
      </c>
      <c r="O220" s="17" t="s">
        <v>61</v>
      </c>
      <c r="P220" s="17" t="s">
        <v>529</v>
      </c>
      <c r="Q220" s="18"/>
      <c r="R220" s="52" t="s">
        <v>61</v>
      </c>
      <c r="S220" s="15" t="s">
        <v>67</v>
      </c>
      <c r="T220" s="15"/>
      <c r="U220" s="15"/>
      <c r="V220" s="80">
        <v>55</v>
      </c>
      <c r="W220" s="15">
        <f t="shared" si="49"/>
        <v>55</v>
      </c>
      <c r="X220" s="15">
        <f t="shared" ref="X220:X232" si="50">W220</f>
        <v>55</v>
      </c>
      <c r="Y220" s="15">
        <f>ROUNDDOWN(W220/HLOOKUP(D220,Table!$C$3:$D$4,2,0)*8,2)</f>
        <v>0.97</v>
      </c>
      <c r="Z220" s="15">
        <v>1</v>
      </c>
      <c r="AA220" s="15" t="s">
        <v>74</v>
      </c>
      <c r="AB220" s="19">
        <v>43983</v>
      </c>
      <c r="AC220" s="19">
        <v>43976</v>
      </c>
      <c r="AD220" s="19">
        <v>43983</v>
      </c>
      <c r="AE220" s="19">
        <v>43983</v>
      </c>
      <c r="AF220" s="19">
        <v>43983</v>
      </c>
      <c r="AG220" s="19" t="s">
        <v>176</v>
      </c>
      <c r="AH220" s="31">
        <v>1</v>
      </c>
      <c r="AI220" s="31">
        <v>1</v>
      </c>
      <c r="AJ220" s="31">
        <v>1</v>
      </c>
      <c r="AK220" s="19" t="s">
        <v>150</v>
      </c>
      <c r="AL220" s="136" t="s">
        <v>61</v>
      </c>
      <c r="AM220" s="136" t="s">
        <v>61</v>
      </c>
      <c r="AN220" s="137" t="s">
        <v>530</v>
      </c>
    </row>
    <row r="221" spans="2:40" x14ac:dyDescent="0.25">
      <c r="B221" s="41">
        <f t="shared" si="44"/>
        <v>162</v>
      </c>
      <c r="C221" s="16">
        <v>20200525</v>
      </c>
      <c r="D221" s="15" t="s">
        <v>3</v>
      </c>
      <c r="E221" s="80" t="s">
        <v>479</v>
      </c>
      <c r="F221" s="93" t="s">
        <v>573</v>
      </c>
      <c r="G221" s="80">
        <v>1484917</v>
      </c>
      <c r="H221" s="52" t="s">
        <v>61</v>
      </c>
      <c r="I221" s="80" t="s">
        <v>509</v>
      </c>
      <c r="J221" s="52" t="s">
        <v>61</v>
      </c>
      <c r="K221" s="15" t="s">
        <v>184</v>
      </c>
      <c r="L221" s="15" t="s">
        <v>526</v>
      </c>
      <c r="M221" s="15" t="s">
        <v>527</v>
      </c>
      <c r="N221" s="15" t="s">
        <v>528</v>
      </c>
      <c r="O221" s="17" t="s">
        <v>61</v>
      </c>
      <c r="P221" s="17" t="s">
        <v>529</v>
      </c>
      <c r="Q221" s="18"/>
      <c r="R221" s="52" t="s">
        <v>61</v>
      </c>
      <c r="S221" s="15" t="s">
        <v>67</v>
      </c>
      <c r="T221" s="15"/>
      <c r="U221" s="15"/>
      <c r="V221" s="80">
        <v>197</v>
      </c>
      <c r="W221" s="15">
        <f t="shared" si="49"/>
        <v>197</v>
      </c>
      <c r="X221" s="15">
        <f t="shared" si="50"/>
        <v>197</v>
      </c>
      <c r="Y221" s="15">
        <f>ROUNDDOWN(W221/HLOOKUP(D221,Table!$C$3:$D$4,2,0)*8,2)</f>
        <v>3.5</v>
      </c>
      <c r="Z221" s="15">
        <v>2</v>
      </c>
      <c r="AA221" s="15" t="s">
        <v>74</v>
      </c>
      <c r="AB221" s="19">
        <v>43983</v>
      </c>
      <c r="AC221" s="19">
        <v>43976</v>
      </c>
      <c r="AD221" s="19">
        <v>43983</v>
      </c>
      <c r="AE221" s="19">
        <v>43983</v>
      </c>
      <c r="AF221" s="19">
        <v>43983</v>
      </c>
      <c r="AG221" s="19" t="s">
        <v>176</v>
      </c>
      <c r="AH221" s="31">
        <v>1</v>
      </c>
      <c r="AI221" s="31">
        <v>1</v>
      </c>
      <c r="AJ221" s="31">
        <v>1</v>
      </c>
      <c r="AK221" s="19" t="s">
        <v>150</v>
      </c>
      <c r="AL221" s="136" t="s">
        <v>61</v>
      </c>
      <c r="AM221" s="136" t="s">
        <v>61</v>
      </c>
      <c r="AN221" s="137" t="s">
        <v>530</v>
      </c>
    </row>
    <row r="222" spans="2:40" x14ac:dyDescent="0.25">
      <c r="B222" s="41">
        <f t="shared" si="44"/>
        <v>163</v>
      </c>
      <c r="C222" s="16">
        <v>20200525</v>
      </c>
      <c r="D222" s="15" t="s">
        <v>3</v>
      </c>
      <c r="E222" s="80" t="s">
        <v>479</v>
      </c>
      <c r="F222" s="93" t="s">
        <v>574</v>
      </c>
      <c r="G222" s="80">
        <v>1484917</v>
      </c>
      <c r="H222" s="52" t="s">
        <v>61</v>
      </c>
      <c r="I222" s="80" t="s">
        <v>510</v>
      </c>
      <c r="J222" s="52" t="s">
        <v>61</v>
      </c>
      <c r="K222" s="15" t="s">
        <v>184</v>
      </c>
      <c r="L222" s="15" t="s">
        <v>526</v>
      </c>
      <c r="M222" s="15" t="s">
        <v>527</v>
      </c>
      <c r="N222" s="15" t="s">
        <v>528</v>
      </c>
      <c r="O222" s="17" t="s">
        <v>61</v>
      </c>
      <c r="P222" s="17" t="s">
        <v>529</v>
      </c>
      <c r="Q222" s="18"/>
      <c r="R222" s="52" t="s">
        <v>61</v>
      </c>
      <c r="S222" s="15" t="s">
        <v>67</v>
      </c>
      <c r="T222" s="15"/>
      <c r="U222" s="15"/>
      <c r="V222" s="80">
        <v>175</v>
      </c>
      <c r="W222" s="15">
        <f t="shared" si="49"/>
        <v>175</v>
      </c>
      <c r="X222" s="15">
        <f t="shared" si="50"/>
        <v>175</v>
      </c>
      <c r="Y222" s="15">
        <f>ROUNDDOWN(W222/HLOOKUP(D222,Table!$C$3:$D$4,2,0)*8,2)</f>
        <v>3.11</v>
      </c>
      <c r="Z222" s="15">
        <v>1</v>
      </c>
      <c r="AA222" s="15" t="s">
        <v>74</v>
      </c>
      <c r="AB222" s="19">
        <v>43983</v>
      </c>
      <c r="AC222" s="19">
        <v>43976</v>
      </c>
      <c r="AD222" s="19">
        <v>43983</v>
      </c>
      <c r="AE222" s="19">
        <v>43983</v>
      </c>
      <c r="AF222" s="19">
        <v>43983</v>
      </c>
      <c r="AG222" s="19" t="s">
        <v>177</v>
      </c>
      <c r="AH222" s="31">
        <v>1</v>
      </c>
      <c r="AI222" s="31">
        <v>1</v>
      </c>
      <c r="AJ222" s="31">
        <v>0.9</v>
      </c>
      <c r="AK222" s="19" t="s">
        <v>139</v>
      </c>
      <c r="AL222" s="207" t="s">
        <v>1104</v>
      </c>
      <c r="AM222" s="136" t="s">
        <v>61</v>
      </c>
      <c r="AN222" s="137" t="s">
        <v>530</v>
      </c>
    </row>
    <row r="223" spans="2:40" x14ac:dyDescent="0.25">
      <c r="B223" s="41">
        <f t="shared" si="44"/>
        <v>164</v>
      </c>
      <c r="C223" s="16">
        <v>20200525</v>
      </c>
      <c r="D223" s="15" t="s">
        <v>3</v>
      </c>
      <c r="E223" s="80" t="s">
        <v>479</v>
      </c>
      <c r="F223" s="93" t="s">
        <v>575</v>
      </c>
      <c r="G223" s="80">
        <v>1484917</v>
      </c>
      <c r="H223" s="52" t="s">
        <v>61</v>
      </c>
      <c r="I223" s="80" t="s">
        <v>511</v>
      </c>
      <c r="J223" s="52" t="s">
        <v>61</v>
      </c>
      <c r="K223" s="15" t="s">
        <v>184</v>
      </c>
      <c r="L223" s="15" t="s">
        <v>526</v>
      </c>
      <c r="M223" s="15" t="s">
        <v>527</v>
      </c>
      <c r="N223" s="15" t="s">
        <v>528</v>
      </c>
      <c r="O223" s="17" t="s">
        <v>61</v>
      </c>
      <c r="P223" s="17" t="s">
        <v>529</v>
      </c>
      <c r="Q223" s="18"/>
      <c r="R223" s="52" t="s">
        <v>61</v>
      </c>
      <c r="S223" s="15" t="s">
        <v>69</v>
      </c>
      <c r="T223" s="15"/>
      <c r="U223" s="15"/>
      <c r="V223" s="80">
        <v>210</v>
      </c>
      <c r="W223" s="15">
        <f t="shared" si="49"/>
        <v>210</v>
      </c>
      <c r="X223" s="15">
        <f t="shared" si="50"/>
        <v>210</v>
      </c>
      <c r="Y223" s="15">
        <f>ROUNDDOWN(W223/HLOOKUP(D223,Table!$C$3:$D$4,2,0)*8,2)</f>
        <v>3.73</v>
      </c>
      <c r="Z223" s="15">
        <v>3</v>
      </c>
      <c r="AA223" s="15" t="s">
        <v>74</v>
      </c>
      <c r="AB223" s="19">
        <v>43983</v>
      </c>
      <c r="AC223" s="19">
        <v>43976</v>
      </c>
      <c r="AD223" s="19">
        <v>43983</v>
      </c>
      <c r="AE223" s="19">
        <v>43980</v>
      </c>
      <c r="AF223" s="19">
        <v>43980</v>
      </c>
      <c r="AG223" s="19" t="s">
        <v>176</v>
      </c>
      <c r="AH223" s="31">
        <v>1</v>
      </c>
      <c r="AI223" s="31">
        <v>1</v>
      </c>
      <c r="AJ223" s="31">
        <v>1</v>
      </c>
      <c r="AK223" s="19" t="s">
        <v>150</v>
      </c>
      <c r="AL223" s="189" t="s">
        <v>1033</v>
      </c>
      <c r="AM223" s="136" t="s">
        <v>61</v>
      </c>
      <c r="AN223" s="137" t="s">
        <v>530</v>
      </c>
    </row>
    <row r="224" spans="2:40" x14ac:dyDescent="0.25">
      <c r="B224" s="41">
        <f t="shared" si="44"/>
        <v>165</v>
      </c>
      <c r="C224" s="16">
        <v>20200525</v>
      </c>
      <c r="D224" s="15" t="s">
        <v>3</v>
      </c>
      <c r="E224" s="80" t="s">
        <v>479</v>
      </c>
      <c r="F224" s="93" t="s">
        <v>576</v>
      </c>
      <c r="G224" s="80">
        <v>1484917</v>
      </c>
      <c r="H224" s="52" t="s">
        <v>61</v>
      </c>
      <c r="I224" s="80" t="s">
        <v>512</v>
      </c>
      <c r="J224" s="52" t="s">
        <v>61</v>
      </c>
      <c r="K224" s="15" t="s">
        <v>184</v>
      </c>
      <c r="L224" s="15" t="s">
        <v>526</v>
      </c>
      <c r="M224" s="15" t="s">
        <v>527</v>
      </c>
      <c r="N224" s="15" t="s">
        <v>528</v>
      </c>
      <c r="O224" s="17" t="s">
        <v>61</v>
      </c>
      <c r="P224" s="17" t="s">
        <v>529</v>
      </c>
      <c r="Q224" s="18"/>
      <c r="R224" s="52" t="s">
        <v>61</v>
      </c>
      <c r="S224" s="15" t="s">
        <v>69</v>
      </c>
      <c r="T224" s="15"/>
      <c r="U224" s="15"/>
      <c r="V224" s="80">
        <v>154</v>
      </c>
      <c r="W224" s="15">
        <f t="shared" si="49"/>
        <v>154</v>
      </c>
      <c r="X224" s="15">
        <f t="shared" si="50"/>
        <v>154</v>
      </c>
      <c r="Y224" s="15">
        <f>ROUNDDOWN(W224/HLOOKUP(D224,Table!$C$3:$D$4,2,0)*8,2)</f>
        <v>2.73</v>
      </c>
      <c r="Z224" s="15">
        <v>2</v>
      </c>
      <c r="AA224" s="15" t="s">
        <v>74</v>
      </c>
      <c r="AB224" s="19">
        <v>43983</v>
      </c>
      <c r="AC224" s="19">
        <v>43976</v>
      </c>
      <c r="AD224" s="19">
        <v>43983</v>
      </c>
      <c r="AE224" s="19">
        <v>43980</v>
      </c>
      <c r="AF224" s="19">
        <v>43980</v>
      </c>
      <c r="AG224" s="19" t="s">
        <v>177</v>
      </c>
      <c r="AH224" s="31">
        <v>0.98</v>
      </c>
      <c r="AI224" s="31">
        <v>0.96</v>
      </c>
      <c r="AJ224" s="31">
        <v>1</v>
      </c>
      <c r="AK224" s="19" t="s">
        <v>139</v>
      </c>
      <c r="AL224" s="168" t="s">
        <v>848</v>
      </c>
      <c r="AM224" s="136" t="s">
        <v>61</v>
      </c>
      <c r="AN224" s="137" t="s">
        <v>530</v>
      </c>
    </row>
    <row r="225" spans="2:40" x14ac:dyDescent="0.25">
      <c r="B225" s="41">
        <f t="shared" si="44"/>
        <v>166</v>
      </c>
      <c r="C225" s="16">
        <v>20200525</v>
      </c>
      <c r="D225" s="15" t="s">
        <v>3</v>
      </c>
      <c r="E225" s="80" t="s">
        <v>479</v>
      </c>
      <c r="F225" s="93" t="s">
        <v>577</v>
      </c>
      <c r="G225" s="80">
        <v>1484917</v>
      </c>
      <c r="H225" s="52"/>
      <c r="I225" s="80" t="s">
        <v>513</v>
      </c>
      <c r="J225" s="52" t="s">
        <v>61</v>
      </c>
      <c r="K225" s="15" t="s">
        <v>184</v>
      </c>
      <c r="L225" s="15" t="s">
        <v>526</v>
      </c>
      <c r="M225" s="15" t="s">
        <v>527</v>
      </c>
      <c r="N225" s="15" t="s">
        <v>528</v>
      </c>
      <c r="O225" s="17" t="s">
        <v>61</v>
      </c>
      <c r="P225" s="17" t="s">
        <v>529</v>
      </c>
      <c r="Q225" s="18"/>
      <c r="R225" s="52" t="s">
        <v>61</v>
      </c>
      <c r="S225" s="15" t="s">
        <v>142</v>
      </c>
      <c r="T225" s="15"/>
      <c r="U225" s="15"/>
      <c r="V225" s="80">
        <v>167</v>
      </c>
      <c r="W225" s="15">
        <f t="shared" si="49"/>
        <v>167</v>
      </c>
      <c r="X225" s="15">
        <f t="shared" si="50"/>
        <v>167</v>
      </c>
      <c r="Y225" s="15">
        <f>ROUNDDOWN(W225/HLOOKUP(D225,Table!$C$3:$D$4,2,0)*8,2)</f>
        <v>2.96</v>
      </c>
      <c r="Z225" s="15">
        <v>1</v>
      </c>
      <c r="AA225" s="15" t="s">
        <v>74</v>
      </c>
      <c r="AB225" s="19">
        <v>43983</v>
      </c>
      <c r="AC225" s="19">
        <v>43976</v>
      </c>
      <c r="AD225" s="19">
        <v>43983</v>
      </c>
      <c r="AE225" s="19">
        <v>43977</v>
      </c>
      <c r="AF225" s="19">
        <v>43977</v>
      </c>
      <c r="AG225" s="19" t="s">
        <v>176</v>
      </c>
      <c r="AH225" s="31">
        <v>1</v>
      </c>
      <c r="AI225" s="31">
        <v>1</v>
      </c>
      <c r="AJ225" s="31">
        <v>1</v>
      </c>
      <c r="AK225" s="19" t="s">
        <v>150</v>
      </c>
      <c r="AL225" s="136" t="s">
        <v>61</v>
      </c>
      <c r="AM225" s="136" t="s">
        <v>61</v>
      </c>
      <c r="AN225" s="137" t="s">
        <v>530</v>
      </c>
    </row>
    <row r="226" spans="2:40" x14ac:dyDescent="0.25">
      <c r="B226" s="41">
        <f t="shared" si="44"/>
        <v>167</v>
      </c>
      <c r="C226" s="16">
        <v>20200525</v>
      </c>
      <c r="D226" s="15" t="s">
        <v>3</v>
      </c>
      <c r="E226" s="80" t="s">
        <v>479</v>
      </c>
      <c r="F226" s="93" t="s">
        <v>578</v>
      </c>
      <c r="G226" s="80">
        <v>1484917</v>
      </c>
      <c r="H226" s="52"/>
      <c r="I226" s="80" t="s">
        <v>514</v>
      </c>
      <c r="J226" s="52" t="s">
        <v>61</v>
      </c>
      <c r="K226" s="15" t="s">
        <v>184</v>
      </c>
      <c r="L226" s="15" t="s">
        <v>526</v>
      </c>
      <c r="M226" s="15" t="s">
        <v>527</v>
      </c>
      <c r="N226" s="15" t="s">
        <v>528</v>
      </c>
      <c r="O226" s="17" t="s">
        <v>61</v>
      </c>
      <c r="P226" s="17" t="s">
        <v>529</v>
      </c>
      <c r="Q226" s="18"/>
      <c r="R226" s="52" t="s">
        <v>61</v>
      </c>
      <c r="S226" s="15" t="s">
        <v>142</v>
      </c>
      <c r="T226" s="15"/>
      <c r="U226" s="15"/>
      <c r="V226" s="80">
        <v>147</v>
      </c>
      <c r="W226" s="15">
        <f t="shared" si="49"/>
        <v>147</v>
      </c>
      <c r="X226" s="15">
        <f t="shared" si="50"/>
        <v>147</v>
      </c>
      <c r="Y226" s="15">
        <f>ROUNDDOWN(W226/HLOOKUP(D226,Table!$C$3:$D$4,2,0)*8,2)</f>
        <v>2.61</v>
      </c>
      <c r="Z226" s="15">
        <v>1.5</v>
      </c>
      <c r="AA226" s="15" t="s">
        <v>74</v>
      </c>
      <c r="AB226" s="19">
        <v>43983</v>
      </c>
      <c r="AC226" s="19">
        <v>43976</v>
      </c>
      <c r="AD226" s="19">
        <v>43983</v>
      </c>
      <c r="AE226" s="19">
        <v>43978</v>
      </c>
      <c r="AF226" s="19">
        <v>43978</v>
      </c>
      <c r="AG226" s="19" t="s">
        <v>176</v>
      </c>
      <c r="AH226" s="31">
        <v>1</v>
      </c>
      <c r="AI226" s="31">
        <v>1</v>
      </c>
      <c r="AJ226" s="31">
        <v>1</v>
      </c>
      <c r="AK226" s="19" t="s">
        <v>150</v>
      </c>
      <c r="AL226" s="136" t="s">
        <v>61</v>
      </c>
      <c r="AM226" s="136" t="s">
        <v>61</v>
      </c>
      <c r="AN226" s="137" t="s">
        <v>530</v>
      </c>
    </row>
    <row r="227" spans="2:40" x14ac:dyDescent="0.25">
      <c r="B227" s="41">
        <f t="shared" si="44"/>
        <v>168</v>
      </c>
      <c r="C227" s="16">
        <v>20200525</v>
      </c>
      <c r="D227" s="15" t="s">
        <v>3</v>
      </c>
      <c r="E227" s="80" t="s">
        <v>479</v>
      </c>
      <c r="F227" s="93" t="s">
        <v>579</v>
      </c>
      <c r="G227" s="80">
        <v>1484917</v>
      </c>
      <c r="H227" s="52" t="s">
        <v>61</v>
      </c>
      <c r="I227" s="80" t="s">
        <v>515</v>
      </c>
      <c r="J227" s="52" t="s">
        <v>61</v>
      </c>
      <c r="K227" s="15" t="s">
        <v>184</v>
      </c>
      <c r="L227" s="15" t="s">
        <v>526</v>
      </c>
      <c r="M227" s="15" t="s">
        <v>527</v>
      </c>
      <c r="N227" s="15" t="s">
        <v>528</v>
      </c>
      <c r="O227" s="17" t="s">
        <v>61</v>
      </c>
      <c r="P227" s="17" t="s">
        <v>529</v>
      </c>
      <c r="Q227" s="18"/>
      <c r="R227" s="52" t="s">
        <v>61</v>
      </c>
      <c r="S227" s="15" t="s">
        <v>70</v>
      </c>
      <c r="T227" s="15"/>
      <c r="U227" s="15"/>
      <c r="V227" s="80">
        <v>254</v>
      </c>
      <c r="W227" s="15">
        <f t="shared" si="49"/>
        <v>254</v>
      </c>
      <c r="X227" s="15">
        <f t="shared" si="50"/>
        <v>254</v>
      </c>
      <c r="Y227" s="15">
        <f>ROUNDDOWN(W227/HLOOKUP(D227,Table!$C$3:$D$4,2,0)*8,2)</f>
        <v>4.51</v>
      </c>
      <c r="Z227" s="15">
        <v>1</v>
      </c>
      <c r="AA227" s="15" t="s">
        <v>74</v>
      </c>
      <c r="AB227" s="19">
        <v>43983</v>
      </c>
      <c r="AC227" s="19">
        <v>43976</v>
      </c>
      <c r="AD227" s="19">
        <v>43983</v>
      </c>
      <c r="AE227" s="19">
        <v>43978</v>
      </c>
      <c r="AF227" s="19">
        <v>43978</v>
      </c>
      <c r="AG227" s="19" t="s">
        <v>176</v>
      </c>
      <c r="AH227" s="31">
        <v>1</v>
      </c>
      <c r="AI227" s="31">
        <v>1</v>
      </c>
      <c r="AJ227" s="31">
        <v>1</v>
      </c>
      <c r="AK227" s="19" t="s">
        <v>150</v>
      </c>
      <c r="AL227" s="136" t="s">
        <v>61</v>
      </c>
      <c r="AM227" s="136" t="s">
        <v>61</v>
      </c>
      <c r="AN227" s="137" t="s">
        <v>530</v>
      </c>
    </row>
    <row r="228" spans="2:40" x14ac:dyDescent="0.25">
      <c r="B228" s="41">
        <f t="shared" si="44"/>
        <v>169</v>
      </c>
      <c r="C228" s="16">
        <v>20200525</v>
      </c>
      <c r="D228" s="15" t="s">
        <v>3</v>
      </c>
      <c r="E228" s="80" t="s">
        <v>479</v>
      </c>
      <c r="F228" s="93" t="s">
        <v>580</v>
      </c>
      <c r="G228" s="80">
        <v>1484917</v>
      </c>
      <c r="H228" s="52" t="s">
        <v>61</v>
      </c>
      <c r="I228" s="80" t="s">
        <v>516</v>
      </c>
      <c r="J228" s="52" t="s">
        <v>61</v>
      </c>
      <c r="K228" s="15" t="s">
        <v>184</v>
      </c>
      <c r="L228" s="15" t="s">
        <v>526</v>
      </c>
      <c r="M228" s="15" t="s">
        <v>527</v>
      </c>
      <c r="N228" s="15" t="s">
        <v>528</v>
      </c>
      <c r="O228" s="17" t="s">
        <v>61</v>
      </c>
      <c r="P228" s="17" t="s">
        <v>529</v>
      </c>
      <c r="Q228" s="18"/>
      <c r="R228" s="52" t="s">
        <v>61</v>
      </c>
      <c r="S228" s="15" t="s">
        <v>67</v>
      </c>
      <c r="T228" s="15"/>
      <c r="U228" s="15"/>
      <c r="V228" s="80">
        <v>193</v>
      </c>
      <c r="W228" s="15">
        <f t="shared" si="49"/>
        <v>193</v>
      </c>
      <c r="X228" s="15">
        <f t="shared" si="50"/>
        <v>193</v>
      </c>
      <c r="Y228" s="15">
        <f>ROUNDDOWN(W228/HLOOKUP(D228,Table!$C$3:$D$4,2,0)*8,2)</f>
        <v>3.43</v>
      </c>
      <c r="Z228" s="15">
        <v>1</v>
      </c>
      <c r="AA228" s="15" t="s">
        <v>74</v>
      </c>
      <c r="AB228" s="19">
        <v>43983</v>
      </c>
      <c r="AC228" s="19">
        <v>43976</v>
      </c>
      <c r="AD228" s="19">
        <v>43983</v>
      </c>
      <c r="AE228" s="19">
        <v>43983</v>
      </c>
      <c r="AF228" s="19">
        <v>43983</v>
      </c>
      <c r="AG228" s="19" t="s">
        <v>177</v>
      </c>
      <c r="AH228" s="31">
        <v>1</v>
      </c>
      <c r="AI228" s="31">
        <v>1</v>
      </c>
      <c r="AJ228" s="31">
        <v>0.91</v>
      </c>
      <c r="AK228" s="19" t="s">
        <v>139</v>
      </c>
      <c r="AL228" s="208" t="s">
        <v>1094</v>
      </c>
      <c r="AM228" s="136" t="s">
        <v>61</v>
      </c>
      <c r="AN228" s="137" t="s">
        <v>530</v>
      </c>
    </row>
    <row r="229" spans="2:40" x14ac:dyDescent="0.25">
      <c r="B229" s="41">
        <f t="shared" si="44"/>
        <v>170</v>
      </c>
      <c r="C229" s="16">
        <v>20200525</v>
      </c>
      <c r="D229" s="15" t="s">
        <v>3</v>
      </c>
      <c r="E229" s="80" t="s">
        <v>479</v>
      </c>
      <c r="F229" s="93" t="s">
        <v>581</v>
      </c>
      <c r="G229" s="80">
        <v>1484917</v>
      </c>
      <c r="H229" s="52" t="s">
        <v>61</v>
      </c>
      <c r="I229" s="80" t="s">
        <v>517</v>
      </c>
      <c r="J229" s="52" t="s">
        <v>61</v>
      </c>
      <c r="K229" s="15" t="s">
        <v>184</v>
      </c>
      <c r="L229" s="15" t="s">
        <v>526</v>
      </c>
      <c r="M229" s="15" t="s">
        <v>527</v>
      </c>
      <c r="N229" s="15" t="s">
        <v>528</v>
      </c>
      <c r="O229" s="17" t="s">
        <v>61</v>
      </c>
      <c r="P229" s="17" t="s">
        <v>529</v>
      </c>
      <c r="Q229" s="18"/>
      <c r="R229" s="52" t="s">
        <v>61</v>
      </c>
      <c r="S229" s="15" t="s">
        <v>70</v>
      </c>
      <c r="T229" s="15"/>
      <c r="U229" s="15"/>
      <c r="V229" s="80">
        <v>204</v>
      </c>
      <c r="W229" s="15">
        <f t="shared" si="49"/>
        <v>204</v>
      </c>
      <c r="X229" s="15">
        <f t="shared" si="50"/>
        <v>204</v>
      </c>
      <c r="Y229" s="15">
        <f>ROUNDDOWN(W229/HLOOKUP(D229,Table!$C$3:$D$4,2,0)*8,2)</f>
        <v>3.62</v>
      </c>
      <c r="Z229" s="15">
        <v>1.5</v>
      </c>
      <c r="AA229" s="15" t="s">
        <v>74</v>
      </c>
      <c r="AB229" s="19">
        <v>43983</v>
      </c>
      <c r="AC229" s="19">
        <v>43976</v>
      </c>
      <c r="AD229" s="19">
        <v>43983</v>
      </c>
      <c r="AE229" s="19">
        <v>43978</v>
      </c>
      <c r="AF229" s="19">
        <v>43978</v>
      </c>
      <c r="AG229" s="19" t="s">
        <v>176</v>
      </c>
      <c r="AH229" s="31">
        <v>1</v>
      </c>
      <c r="AI229" s="31">
        <v>1</v>
      </c>
      <c r="AJ229" s="31">
        <v>1</v>
      </c>
      <c r="AK229" s="19" t="s">
        <v>150</v>
      </c>
      <c r="AL229" s="206" t="s">
        <v>61</v>
      </c>
      <c r="AM229" s="136" t="s">
        <v>61</v>
      </c>
      <c r="AN229" s="137" t="s">
        <v>530</v>
      </c>
    </row>
    <row r="230" spans="2:40" x14ac:dyDescent="0.25">
      <c r="B230" s="41">
        <f t="shared" si="44"/>
        <v>171</v>
      </c>
      <c r="C230" s="16">
        <v>20200525</v>
      </c>
      <c r="D230" s="15" t="s">
        <v>3</v>
      </c>
      <c r="E230" s="80" t="s">
        <v>479</v>
      </c>
      <c r="F230" s="93" t="s">
        <v>582</v>
      </c>
      <c r="G230" s="80">
        <v>1484917</v>
      </c>
      <c r="H230" s="52" t="s">
        <v>61</v>
      </c>
      <c r="I230" s="80" t="s">
        <v>518</v>
      </c>
      <c r="J230" s="52" t="s">
        <v>61</v>
      </c>
      <c r="K230" s="15" t="s">
        <v>184</v>
      </c>
      <c r="L230" s="15" t="s">
        <v>526</v>
      </c>
      <c r="M230" s="15" t="s">
        <v>527</v>
      </c>
      <c r="N230" s="15" t="s">
        <v>528</v>
      </c>
      <c r="O230" s="17" t="s">
        <v>61</v>
      </c>
      <c r="P230" s="17" t="s">
        <v>529</v>
      </c>
      <c r="Q230" s="18"/>
      <c r="R230" s="52" t="s">
        <v>61</v>
      </c>
      <c r="S230" s="15" t="s">
        <v>70</v>
      </c>
      <c r="T230" s="15"/>
      <c r="U230" s="15"/>
      <c r="V230" s="80">
        <v>194</v>
      </c>
      <c r="W230" s="15">
        <f t="shared" si="49"/>
        <v>194</v>
      </c>
      <c r="X230" s="15">
        <f t="shared" si="50"/>
        <v>194</v>
      </c>
      <c r="Y230" s="15">
        <f>ROUNDDOWN(W230/HLOOKUP(D230,Table!$C$3:$D$4,2,0)*8,2)</f>
        <v>3.44</v>
      </c>
      <c r="Z230" s="15">
        <v>1.5</v>
      </c>
      <c r="AA230" s="15" t="s">
        <v>74</v>
      </c>
      <c r="AB230" s="19">
        <v>43983</v>
      </c>
      <c r="AC230" s="19">
        <v>43976</v>
      </c>
      <c r="AD230" s="19">
        <v>43983</v>
      </c>
      <c r="AE230" s="19">
        <v>43978</v>
      </c>
      <c r="AF230" s="19">
        <v>43978</v>
      </c>
      <c r="AG230" s="19" t="s">
        <v>176</v>
      </c>
      <c r="AH230" s="31">
        <v>1</v>
      </c>
      <c r="AI230" s="31">
        <v>1</v>
      </c>
      <c r="AJ230" s="31">
        <v>1</v>
      </c>
      <c r="AK230" s="19" t="s">
        <v>150</v>
      </c>
      <c r="AL230" s="136" t="s">
        <v>61</v>
      </c>
      <c r="AM230" s="136" t="s">
        <v>61</v>
      </c>
      <c r="AN230" s="137" t="s">
        <v>530</v>
      </c>
    </row>
    <row r="231" spans="2:40" x14ac:dyDescent="0.25">
      <c r="B231" s="41">
        <f t="shared" si="44"/>
        <v>172</v>
      </c>
      <c r="C231" s="16">
        <v>20200525</v>
      </c>
      <c r="D231" s="15" t="s">
        <v>3</v>
      </c>
      <c r="E231" s="80" t="s">
        <v>479</v>
      </c>
      <c r="F231" s="93" t="s">
        <v>583</v>
      </c>
      <c r="G231" s="80">
        <v>1484917</v>
      </c>
      <c r="H231" s="52" t="s">
        <v>61</v>
      </c>
      <c r="I231" s="80" t="s">
        <v>519</v>
      </c>
      <c r="J231" s="52" t="s">
        <v>61</v>
      </c>
      <c r="K231" s="15" t="s">
        <v>184</v>
      </c>
      <c r="L231" s="15" t="s">
        <v>526</v>
      </c>
      <c r="M231" s="15" t="s">
        <v>527</v>
      </c>
      <c r="N231" s="15" t="s">
        <v>528</v>
      </c>
      <c r="O231" s="17" t="s">
        <v>61</v>
      </c>
      <c r="P231" s="17" t="s">
        <v>529</v>
      </c>
      <c r="Q231" s="18"/>
      <c r="R231" s="52" t="s">
        <v>61</v>
      </c>
      <c r="S231" s="15" t="s">
        <v>69</v>
      </c>
      <c r="T231" s="15"/>
      <c r="U231" s="15"/>
      <c r="V231" s="80">
        <v>141</v>
      </c>
      <c r="W231" s="15">
        <f t="shared" si="49"/>
        <v>141</v>
      </c>
      <c r="X231" s="15">
        <f t="shared" si="50"/>
        <v>141</v>
      </c>
      <c r="Y231" s="15">
        <f>ROUNDDOWN(W231/HLOOKUP(D231,Table!$C$3:$D$4,2,0)*8,2)</f>
        <v>2.5</v>
      </c>
      <c r="Z231" s="15">
        <v>2</v>
      </c>
      <c r="AA231" s="15" t="s">
        <v>74</v>
      </c>
      <c r="AB231" s="19">
        <v>43983</v>
      </c>
      <c r="AC231" s="19">
        <v>43976</v>
      </c>
      <c r="AD231" s="19">
        <v>43983</v>
      </c>
      <c r="AE231" s="19">
        <v>43980</v>
      </c>
      <c r="AF231" s="19">
        <v>43980</v>
      </c>
      <c r="AG231" s="19" t="s">
        <v>177</v>
      </c>
      <c r="AH231" s="31">
        <v>0.98</v>
      </c>
      <c r="AI231" s="31">
        <v>0.95</v>
      </c>
      <c r="AJ231" s="31">
        <v>1</v>
      </c>
      <c r="AK231" s="19" t="s">
        <v>139</v>
      </c>
      <c r="AL231" s="17" t="s">
        <v>848</v>
      </c>
      <c r="AM231" s="136" t="s">
        <v>61</v>
      </c>
      <c r="AN231" s="137" t="s">
        <v>530</v>
      </c>
    </row>
    <row r="232" spans="2:40" x14ac:dyDescent="0.25">
      <c r="B232" s="41">
        <f t="shared" si="44"/>
        <v>173</v>
      </c>
      <c r="C232" s="16">
        <v>20200525</v>
      </c>
      <c r="D232" s="15" t="s">
        <v>3</v>
      </c>
      <c r="E232" s="80" t="s">
        <v>479</v>
      </c>
      <c r="F232" s="93" t="s">
        <v>584</v>
      </c>
      <c r="G232" s="80">
        <v>1484917</v>
      </c>
      <c r="H232" s="52" t="s">
        <v>61</v>
      </c>
      <c r="I232" s="80" t="s">
        <v>520</v>
      </c>
      <c r="J232" s="52" t="s">
        <v>61</v>
      </c>
      <c r="K232" s="15" t="s">
        <v>184</v>
      </c>
      <c r="L232" s="15" t="s">
        <v>526</v>
      </c>
      <c r="M232" s="15" t="s">
        <v>527</v>
      </c>
      <c r="N232" s="15" t="s">
        <v>528</v>
      </c>
      <c r="O232" s="17" t="s">
        <v>61</v>
      </c>
      <c r="P232" s="17" t="s">
        <v>529</v>
      </c>
      <c r="Q232" s="18"/>
      <c r="R232" s="52" t="s">
        <v>61</v>
      </c>
      <c r="S232" s="15" t="s">
        <v>69</v>
      </c>
      <c r="T232" s="15"/>
      <c r="U232" s="15"/>
      <c r="V232" s="80">
        <v>190</v>
      </c>
      <c r="W232" s="15">
        <f t="shared" si="49"/>
        <v>190</v>
      </c>
      <c r="X232" s="15">
        <f t="shared" si="50"/>
        <v>190</v>
      </c>
      <c r="Y232" s="15">
        <f>ROUNDDOWN(W232/HLOOKUP(D232,Table!$C$3:$D$4,2,0)*8,2)</f>
        <v>3.37</v>
      </c>
      <c r="Z232" s="15">
        <v>3</v>
      </c>
      <c r="AA232" s="15" t="s">
        <v>74</v>
      </c>
      <c r="AB232" s="19">
        <v>43983</v>
      </c>
      <c r="AC232" s="19">
        <v>43976</v>
      </c>
      <c r="AD232" s="19">
        <v>43983</v>
      </c>
      <c r="AE232" s="19">
        <v>43980</v>
      </c>
      <c r="AF232" s="19">
        <v>43980</v>
      </c>
      <c r="AG232" s="19" t="s">
        <v>176</v>
      </c>
      <c r="AH232" s="31">
        <v>1</v>
      </c>
      <c r="AI232" s="31">
        <v>1</v>
      </c>
      <c r="AJ232" s="31">
        <v>1</v>
      </c>
      <c r="AK232" s="19" t="s">
        <v>150</v>
      </c>
      <c r="AL232" s="136" t="s">
        <v>61</v>
      </c>
      <c r="AM232" s="136" t="s">
        <v>61</v>
      </c>
      <c r="AN232" s="137" t="s">
        <v>530</v>
      </c>
    </row>
    <row r="233" spans="2:40" x14ac:dyDescent="0.25">
      <c r="B233" s="41">
        <f t="shared" si="44"/>
        <v>174</v>
      </c>
      <c r="C233" s="16">
        <v>20200525</v>
      </c>
      <c r="D233" s="15" t="s">
        <v>3</v>
      </c>
      <c r="E233" s="80" t="s">
        <v>479</v>
      </c>
      <c r="F233" s="93" t="s">
        <v>585</v>
      </c>
      <c r="G233" s="80">
        <v>1484917</v>
      </c>
      <c r="H233" s="52" t="s">
        <v>61</v>
      </c>
      <c r="I233" s="80" t="s">
        <v>521</v>
      </c>
      <c r="J233" s="52" t="s">
        <v>61</v>
      </c>
      <c r="K233" s="15" t="s">
        <v>184</v>
      </c>
      <c r="L233" s="15" t="s">
        <v>526</v>
      </c>
      <c r="M233" s="15" t="s">
        <v>527</v>
      </c>
      <c r="N233" s="15" t="s">
        <v>528</v>
      </c>
      <c r="O233" s="17" t="s">
        <v>61</v>
      </c>
      <c r="P233" s="17" t="s">
        <v>529</v>
      </c>
      <c r="Q233" s="18"/>
      <c r="R233" s="52" t="s">
        <v>61</v>
      </c>
      <c r="S233" s="15" t="s">
        <v>68</v>
      </c>
      <c r="T233" s="15"/>
      <c r="U233" s="15"/>
      <c r="V233" s="80">
        <v>173</v>
      </c>
      <c r="W233" s="15">
        <f t="shared" si="49"/>
        <v>173</v>
      </c>
      <c r="X233" s="15">
        <f t="shared" ref="X233:X241" si="51">W233</f>
        <v>173</v>
      </c>
      <c r="Y233" s="15">
        <f>ROUNDDOWN(W233/HLOOKUP(D233,Table!$C$3:$D$4,2,0)*8,2)</f>
        <v>3.07</v>
      </c>
      <c r="Z233" s="15">
        <v>3</v>
      </c>
      <c r="AA233" s="15" t="s">
        <v>74</v>
      </c>
      <c r="AB233" s="19">
        <v>43983</v>
      </c>
      <c r="AC233" s="19">
        <v>43976</v>
      </c>
      <c r="AD233" s="19">
        <v>43983</v>
      </c>
      <c r="AE233" s="85">
        <v>43979</v>
      </c>
      <c r="AF233" s="85">
        <v>43979</v>
      </c>
      <c r="AG233" s="85" t="s">
        <v>177</v>
      </c>
      <c r="AH233" s="163">
        <v>0.98</v>
      </c>
      <c r="AI233" s="163">
        <v>0.97</v>
      </c>
      <c r="AJ233" s="163">
        <v>1</v>
      </c>
      <c r="AK233" s="85" t="s">
        <v>150</v>
      </c>
      <c r="AL233" s="77" t="s">
        <v>841</v>
      </c>
      <c r="AM233" s="136" t="s">
        <v>61</v>
      </c>
      <c r="AN233" s="137" t="s">
        <v>530</v>
      </c>
    </row>
    <row r="234" spans="2:40" x14ac:dyDescent="0.25">
      <c r="B234" s="41">
        <f t="shared" si="44"/>
        <v>175</v>
      </c>
      <c r="C234" s="16">
        <v>20200525</v>
      </c>
      <c r="D234" s="15" t="s">
        <v>3</v>
      </c>
      <c r="E234" s="80" t="s">
        <v>479</v>
      </c>
      <c r="F234" s="93" t="s">
        <v>586</v>
      </c>
      <c r="G234" s="80">
        <v>1484917</v>
      </c>
      <c r="H234" s="52" t="s">
        <v>61</v>
      </c>
      <c r="I234" s="80" t="s">
        <v>285</v>
      </c>
      <c r="J234" s="52" t="s">
        <v>61</v>
      </c>
      <c r="K234" s="15" t="s">
        <v>184</v>
      </c>
      <c r="L234" s="15" t="s">
        <v>526</v>
      </c>
      <c r="M234" s="15" t="s">
        <v>527</v>
      </c>
      <c r="N234" s="15" t="s">
        <v>528</v>
      </c>
      <c r="O234" s="17" t="s">
        <v>61</v>
      </c>
      <c r="P234" s="17" t="s">
        <v>529</v>
      </c>
      <c r="Q234" s="18"/>
      <c r="R234" s="52" t="s">
        <v>61</v>
      </c>
      <c r="S234" s="15" t="s">
        <v>70</v>
      </c>
      <c r="T234" s="15"/>
      <c r="U234" s="15"/>
      <c r="V234" s="80">
        <v>268</v>
      </c>
      <c r="W234" s="15">
        <f t="shared" si="49"/>
        <v>268</v>
      </c>
      <c r="X234" s="15">
        <f t="shared" si="51"/>
        <v>268</v>
      </c>
      <c r="Y234" s="15">
        <f>ROUNDDOWN(W234/HLOOKUP(D234,Table!$C$3:$D$4,2,0)*8,2)</f>
        <v>4.76</v>
      </c>
      <c r="Z234" s="15">
        <v>1</v>
      </c>
      <c r="AA234" s="15" t="s">
        <v>74</v>
      </c>
      <c r="AB234" s="19">
        <v>43983</v>
      </c>
      <c r="AC234" s="19">
        <v>43976</v>
      </c>
      <c r="AD234" s="19">
        <v>43983</v>
      </c>
      <c r="AE234" s="19">
        <v>43978</v>
      </c>
      <c r="AF234" s="19">
        <v>43978</v>
      </c>
      <c r="AG234" s="19" t="s">
        <v>177</v>
      </c>
      <c r="AH234" s="31">
        <v>0.99</v>
      </c>
      <c r="AI234" s="31">
        <v>0.97</v>
      </c>
      <c r="AJ234" s="31">
        <v>1</v>
      </c>
      <c r="AK234" s="19" t="s">
        <v>139</v>
      </c>
      <c r="AL234" s="136" t="s">
        <v>363</v>
      </c>
      <c r="AM234" s="136" t="s">
        <v>61</v>
      </c>
      <c r="AN234" s="137" t="s">
        <v>530</v>
      </c>
    </row>
    <row r="235" spans="2:40" x14ac:dyDescent="0.25">
      <c r="B235" s="41">
        <f t="shared" si="44"/>
        <v>176</v>
      </c>
      <c r="C235" s="16">
        <v>20200525</v>
      </c>
      <c r="D235" s="15" t="s">
        <v>3</v>
      </c>
      <c r="E235" s="80" t="s">
        <v>479</v>
      </c>
      <c r="F235" s="93" t="s">
        <v>587</v>
      </c>
      <c r="G235" s="80">
        <v>1484917</v>
      </c>
      <c r="H235" s="52" t="s">
        <v>61</v>
      </c>
      <c r="I235" s="80" t="s">
        <v>285</v>
      </c>
      <c r="J235" s="52" t="s">
        <v>61</v>
      </c>
      <c r="K235" s="15" t="s">
        <v>184</v>
      </c>
      <c r="L235" s="15" t="s">
        <v>526</v>
      </c>
      <c r="M235" s="15" t="s">
        <v>527</v>
      </c>
      <c r="N235" s="15" t="s">
        <v>528</v>
      </c>
      <c r="O235" s="17" t="s">
        <v>61</v>
      </c>
      <c r="P235" s="17" t="s">
        <v>529</v>
      </c>
      <c r="Q235" s="18"/>
      <c r="R235" s="52" t="s">
        <v>61</v>
      </c>
      <c r="S235" s="15" t="s">
        <v>70</v>
      </c>
      <c r="T235" s="15"/>
      <c r="U235" s="15"/>
      <c r="V235" s="80">
        <v>268</v>
      </c>
      <c r="W235" s="15">
        <f t="shared" si="49"/>
        <v>268</v>
      </c>
      <c r="X235" s="15">
        <f t="shared" si="51"/>
        <v>268</v>
      </c>
      <c r="Y235" s="15">
        <f>ROUNDDOWN(W235/HLOOKUP(D235,Table!$C$3:$D$4,2,0)*8,2)</f>
        <v>4.76</v>
      </c>
      <c r="Z235" s="15">
        <v>1</v>
      </c>
      <c r="AA235" s="15" t="s">
        <v>74</v>
      </c>
      <c r="AB235" s="19">
        <v>43983</v>
      </c>
      <c r="AC235" s="19">
        <v>43976</v>
      </c>
      <c r="AD235" s="19">
        <v>43983</v>
      </c>
      <c r="AE235" s="19">
        <v>43978</v>
      </c>
      <c r="AF235" s="19">
        <v>43978</v>
      </c>
      <c r="AG235" s="19" t="s">
        <v>177</v>
      </c>
      <c r="AH235" s="31">
        <v>0.99</v>
      </c>
      <c r="AI235" s="31">
        <v>0.97</v>
      </c>
      <c r="AJ235" s="31">
        <v>1</v>
      </c>
      <c r="AK235" s="19" t="s">
        <v>139</v>
      </c>
      <c r="AL235" s="136" t="s">
        <v>363</v>
      </c>
      <c r="AM235" s="136" t="s">
        <v>61</v>
      </c>
      <c r="AN235" s="137" t="s">
        <v>530</v>
      </c>
    </row>
    <row r="236" spans="2:40" x14ac:dyDescent="0.25">
      <c r="B236" s="41">
        <f t="shared" si="44"/>
        <v>177</v>
      </c>
      <c r="C236" s="16">
        <v>20200525</v>
      </c>
      <c r="D236" s="15" t="s">
        <v>3</v>
      </c>
      <c r="E236" s="80" t="s">
        <v>479</v>
      </c>
      <c r="F236" s="93" t="s">
        <v>588</v>
      </c>
      <c r="G236" s="80">
        <v>1484917</v>
      </c>
      <c r="H236" s="52" t="s">
        <v>61</v>
      </c>
      <c r="I236" s="80" t="s">
        <v>522</v>
      </c>
      <c r="J236" s="52" t="s">
        <v>61</v>
      </c>
      <c r="K236" s="15" t="s">
        <v>184</v>
      </c>
      <c r="L236" s="15" t="s">
        <v>526</v>
      </c>
      <c r="M236" s="15" t="s">
        <v>527</v>
      </c>
      <c r="N236" s="15" t="s">
        <v>528</v>
      </c>
      <c r="O236" s="17" t="s">
        <v>61</v>
      </c>
      <c r="P236" s="17" t="s">
        <v>529</v>
      </c>
      <c r="Q236" s="18"/>
      <c r="R236" s="52" t="s">
        <v>61</v>
      </c>
      <c r="S236" s="15" t="s">
        <v>68</v>
      </c>
      <c r="T236" s="15"/>
      <c r="U236" s="15"/>
      <c r="V236" s="80">
        <v>237</v>
      </c>
      <c r="W236" s="15">
        <f t="shared" si="49"/>
        <v>237</v>
      </c>
      <c r="X236" s="15">
        <f t="shared" si="51"/>
        <v>237</v>
      </c>
      <c r="Y236" s="15">
        <f>ROUNDDOWN(W236/HLOOKUP(D236,Table!$C$3:$D$4,2,0)*8,2)</f>
        <v>4.21</v>
      </c>
      <c r="Z236" s="15">
        <v>4</v>
      </c>
      <c r="AA236" s="15" t="s">
        <v>74</v>
      </c>
      <c r="AB236" s="19">
        <v>43983</v>
      </c>
      <c r="AC236" s="19">
        <v>43976</v>
      </c>
      <c r="AD236" s="19">
        <v>43983</v>
      </c>
      <c r="AE236" s="19">
        <v>43979</v>
      </c>
      <c r="AF236" s="19">
        <v>43979</v>
      </c>
      <c r="AG236" s="19" t="s">
        <v>176</v>
      </c>
      <c r="AH236" s="31">
        <v>1</v>
      </c>
      <c r="AI236" s="31">
        <v>1</v>
      </c>
      <c r="AJ236" s="31">
        <v>1</v>
      </c>
      <c r="AK236" s="19" t="s">
        <v>150</v>
      </c>
      <c r="AL236" s="136" t="s">
        <v>61</v>
      </c>
      <c r="AM236" s="136" t="s">
        <v>61</v>
      </c>
      <c r="AN236" s="137" t="s">
        <v>530</v>
      </c>
    </row>
    <row r="237" spans="2:40" x14ac:dyDescent="0.25">
      <c r="B237" s="41">
        <f t="shared" si="44"/>
        <v>178</v>
      </c>
      <c r="C237" s="16">
        <v>20200525</v>
      </c>
      <c r="D237" s="15" t="s">
        <v>3</v>
      </c>
      <c r="E237" s="80" t="s">
        <v>479</v>
      </c>
      <c r="F237" s="93" t="s">
        <v>589</v>
      </c>
      <c r="G237" s="80">
        <v>1484917</v>
      </c>
      <c r="H237" s="52" t="s">
        <v>61</v>
      </c>
      <c r="I237" s="80" t="s">
        <v>222</v>
      </c>
      <c r="J237" s="52" t="s">
        <v>61</v>
      </c>
      <c r="K237" s="15" t="s">
        <v>184</v>
      </c>
      <c r="L237" s="15" t="s">
        <v>526</v>
      </c>
      <c r="M237" s="15" t="s">
        <v>527</v>
      </c>
      <c r="N237" s="15" t="s">
        <v>528</v>
      </c>
      <c r="O237" s="17" t="s">
        <v>61</v>
      </c>
      <c r="P237" s="17" t="s">
        <v>529</v>
      </c>
      <c r="Q237" s="18"/>
      <c r="R237" s="52" t="s">
        <v>61</v>
      </c>
      <c r="S237" s="15" t="s">
        <v>68</v>
      </c>
      <c r="T237" s="15"/>
      <c r="U237" s="15"/>
      <c r="V237" s="80">
        <v>63</v>
      </c>
      <c r="W237" s="84">
        <v>126</v>
      </c>
      <c r="X237" s="15">
        <f t="shared" si="51"/>
        <v>126</v>
      </c>
      <c r="Y237" s="15">
        <f>ROUNDDOWN(W237/HLOOKUP(D237,Table!$C$3:$D$4,2,0)*8,2)</f>
        <v>2.2400000000000002</v>
      </c>
      <c r="Z237" s="15">
        <v>2</v>
      </c>
      <c r="AA237" s="15" t="s">
        <v>74</v>
      </c>
      <c r="AB237" s="19">
        <v>43983</v>
      </c>
      <c r="AC237" s="19">
        <v>43976</v>
      </c>
      <c r="AD237" s="19">
        <v>43983</v>
      </c>
      <c r="AE237" s="19">
        <v>43979</v>
      </c>
      <c r="AF237" s="19">
        <v>43979</v>
      </c>
      <c r="AG237" s="19" t="s">
        <v>176</v>
      </c>
      <c r="AH237" s="31">
        <v>1</v>
      </c>
      <c r="AI237" s="31">
        <v>1</v>
      </c>
      <c r="AJ237" s="31">
        <v>1</v>
      </c>
      <c r="AK237" s="19" t="s">
        <v>150</v>
      </c>
      <c r="AL237" s="136" t="s">
        <v>61</v>
      </c>
      <c r="AM237" s="136" t="s">
        <v>61</v>
      </c>
      <c r="AN237" s="137" t="s">
        <v>530</v>
      </c>
    </row>
    <row r="238" spans="2:40" x14ac:dyDescent="0.25">
      <c r="B238" s="41">
        <f t="shared" si="44"/>
        <v>179</v>
      </c>
      <c r="C238" s="16">
        <v>20200525</v>
      </c>
      <c r="D238" s="15" t="s">
        <v>3</v>
      </c>
      <c r="E238" s="80" t="s">
        <v>479</v>
      </c>
      <c r="F238" s="93" t="s">
        <v>590</v>
      </c>
      <c r="G238" s="80">
        <v>1484917</v>
      </c>
      <c r="H238" s="52" t="s">
        <v>61</v>
      </c>
      <c r="I238" s="80" t="s">
        <v>523</v>
      </c>
      <c r="J238" s="52" t="s">
        <v>61</v>
      </c>
      <c r="K238" s="15" t="s">
        <v>184</v>
      </c>
      <c r="L238" s="15" t="s">
        <v>526</v>
      </c>
      <c r="M238" s="15" t="s">
        <v>527</v>
      </c>
      <c r="N238" s="15" t="s">
        <v>528</v>
      </c>
      <c r="O238" s="17" t="s">
        <v>61</v>
      </c>
      <c r="P238" s="17" t="s">
        <v>529</v>
      </c>
      <c r="Q238" s="18"/>
      <c r="R238" s="52" t="s">
        <v>61</v>
      </c>
      <c r="S238" s="15" t="s">
        <v>68</v>
      </c>
      <c r="T238" s="15"/>
      <c r="U238" s="15"/>
      <c r="V238" s="80">
        <v>70</v>
      </c>
      <c r="W238" s="15">
        <f t="shared" si="49"/>
        <v>70</v>
      </c>
      <c r="X238" s="15">
        <f t="shared" si="51"/>
        <v>70</v>
      </c>
      <c r="Y238" s="15">
        <f>ROUNDDOWN(W238/HLOOKUP(D238,Table!$C$3:$D$4,2,0)*8,2)</f>
        <v>1.24</v>
      </c>
      <c r="Z238" s="15">
        <v>1</v>
      </c>
      <c r="AA238" s="15" t="s">
        <v>74</v>
      </c>
      <c r="AB238" s="19">
        <v>43983</v>
      </c>
      <c r="AC238" s="19">
        <v>43976</v>
      </c>
      <c r="AD238" s="19">
        <v>43983</v>
      </c>
      <c r="AE238" s="19">
        <v>43979</v>
      </c>
      <c r="AF238" s="19">
        <v>43979</v>
      </c>
      <c r="AG238" s="19" t="s">
        <v>176</v>
      </c>
      <c r="AH238" s="31">
        <v>1</v>
      </c>
      <c r="AI238" s="31">
        <v>1</v>
      </c>
      <c r="AJ238" s="31">
        <v>1</v>
      </c>
      <c r="AK238" s="19" t="s">
        <v>150</v>
      </c>
      <c r="AL238" s="136" t="s">
        <v>61</v>
      </c>
      <c r="AM238" s="136" t="s">
        <v>61</v>
      </c>
      <c r="AN238" s="137" t="s">
        <v>530</v>
      </c>
    </row>
    <row r="239" spans="2:40" x14ac:dyDescent="0.25">
      <c r="B239" s="41">
        <f t="shared" si="44"/>
        <v>180</v>
      </c>
      <c r="C239" s="16">
        <v>20200525</v>
      </c>
      <c r="D239" s="15" t="s">
        <v>3</v>
      </c>
      <c r="E239" s="80" t="s">
        <v>479</v>
      </c>
      <c r="F239" s="93" t="s">
        <v>591</v>
      </c>
      <c r="G239" s="80">
        <v>1484917</v>
      </c>
      <c r="H239" s="52" t="s">
        <v>61</v>
      </c>
      <c r="I239" s="80" t="s">
        <v>524</v>
      </c>
      <c r="J239" s="52" t="s">
        <v>61</v>
      </c>
      <c r="K239" s="15" t="s">
        <v>184</v>
      </c>
      <c r="L239" s="15" t="s">
        <v>526</v>
      </c>
      <c r="M239" s="15" t="s">
        <v>527</v>
      </c>
      <c r="N239" s="15" t="s">
        <v>528</v>
      </c>
      <c r="O239" s="17" t="s">
        <v>61</v>
      </c>
      <c r="P239" s="17" t="s">
        <v>529</v>
      </c>
      <c r="Q239" s="18"/>
      <c r="R239" s="52" t="s">
        <v>61</v>
      </c>
      <c r="S239" s="15" t="s">
        <v>142</v>
      </c>
      <c r="T239" s="15"/>
      <c r="U239" s="15"/>
      <c r="V239" s="80">
        <v>175</v>
      </c>
      <c r="W239" s="15">
        <f t="shared" si="49"/>
        <v>175</v>
      </c>
      <c r="X239" s="15">
        <f t="shared" si="51"/>
        <v>175</v>
      </c>
      <c r="Y239" s="15">
        <f>ROUNDDOWN(W239/HLOOKUP(D239,Table!$C$3:$D$4,2,0)*8,2)</f>
        <v>3.11</v>
      </c>
      <c r="Z239" s="15">
        <v>2</v>
      </c>
      <c r="AA239" s="15" t="s">
        <v>74</v>
      </c>
      <c r="AB239" s="19">
        <v>43983</v>
      </c>
      <c r="AC239" s="19">
        <v>43976</v>
      </c>
      <c r="AD239" s="19">
        <v>43983</v>
      </c>
      <c r="AE239" s="19">
        <v>43978</v>
      </c>
      <c r="AF239" s="19">
        <v>43978</v>
      </c>
      <c r="AG239" s="19" t="s">
        <v>176</v>
      </c>
      <c r="AH239" s="31">
        <v>1</v>
      </c>
      <c r="AI239" s="31">
        <v>1</v>
      </c>
      <c r="AJ239" s="31">
        <v>1</v>
      </c>
      <c r="AK239" s="19" t="s">
        <v>150</v>
      </c>
      <c r="AL239" s="136" t="s">
        <v>61</v>
      </c>
      <c r="AM239" s="136" t="s">
        <v>61</v>
      </c>
      <c r="AN239" s="137" t="s">
        <v>530</v>
      </c>
    </row>
    <row r="240" spans="2:40" x14ac:dyDescent="0.25">
      <c r="B240" s="41">
        <f t="shared" si="44"/>
        <v>181</v>
      </c>
      <c r="C240" s="16">
        <v>20200525</v>
      </c>
      <c r="D240" s="15" t="s">
        <v>3</v>
      </c>
      <c r="E240" s="80" t="s">
        <v>479</v>
      </c>
      <c r="F240" s="93" t="s">
        <v>592</v>
      </c>
      <c r="G240" s="80">
        <v>1484917</v>
      </c>
      <c r="H240" s="52" t="s">
        <v>61</v>
      </c>
      <c r="I240" s="80" t="s">
        <v>525</v>
      </c>
      <c r="J240" s="52" t="s">
        <v>61</v>
      </c>
      <c r="K240" s="15" t="s">
        <v>184</v>
      </c>
      <c r="L240" s="15" t="s">
        <v>526</v>
      </c>
      <c r="M240" s="15" t="s">
        <v>527</v>
      </c>
      <c r="N240" s="15" t="s">
        <v>528</v>
      </c>
      <c r="O240" s="17" t="s">
        <v>61</v>
      </c>
      <c r="P240" s="17" t="s">
        <v>529</v>
      </c>
      <c r="Q240" s="18"/>
      <c r="R240" s="52" t="s">
        <v>61</v>
      </c>
      <c r="S240" s="15" t="s">
        <v>142</v>
      </c>
      <c r="T240" s="15"/>
      <c r="U240" s="15"/>
      <c r="V240" s="80">
        <v>6</v>
      </c>
      <c r="W240" s="15">
        <v>0</v>
      </c>
      <c r="X240" s="15">
        <f t="shared" si="51"/>
        <v>0</v>
      </c>
      <c r="Y240" s="15">
        <f>ROUNDDOWN(W240/HLOOKUP(D240,Table!$C$3:$D$4,2,0)*8,2)</f>
        <v>0</v>
      </c>
      <c r="Z240" s="15">
        <v>0.1</v>
      </c>
      <c r="AA240" s="15" t="s">
        <v>74</v>
      </c>
      <c r="AB240" s="19">
        <v>43983</v>
      </c>
      <c r="AC240" s="19">
        <v>43976</v>
      </c>
      <c r="AD240" s="19">
        <v>43983</v>
      </c>
      <c r="AE240" s="19">
        <v>43978</v>
      </c>
      <c r="AF240" s="19">
        <v>43978</v>
      </c>
      <c r="AG240" s="19" t="s">
        <v>176</v>
      </c>
      <c r="AH240" s="79" t="s">
        <v>61</v>
      </c>
      <c r="AI240" s="79" t="s">
        <v>61</v>
      </c>
      <c r="AJ240" s="79" t="s">
        <v>61</v>
      </c>
      <c r="AK240" s="19" t="s">
        <v>150</v>
      </c>
      <c r="AL240" s="136" t="s">
        <v>61</v>
      </c>
      <c r="AM240" s="136" t="s">
        <v>61</v>
      </c>
      <c r="AN240" s="137" t="s">
        <v>648</v>
      </c>
    </row>
    <row r="241" spans="2:40" x14ac:dyDescent="0.25">
      <c r="B241" s="41">
        <f t="shared" si="44"/>
        <v>182</v>
      </c>
      <c r="C241" s="16">
        <v>20200525</v>
      </c>
      <c r="D241" s="15" t="s">
        <v>3</v>
      </c>
      <c r="E241" s="15" t="s">
        <v>479</v>
      </c>
      <c r="F241" s="93" t="s">
        <v>593</v>
      </c>
      <c r="G241" s="80">
        <v>1487183</v>
      </c>
      <c r="H241" s="52" t="s">
        <v>61</v>
      </c>
      <c r="I241" s="15" t="s">
        <v>594</v>
      </c>
      <c r="J241" s="52" t="s">
        <v>61</v>
      </c>
      <c r="K241" s="15" t="s">
        <v>184</v>
      </c>
      <c r="L241" s="15" t="s">
        <v>526</v>
      </c>
      <c r="M241" s="15" t="s">
        <v>527</v>
      </c>
      <c r="N241" s="15" t="s">
        <v>528</v>
      </c>
      <c r="O241" s="17" t="s">
        <v>61</v>
      </c>
      <c r="P241" s="77" t="s">
        <v>595</v>
      </c>
      <c r="Q241" s="18"/>
      <c r="R241" s="52" t="s">
        <v>61</v>
      </c>
      <c r="S241" s="15" t="s">
        <v>142</v>
      </c>
      <c r="T241" s="15"/>
      <c r="U241" s="15"/>
      <c r="V241" s="15">
        <v>34</v>
      </c>
      <c r="W241" s="15">
        <v>0</v>
      </c>
      <c r="X241" s="15">
        <f t="shared" si="51"/>
        <v>0</v>
      </c>
      <c r="Y241" s="15">
        <f>ROUNDDOWN(W241/HLOOKUP(D241,Table!$C$3:$D$4,2,0)*8,2)</f>
        <v>0</v>
      </c>
      <c r="Z241" s="15">
        <v>0.1</v>
      </c>
      <c r="AA241" s="15" t="s">
        <v>74</v>
      </c>
      <c r="AB241" s="19">
        <v>43983</v>
      </c>
      <c r="AC241" s="19">
        <v>43976</v>
      </c>
      <c r="AD241" s="19">
        <v>43983</v>
      </c>
      <c r="AE241" s="19">
        <v>43978</v>
      </c>
      <c r="AF241" s="19">
        <v>43978</v>
      </c>
      <c r="AG241" s="19" t="s">
        <v>176</v>
      </c>
      <c r="AH241" s="79" t="s">
        <v>61</v>
      </c>
      <c r="AI241" s="79" t="s">
        <v>61</v>
      </c>
      <c r="AJ241" s="79" t="s">
        <v>61</v>
      </c>
      <c r="AK241" s="19" t="s">
        <v>150</v>
      </c>
      <c r="AL241" s="136" t="s">
        <v>61</v>
      </c>
      <c r="AM241" s="136" t="s">
        <v>61</v>
      </c>
      <c r="AN241" s="137" t="s">
        <v>648</v>
      </c>
    </row>
    <row r="242" spans="2:40" x14ac:dyDescent="0.25">
      <c r="B242" s="142">
        <f t="shared" si="44"/>
        <v>183</v>
      </c>
      <c r="C242" s="16">
        <v>20200526</v>
      </c>
      <c r="D242" s="15" t="s">
        <v>3</v>
      </c>
      <c r="E242" s="80" t="s">
        <v>264</v>
      </c>
      <c r="F242" s="93" t="s">
        <v>657</v>
      </c>
      <c r="G242" s="80">
        <v>1485214</v>
      </c>
      <c r="H242" s="52" t="s">
        <v>61</v>
      </c>
      <c r="I242" s="80" t="s">
        <v>154</v>
      </c>
      <c r="J242" s="52" t="s">
        <v>61</v>
      </c>
      <c r="K242" s="15" t="s">
        <v>146</v>
      </c>
      <c r="L242" s="80" t="s">
        <v>611</v>
      </c>
      <c r="M242" s="80" t="s">
        <v>297</v>
      </c>
      <c r="N242" s="80" t="s">
        <v>272</v>
      </c>
      <c r="O242" s="17" t="s">
        <v>61</v>
      </c>
      <c r="P242" s="77" t="s">
        <v>616</v>
      </c>
      <c r="Q242" s="18"/>
      <c r="R242" s="52" t="s">
        <v>61</v>
      </c>
      <c r="S242" s="15" t="s">
        <v>69</v>
      </c>
      <c r="T242" s="15"/>
      <c r="U242" s="15"/>
      <c r="V242" s="80">
        <v>101</v>
      </c>
      <c r="W242" s="84">
        <f>V242-V242+211</f>
        <v>211</v>
      </c>
      <c r="X242" s="15">
        <f t="shared" ref="X242:X247" si="52">W242</f>
        <v>211</v>
      </c>
      <c r="Y242" s="15">
        <f>ROUNDDOWN(W242/HLOOKUP(D242,Table!$C$3:$D$4,2,0)*8,2)</f>
        <v>3.75</v>
      </c>
      <c r="Z242" s="15">
        <v>3</v>
      </c>
      <c r="AA242" s="15" t="s">
        <v>74</v>
      </c>
      <c r="AB242" s="19">
        <v>43978</v>
      </c>
      <c r="AC242" s="19">
        <v>43978</v>
      </c>
      <c r="AD242" s="85">
        <v>43980</v>
      </c>
      <c r="AE242" s="19">
        <v>43978</v>
      </c>
      <c r="AF242" s="19">
        <v>43978</v>
      </c>
      <c r="AG242" s="19" t="s">
        <v>177</v>
      </c>
      <c r="AH242" s="31">
        <v>0.96</v>
      </c>
      <c r="AI242" s="31">
        <v>0.91</v>
      </c>
      <c r="AJ242" s="31">
        <v>0.5</v>
      </c>
      <c r="AK242" s="19" t="s">
        <v>139</v>
      </c>
      <c r="AL242" s="124" t="s">
        <v>651</v>
      </c>
      <c r="AM242" s="15"/>
      <c r="AN242" s="15" t="s">
        <v>653</v>
      </c>
    </row>
    <row r="243" spans="2:40" x14ac:dyDescent="0.25">
      <c r="B243" s="142">
        <f t="shared" si="44"/>
        <v>184</v>
      </c>
      <c r="C243" s="16">
        <v>20200526</v>
      </c>
      <c r="D243" s="15" t="s">
        <v>3</v>
      </c>
      <c r="E243" s="80" t="s">
        <v>264</v>
      </c>
      <c r="F243" s="93" t="s">
        <v>658</v>
      </c>
      <c r="G243" s="80">
        <v>1485214</v>
      </c>
      <c r="H243" s="52" t="s">
        <v>61</v>
      </c>
      <c r="I243" s="80" t="s">
        <v>602</v>
      </c>
      <c r="J243" s="52" t="s">
        <v>61</v>
      </c>
      <c r="K243" s="15" t="s">
        <v>146</v>
      </c>
      <c r="L243" s="80" t="s">
        <v>611</v>
      </c>
      <c r="M243" s="80" t="s">
        <v>297</v>
      </c>
      <c r="N243" s="80" t="s">
        <v>272</v>
      </c>
      <c r="O243" s="17" t="s">
        <v>61</v>
      </c>
      <c r="P243" s="77" t="s">
        <v>616</v>
      </c>
      <c r="Q243" s="18"/>
      <c r="R243" s="52" t="s">
        <v>61</v>
      </c>
      <c r="S243" s="15" t="s">
        <v>69</v>
      </c>
      <c r="T243" s="15"/>
      <c r="U243" s="15"/>
      <c r="V243" s="80">
        <v>66</v>
      </c>
      <c r="W243" s="15">
        <f t="shared" ref="W243:X293" si="53">V243</f>
        <v>66</v>
      </c>
      <c r="X243" s="15">
        <f t="shared" si="52"/>
        <v>66</v>
      </c>
      <c r="Y243" s="15">
        <f>ROUNDDOWN(W243/HLOOKUP(D243,Table!$C$3:$D$4,2,0)*8,2)</f>
        <v>1.17</v>
      </c>
      <c r="Z243" s="15">
        <v>1</v>
      </c>
      <c r="AA243" s="15" t="s">
        <v>74</v>
      </c>
      <c r="AB243" s="19">
        <v>43978</v>
      </c>
      <c r="AC243" s="19">
        <v>43978</v>
      </c>
      <c r="AD243" s="19">
        <v>43980</v>
      </c>
      <c r="AE243" s="19">
        <v>43978</v>
      </c>
      <c r="AF243" s="19">
        <v>43978</v>
      </c>
      <c r="AG243" s="19" t="s">
        <v>176</v>
      </c>
      <c r="AH243" s="31">
        <v>1</v>
      </c>
      <c r="AI243" s="31">
        <v>1</v>
      </c>
      <c r="AJ243" s="31">
        <v>1</v>
      </c>
      <c r="AK243" s="19" t="s">
        <v>150</v>
      </c>
      <c r="AL243" s="17" t="s">
        <v>61</v>
      </c>
      <c r="AM243" s="17" t="s">
        <v>61</v>
      </c>
      <c r="AN243" s="17" t="s">
        <v>61</v>
      </c>
    </row>
    <row r="244" spans="2:40" x14ac:dyDescent="0.25">
      <c r="B244" s="142">
        <f t="shared" si="44"/>
        <v>185</v>
      </c>
      <c r="C244" s="16">
        <v>20200526</v>
      </c>
      <c r="D244" s="15" t="s">
        <v>3</v>
      </c>
      <c r="E244" s="80" t="s">
        <v>599</v>
      </c>
      <c r="F244" s="93" t="s">
        <v>659</v>
      </c>
      <c r="G244" s="80">
        <v>1487960</v>
      </c>
      <c r="H244" s="52" t="s">
        <v>61</v>
      </c>
      <c r="I244" s="80" t="s">
        <v>159</v>
      </c>
      <c r="J244" s="52" t="s">
        <v>61</v>
      </c>
      <c r="K244" s="15" t="s">
        <v>146</v>
      </c>
      <c r="L244" s="15" t="s">
        <v>150</v>
      </c>
      <c r="M244" s="80" t="s">
        <v>614</v>
      </c>
      <c r="N244" s="80" t="s">
        <v>230</v>
      </c>
      <c r="O244" s="17" t="s">
        <v>61</v>
      </c>
      <c r="P244" s="77" t="s">
        <v>617</v>
      </c>
      <c r="Q244" s="18"/>
      <c r="R244" s="52" t="s">
        <v>61</v>
      </c>
      <c r="S244" s="15" t="s">
        <v>70</v>
      </c>
      <c r="T244" s="15"/>
      <c r="U244" s="15"/>
      <c r="V244" s="80">
        <v>88</v>
      </c>
      <c r="W244" s="84">
        <v>229</v>
      </c>
      <c r="X244" s="15">
        <f t="shared" si="52"/>
        <v>229</v>
      </c>
      <c r="Y244" s="15">
        <f>ROUNDDOWN(W244/HLOOKUP(D244,Table!$C$3:$D$4,2,0)*8,2)</f>
        <v>4.07</v>
      </c>
      <c r="Z244" s="15">
        <v>3</v>
      </c>
      <c r="AA244" s="15" t="s">
        <v>74</v>
      </c>
      <c r="AB244" s="19">
        <v>43978</v>
      </c>
      <c r="AC244" s="19">
        <v>43978</v>
      </c>
      <c r="AD244" s="19">
        <v>43980</v>
      </c>
      <c r="AE244" s="19">
        <v>43979</v>
      </c>
      <c r="AF244" s="19">
        <v>43979</v>
      </c>
      <c r="AG244" s="19" t="s">
        <v>177</v>
      </c>
      <c r="AH244" s="31">
        <v>1</v>
      </c>
      <c r="AI244" s="31">
        <v>1</v>
      </c>
      <c r="AJ244" s="31">
        <v>1</v>
      </c>
      <c r="AK244" s="19" t="s">
        <v>139</v>
      </c>
      <c r="AL244" s="17" t="s">
        <v>715</v>
      </c>
      <c r="AM244" s="15" t="s">
        <v>61</v>
      </c>
      <c r="AN244" s="17" t="s">
        <v>840</v>
      </c>
    </row>
    <row r="245" spans="2:40" x14ac:dyDescent="0.25">
      <c r="B245" s="142">
        <f t="shared" si="44"/>
        <v>186</v>
      </c>
      <c r="C245" s="16">
        <v>20200526</v>
      </c>
      <c r="D245" s="15" t="s">
        <v>3</v>
      </c>
      <c r="E245" s="80" t="s">
        <v>599</v>
      </c>
      <c r="F245" s="93" t="s">
        <v>659</v>
      </c>
      <c r="G245" s="80">
        <v>1487960</v>
      </c>
      <c r="H245" s="52" t="s">
        <v>61</v>
      </c>
      <c r="I245" s="80" t="s">
        <v>153</v>
      </c>
      <c r="J245" s="52" t="s">
        <v>61</v>
      </c>
      <c r="K245" s="15" t="s">
        <v>146</v>
      </c>
      <c r="L245" s="15" t="s">
        <v>150</v>
      </c>
      <c r="M245" s="15" t="s">
        <v>614</v>
      </c>
      <c r="N245" s="80" t="s">
        <v>230</v>
      </c>
      <c r="O245" s="17" t="s">
        <v>61</v>
      </c>
      <c r="P245" s="77" t="s">
        <v>617</v>
      </c>
      <c r="Q245" s="18"/>
      <c r="R245" s="52" t="s">
        <v>61</v>
      </c>
      <c r="S245" s="15" t="s">
        <v>70</v>
      </c>
      <c r="T245" s="15"/>
      <c r="U245" s="15"/>
      <c r="V245" s="80">
        <v>42</v>
      </c>
      <c r="W245" s="84">
        <v>118</v>
      </c>
      <c r="X245" s="15">
        <f t="shared" si="52"/>
        <v>118</v>
      </c>
      <c r="Y245" s="15">
        <f>ROUNDDOWN(W245/HLOOKUP(D245,Table!$C$3:$D$4,2,0)*8,2)</f>
        <v>2.09</v>
      </c>
      <c r="Z245" s="15">
        <v>1</v>
      </c>
      <c r="AA245" s="15" t="s">
        <v>74</v>
      </c>
      <c r="AB245" s="19">
        <v>43978</v>
      </c>
      <c r="AC245" s="19">
        <v>43978</v>
      </c>
      <c r="AD245" s="19">
        <v>43980</v>
      </c>
      <c r="AE245" s="19">
        <v>43979</v>
      </c>
      <c r="AF245" s="19">
        <v>43979</v>
      </c>
      <c r="AG245" s="19" t="s">
        <v>176</v>
      </c>
      <c r="AH245" s="31">
        <v>1</v>
      </c>
      <c r="AI245" s="31">
        <v>1</v>
      </c>
      <c r="AJ245" s="31">
        <v>1</v>
      </c>
      <c r="AK245" s="19" t="s">
        <v>150</v>
      </c>
      <c r="AL245" s="17" t="s">
        <v>61</v>
      </c>
      <c r="AM245" s="15" t="s">
        <v>61</v>
      </c>
      <c r="AN245" s="15" t="s">
        <v>61</v>
      </c>
    </row>
    <row r="246" spans="2:40" x14ac:dyDescent="0.25">
      <c r="B246" s="142">
        <f t="shared" si="44"/>
        <v>187</v>
      </c>
      <c r="C246" s="16">
        <v>20200526</v>
      </c>
      <c r="D246" s="15" t="s">
        <v>3</v>
      </c>
      <c r="E246" s="80" t="s">
        <v>599</v>
      </c>
      <c r="F246" s="93" t="s">
        <v>660</v>
      </c>
      <c r="G246" s="80">
        <v>1487866</v>
      </c>
      <c r="H246" s="52" t="s">
        <v>61</v>
      </c>
      <c r="I246" s="80" t="s">
        <v>159</v>
      </c>
      <c r="J246" s="52" t="s">
        <v>61</v>
      </c>
      <c r="K246" s="15" t="s">
        <v>146</v>
      </c>
      <c r="L246" s="15" t="s">
        <v>150</v>
      </c>
      <c r="M246" s="15" t="s">
        <v>614</v>
      </c>
      <c r="N246" s="80" t="s">
        <v>607</v>
      </c>
      <c r="O246" s="17" t="s">
        <v>61</v>
      </c>
      <c r="P246" s="77" t="s">
        <v>617</v>
      </c>
      <c r="Q246" s="18"/>
      <c r="R246" s="52" t="s">
        <v>61</v>
      </c>
      <c r="S246" s="15" t="s">
        <v>70</v>
      </c>
      <c r="T246" s="15"/>
      <c r="U246" s="15"/>
      <c r="V246" s="80">
        <v>88</v>
      </c>
      <c r="W246" s="84">
        <v>229</v>
      </c>
      <c r="X246" s="15">
        <f t="shared" si="52"/>
        <v>229</v>
      </c>
      <c r="Y246" s="15">
        <f>ROUNDDOWN(W246/HLOOKUP(D246,Table!$C$3:$D$4,2,0)*8,2)</f>
        <v>4.07</v>
      </c>
      <c r="Z246" s="15">
        <v>1</v>
      </c>
      <c r="AA246" s="15" t="s">
        <v>74</v>
      </c>
      <c r="AB246" s="19">
        <v>43978</v>
      </c>
      <c r="AC246" s="19">
        <v>43978</v>
      </c>
      <c r="AD246" s="19">
        <v>43980</v>
      </c>
      <c r="AE246" s="19">
        <v>43979</v>
      </c>
      <c r="AF246" s="19">
        <v>43979</v>
      </c>
      <c r="AG246" s="19" t="s">
        <v>177</v>
      </c>
      <c r="AH246" s="31">
        <v>1</v>
      </c>
      <c r="AI246" s="31">
        <v>1</v>
      </c>
      <c r="AJ246" s="31">
        <v>1</v>
      </c>
      <c r="AK246" s="19" t="s">
        <v>139</v>
      </c>
      <c r="AL246" s="17" t="s">
        <v>715</v>
      </c>
      <c r="AM246" s="15" t="s">
        <v>61</v>
      </c>
      <c r="AN246" s="17" t="s">
        <v>840</v>
      </c>
    </row>
    <row r="247" spans="2:40" x14ac:dyDescent="0.25">
      <c r="B247" s="142">
        <f t="shared" si="44"/>
        <v>188</v>
      </c>
      <c r="C247" s="16">
        <v>20200526</v>
      </c>
      <c r="D247" s="15" t="s">
        <v>3</v>
      </c>
      <c r="E247" s="80" t="s">
        <v>599</v>
      </c>
      <c r="F247" s="93" t="s">
        <v>660</v>
      </c>
      <c r="G247" s="80">
        <v>1487866</v>
      </c>
      <c r="H247" s="52" t="s">
        <v>61</v>
      </c>
      <c r="I247" s="80" t="s">
        <v>153</v>
      </c>
      <c r="J247" s="52" t="s">
        <v>61</v>
      </c>
      <c r="K247" s="15" t="s">
        <v>146</v>
      </c>
      <c r="L247" s="15" t="s">
        <v>150</v>
      </c>
      <c r="M247" s="15" t="s">
        <v>614</v>
      </c>
      <c r="N247" s="80" t="s">
        <v>607</v>
      </c>
      <c r="O247" s="17" t="s">
        <v>61</v>
      </c>
      <c r="P247" s="77" t="s">
        <v>617</v>
      </c>
      <c r="Q247" s="18"/>
      <c r="R247" s="52" t="s">
        <v>61</v>
      </c>
      <c r="S247" s="15" t="s">
        <v>70</v>
      </c>
      <c r="T247" s="15"/>
      <c r="U247" s="15"/>
      <c r="V247" s="80">
        <v>42</v>
      </c>
      <c r="W247" s="84">
        <v>118</v>
      </c>
      <c r="X247" s="15">
        <f t="shared" si="52"/>
        <v>118</v>
      </c>
      <c r="Y247" s="15">
        <f>ROUNDDOWN(W247/HLOOKUP(D247,Table!$C$3:$D$4,2,0)*8,2)</f>
        <v>2.09</v>
      </c>
      <c r="Z247" s="15">
        <v>1</v>
      </c>
      <c r="AA247" s="15" t="s">
        <v>74</v>
      </c>
      <c r="AB247" s="19">
        <v>43978</v>
      </c>
      <c r="AC247" s="19">
        <v>43978</v>
      </c>
      <c r="AD247" s="19">
        <v>43980</v>
      </c>
      <c r="AE247" s="19">
        <v>43979</v>
      </c>
      <c r="AF247" s="19">
        <v>43979</v>
      </c>
      <c r="AG247" s="19" t="s">
        <v>176</v>
      </c>
      <c r="AH247" s="31">
        <v>1</v>
      </c>
      <c r="AI247" s="31">
        <v>1</v>
      </c>
      <c r="AJ247" s="31">
        <v>1</v>
      </c>
      <c r="AK247" s="19" t="s">
        <v>150</v>
      </c>
      <c r="AL247" s="17" t="s">
        <v>61</v>
      </c>
      <c r="AM247" s="15" t="s">
        <v>61</v>
      </c>
      <c r="AN247" s="15" t="s">
        <v>61</v>
      </c>
    </row>
    <row r="248" spans="2:40" x14ac:dyDescent="0.25">
      <c r="B248" s="142">
        <f t="shared" si="44"/>
        <v>189</v>
      </c>
      <c r="C248" s="16">
        <v>20200526</v>
      </c>
      <c r="D248" s="15" t="s">
        <v>3</v>
      </c>
      <c r="E248" s="80" t="s">
        <v>441</v>
      </c>
      <c r="F248" s="93" t="s">
        <v>650</v>
      </c>
      <c r="G248" s="80">
        <v>1487804</v>
      </c>
      <c r="H248" s="52" t="s">
        <v>61</v>
      </c>
      <c r="I248" s="80" t="s">
        <v>227</v>
      </c>
      <c r="J248" s="52" t="s">
        <v>61</v>
      </c>
      <c r="K248" s="15" t="s">
        <v>146</v>
      </c>
      <c r="L248" s="80" t="s">
        <v>451</v>
      </c>
      <c r="M248" s="80" t="s">
        <v>433</v>
      </c>
      <c r="N248" s="80" t="s">
        <v>608</v>
      </c>
      <c r="O248" s="17" t="s">
        <v>61</v>
      </c>
      <c r="P248" s="77" t="s">
        <v>448</v>
      </c>
      <c r="Q248" s="18"/>
      <c r="R248" s="52" t="s">
        <v>61</v>
      </c>
      <c r="S248" s="15" t="s">
        <v>67</v>
      </c>
      <c r="T248" s="15"/>
      <c r="U248" s="15"/>
      <c r="V248" s="80">
        <v>128</v>
      </c>
      <c r="W248" s="15">
        <f t="shared" si="53"/>
        <v>128</v>
      </c>
      <c r="X248" s="15">
        <f t="shared" ref="X248:X255" si="54">W248</f>
        <v>128</v>
      </c>
      <c r="Y248" s="15">
        <f>ROUNDDOWN(W248/HLOOKUP(D248,Table!$C$3:$D$4,2,0)*8,2)</f>
        <v>2.27</v>
      </c>
      <c r="Z248" s="15">
        <v>1</v>
      </c>
      <c r="AA248" s="15" t="s">
        <v>74</v>
      </c>
      <c r="AB248" s="19">
        <v>43978</v>
      </c>
      <c r="AC248" s="19">
        <v>43978</v>
      </c>
      <c r="AD248" s="99">
        <v>43978</v>
      </c>
      <c r="AE248" s="19">
        <v>43978</v>
      </c>
      <c r="AF248" s="19">
        <v>43978</v>
      </c>
      <c r="AG248" s="19" t="s">
        <v>176</v>
      </c>
      <c r="AH248" s="31">
        <v>1</v>
      </c>
      <c r="AI248" s="31">
        <v>1</v>
      </c>
      <c r="AJ248" s="31">
        <v>1</v>
      </c>
      <c r="AK248" s="19" t="s">
        <v>150</v>
      </c>
      <c r="AL248" s="136" t="s">
        <v>61</v>
      </c>
      <c r="AM248" s="136" t="s">
        <v>61</v>
      </c>
      <c r="AN248" s="136" t="s">
        <v>61</v>
      </c>
    </row>
    <row r="249" spans="2:40" x14ac:dyDescent="0.25">
      <c r="B249" s="142">
        <f t="shared" si="44"/>
        <v>190</v>
      </c>
      <c r="C249" s="16">
        <v>20200526</v>
      </c>
      <c r="D249" s="15" t="s">
        <v>3</v>
      </c>
      <c r="E249" s="80" t="s">
        <v>441</v>
      </c>
      <c r="F249" s="93" t="s">
        <v>619</v>
      </c>
      <c r="G249" s="80">
        <v>1487804</v>
      </c>
      <c r="H249" s="52" t="s">
        <v>61</v>
      </c>
      <c r="I249" s="80" t="s">
        <v>201</v>
      </c>
      <c r="J249" s="52" t="s">
        <v>61</v>
      </c>
      <c r="K249" s="15" t="s">
        <v>146</v>
      </c>
      <c r="L249" s="80" t="s">
        <v>451</v>
      </c>
      <c r="M249" s="80" t="s">
        <v>433</v>
      </c>
      <c r="N249" s="80" t="s">
        <v>608</v>
      </c>
      <c r="O249" s="17" t="s">
        <v>61</v>
      </c>
      <c r="P249" s="77" t="s">
        <v>448</v>
      </c>
      <c r="Q249" s="18"/>
      <c r="R249" s="52" t="s">
        <v>61</v>
      </c>
      <c r="S249" s="15" t="s">
        <v>67</v>
      </c>
      <c r="T249" s="15"/>
      <c r="U249" s="15"/>
      <c r="V249" s="80">
        <v>261</v>
      </c>
      <c r="W249" s="15">
        <f t="shared" si="53"/>
        <v>261</v>
      </c>
      <c r="X249" s="15">
        <f t="shared" si="54"/>
        <v>261</v>
      </c>
      <c r="Y249" s="15">
        <f>ROUNDDOWN(W249/HLOOKUP(D249,Table!$C$3:$D$4,2,0)*8,2)</f>
        <v>4.6399999999999997</v>
      </c>
      <c r="Z249" s="15">
        <v>2</v>
      </c>
      <c r="AA249" s="15" t="s">
        <v>74</v>
      </c>
      <c r="AB249" s="19">
        <v>43978</v>
      </c>
      <c r="AC249" s="19">
        <v>43978</v>
      </c>
      <c r="AD249" s="99">
        <v>43978</v>
      </c>
      <c r="AE249" s="19">
        <v>43978</v>
      </c>
      <c r="AF249" s="19">
        <v>43978</v>
      </c>
      <c r="AG249" s="19" t="s">
        <v>176</v>
      </c>
      <c r="AH249" s="31">
        <v>1</v>
      </c>
      <c r="AI249" s="31">
        <v>1</v>
      </c>
      <c r="AJ249" s="31">
        <v>1</v>
      </c>
      <c r="AK249" s="19" t="s">
        <v>150</v>
      </c>
      <c r="AL249" s="136" t="s">
        <v>61</v>
      </c>
      <c r="AM249" s="136" t="s">
        <v>61</v>
      </c>
      <c r="AN249" s="136" t="s">
        <v>61</v>
      </c>
    </row>
    <row r="250" spans="2:40" x14ac:dyDescent="0.25">
      <c r="B250" s="142">
        <f t="shared" si="44"/>
        <v>191</v>
      </c>
      <c r="C250" s="16">
        <v>20200526</v>
      </c>
      <c r="D250" s="15" t="s">
        <v>3</v>
      </c>
      <c r="E250" s="80" t="s">
        <v>441</v>
      </c>
      <c r="F250" s="93" t="s">
        <v>652</v>
      </c>
      <c r="G250" s="80">
        <v>1487804</v>
      </c>
      <c r="H250" s="52" t="s">
        <v>61</v>
      </c>
      <c r="I250" s="80" t="s">
        <v>603</v>
      </c>
      <c r="J250" s="52" t="s">
        <v>61</v>
      </c>
      <c r="K250" s="15" t="s">
        <v>146</v>
      </c>
      <c r="L250" s="80" t="s">
        <v>451</v>
      </c>
      <c r="M250" s="80" t="s">
        <v>433</v>
      </c>
      <c r="N250" s="80" t="s">
        <v>608</v>
      </c>
      <c r="O250" s="17" t="s">
        <v>61</v>
      </c>
      <c r="P250" s="77" t="s">
        <v>448</v>
      </c>
      <c r="Q250" s="18"/>
      <c r="R250" s="52" t="s">
        <v>61</v>
      </c>
      <c r="S250" s="15" t="s">
        <v>67</v>
      </c>
      <c r="T250" s="15"/>
      <c r="U250" s="15"/>
      <c r="V250" s="80">
        <v>45</v>
      </c>
      <c r="W250" s="15">
        <f t="shared" si="53"/>
        <v>45</v>
      </c>
      <c r="X250" s="15">
        <f t="shared" si="54"/>
        <v>45</v>
      </c>
      <c r="Y250" s="15">
        <f>ROUNDDOWN(W250/HLOOKUP(D250,Table!$C$3:$D$4,2,0)*8,2)</f>
        <v>0.8</v>
      </c>
      <c r="Z250" s="15">
        <v>0.5</v>
      </c>
      <c r="AA250" s="15" t="s">
        <v>74</v>
      </c>
      <c r="AB250" s="19">
        <v>43978</v>
      </c>
      <c r="AC250" s="19">
        <v>43978</v>
      </c>
      <c r="AD250" s="99">
        <v>43978</v>
      </c>
      <c r="AE250" s="19">
        <v>43978</v>
      </c>
      <c r="AF250" s="19">
        <v>43978</v>
      </c>
      <c r="AG250" s="19" t="s">
        <v>176</v>
      </c>
      <c r="AH250" s="31">
        <v>1</v>
      </c>
      <c r="AI250" s="31">
        <v>1</v>
      </c>
      <c r="AJ250" s="31">
        <v>1</v>
      </c>
      <c r="AK250" s="19" t="s">
        <v>150</v>
      </c>
      <c r="AL250" s="136" t="s">
        <v>61</v>
      </c>
      <c r="AM250" s="136" t="s">
        <v>61</v>
      </c>
      <c r="AN250" s="136" t="s">
        <v>61</v>
      </c>
    </row>
    <row r="251" spans="2:40" x14ac:dyDescent="0.25">
      <c r="B251" s="142">
        <f t="shared" si="44"/>
        <v>192</v>
      </c>
      <c r="C251" s="16">
        <v>20200526</v>
      </c>
      <c r="D251" s="15" t="s">
        <v>3</v>
      </c>
      <c r="E251" s="80" t="s">
        <v>600</v>
      </c>
      <c r="F251" s="93" t="s">
        <v>661</v>
      </c>
      <c r="G251" s="80">
        <v>1475660</v>
      </c>
      <c r="H251" s="52" t="s">
        <v>61</v>
      </c>
      <c r="I251" s="80" t="s">
        <v>604</v>
      </c>
      <c r="J251" s="52" t="s">
        <v>61</v>
      </c>
      <c r="K251" s="15" t="s">
        <v>146</v>
      </c>
      <c r="L251" s="80" t="s">
        <v>612</v>
      </c>
      <c r="M251" s="80" t="s">
        <v>614</v>
      </c>
      <c r="N251" s="80" t="s">
        <v>609</v>
      </c>
      <c r="O251" s="17" t="s">
        <v>61</v>
      </c>
      <c r="P251" s="77" t="s">
        <v>618</v>
      </c>
      <c r="Q251" s="18"/>
      <c r="R251" s="52" t="s">
        <v>61</v>
      </c>
      <c r="S251" s="15" t="s">
        <v>68</v>
      </c>
      <c r="T251" s="15"/>
      <c r="U251" s="15"/>
      <c r="V251" s="80">
        <v>355</v>
      </c>
      <c r="W251" s="15">
        <f t="shared" si="53"/>
        <v>355</v>
      </c>
      <c r="X251" s="15">
        <f t="shared" si="54"/>
        <v>355</v>
      </c>
      <c r="Y251" s="15">
        <f>ROUNDDOWN(W251/HLOOKUP(D251,Table!$C$3:$D$4,2,0)*8,2)</f>
        <v>6.31</v>
      </c>
      <c r="Z251" s="15">
        <v>6</v>
      </c>
      <c r="AA251" s="15" t="s">
        <v>74</v>
      </c>
      <c r="AB251" s="19">
        <v>43978</v>
      </c>
      <c r="AC251" s="19">
        <v>43978</v>
      </c>
      <c r="AD251" s="99">
        <v>43978</v>
      </c>
      <c r="AE251" s="19">
        <v>43978</v>
      </c>
      <c r="AF251" s="19">
        <v>43978</v>
      </c>
      <c r="AG251" s="19" t="s">
        <v>177</v>
      </c>
      <c r="AH251" s="31">
        <v>1</v>
      </c>
      <c r="AI251" s="31">
        <v>1</v>
      </c>
      <c r="AJ251" s="31">
        <v>0.75</v>
      </c>
      <c r="AK251" s="19" t="s">
        <v>139</v>
      </c>
      <c r="AL251" s="136" t="s">
        <v>663</v>
      </c>
      <c r="AM251" s="136" t="s">
        <v>61</v>
      </c>
      <c r="AN251" s="136" t="s">
        <v>703</v>
      </c>
    </row>
    <row r="252" spans="2:40" x14ac:dyDescent="0.25">
      <c r="B252" s="142">
        <f t="shared" si="44"/>
        <v>193</v>
      </c>
      <c r="C252" s="16">
        <v>20200526</v>
      </c>
      <c r="D252" s="15" t="s">
        <v>3</v>
      </c>
      <c r="E252" s="80" t="s">
        <v>600</v>
      </c>
      <c r="F252" s="93" t="s">
        <v>662</v>
      </c>
      <c r="G252" s="80">
        <v>1475660</v>
      </c>
      <c r="H252" s="52" t="s">
        <v>61</v>
      </c>
      <c r="I252" s="80" t="s">
        <v>605</v>
      </c>
      <c r="J252" s="52" t="s">
        <v>61</v>
      </c>
      <c r="K252" s="15" t="s">
        <v>146</v>
      </c>
      <c r="L252" s="80" t="s">
        <v>612</v>
      </c>
      <c r="M252" s="80" t="s">
        <v>614</v>
      </c>
      <c r="N252" s="80" t="s">
        <v>609</v>
      </c>
      <c r="O252" s="17" t="s">
        <v>61</v>
      </c>
      <c r="P252" s="77" t="s">
        <v>618</v>
      </c>
      <c r="Q252" s="18"/>
      <c r="R252" s="52" t="s">
        <v>61</v>
      </c>
      <c r="S252" s="15" t="s">
        <v>68</v>
      </c>
      <c r="T252" s="15"/>
      <c r="U252" s="15"/>
      <c r="V252" s="80">
        <v>221</v>
      </c>
      <c r="W252" s="15">
        <f t="shared" si="53"/>
        <v>221</v>
      </c>
      <c r="X252" s="15">
        <f t="shared" si="54"/>
        <v>221</v>
      </c>
      <c r="Y252" s="15">
        <f>ROUNDDOWN(W252/HLOOKUP(D252,Table!$C$3:$D$4,2,0)*8,2)</f>
        <v>3.92</v>
      </c>
      <c r="Z252" s="15">
        <v>3</v>
      </c>
      <c r="AA252" s="15" t="s">
        <v>74</v>
      </c>
      <c r="AB252" s="19">
        <v>43978</v>
      </c>
      <c r="AC252" s="19">
        <v>43978</v>
      </c>
      <c r="AD252" s="99">
        <v>43978</v>
      </c>
      <c r="AE252" s="19">
        <v>43978</v>
      </c>
      <c r="AF252" s="19">
        <v>43978</v>
      </c>
      <c r="AG252" s="19" t="s">
        <v>176</v>
      </c>
      <c r="AH252" s="31">
        <v>1</v>
      </c>
      <c r="AI252" s="31">
        <v>1</v>
      </c>
      <c r="AJ252" s="31">
        <v>1</v>
      </c>
      <c r="AK252" s="19" t="s">
        <v>150</v>
      </c>
      <c r="AL252" s="136" t="s">
        <v>61</v>
      </c>
      <c r="AM252" s="136" t="s">
        <v>61</v>
      </c>
      <c r="AN252" s="136" t="s">
        <v>61</v>
      </c>
    </row>
    <row r="253" spans="2:40" x14ac:dyDescent="0.25">
      <c r="B253" s="142">
        <f t="shared" si="44"/>
        <v>194</v>
      </c>
      <c r="C253" s="16">
        <v>20200526</v>
      </c>
      <c r="D253" s="15" t="s">
        <v>3</v>
      </c>
      <c r="E253" s="80" t="s">
        <v>601</v>
      </c>
      <c r="F253" s="93" t="s">
        <v>654</v>
      </c>
      <c r="G253" s="80">
        <v>1474186</v>
      </c>
      <c r="H253" s="52" t="s">
        <v>61</v>
      </c>
      <c r="I253" s="80" t="s">
        <v>606</v>
      </c>
      <c r="J253" s="52" t="s">
        <v>61</v>
      </c>
      <c r="K253" s="15" t="s">
        <v>146</v>
      </c>
      <c r="L253" s="80" t="s">
        <v>613</v>
      </c>
      <c r="M253" s="80" t="s">
        <v>615</v>
      </c>
      <c r="N253" s="80" t="s">
        <v>428</v>
      </c>
      <c r="O253" s="17" t="s">
        <v>61</v>
      </c>
      <c r="P253" s="77" t="s">
        <v>208</v>
      </c>
      <c r="Q253" s="18"/>
      <c r="R253" s="52" t="s">
        <v>61</v>
      </c>
      <c r="S253" s="15" t="s">
        <v>67</v>
      </c>
      <c r="T253" s="15"/>
      <c r="U253" s="15"/>
      <c r="V253" s="80">
        <v>46</v>
      </c>
      <c r="W253" s="15">
        <f t="shared" si="53"/>
        <v>46</v>
      </c>
      <c r="X253" s="15">
        <f t="shared" si="54"/>
        <v>46</v>
      </c>
      <c r="Y253" s="15">
        <f>ROUNDDOWN(W253/HLOOKUP(D253,Table!$C$3:$D$4,2,0)*8,2)</f>
        <v>0.81</v>
      </c>
      <c r="Z253" s="15">
        <v>0.5</v>
      </c>
      <c r="AA253" s="15" t="s">
        <v>74</v>
      </c>
      <c r="AB253" s="19">
        <v>43978</v>
      </c>
      <c r="AC253" s="19">
        <v>43978</v>
      </c>
      <c r="AD253" s="99">
        <v>43978</v>
      </c>
      <c r="AE253" s="19">
        <v>43978</v>
      </c>
      <c r="AF253" s="19">
        <v>43978</v>
      </c>
      <c r="AG253" s="19" t="s">
        <v>176</v>
      </c>
      <c r="AH253" s="31">
        <v>1</v>
      </c>
      <c r="AI253" s="31">
        <v>1</v>
      </c>
      <c r="AJ253" s="31">
        <v>1</v>
      </c>
      <c r="AK253" s="19" t="s">
        <v>150</v>
      </c>
      <c r="AL253" s="136" t="s">
        <v>61</v>
      </c>
      <c r="AM253" s="136" t="s">
        <v>61</v>
      </c>
      <c r="AN253" s="136" t="s">
        <v>61</v>
      </c>
    </row>
    <row r="254" spans="2:40" x14ac:dyDescent="0.25">
      <c r="B254" s="142">
        <f t="shared" ref="B254:B317" si="55">B253+1</f>
        <v>195</v>
      </c>
      <c r="C254" s="16">
        <v>20200526</v>
      </c>
      <c r="D254" s="15" t="s">
        <v>3</v>
      </c>
      <c r="E254" s="80" t="s">
        <v>601</v>
      </c>
      <c r="F254" s="93" t="s">
        <v>655</v>
      </c>
      <c r="G254" s="80">
        <v>1474186</v>
      </c>
      <c r="H254" s="52" t="s">
        <v>61</v>
      </c>
      <c r="I254" s="80" t="s">
        <v>201</v>
      </c>
      <c r="J254" s="52" t="s">
        <v>61</v>
      </c>
      <c r="K254" s="15" t="s">
        <v>146</v>
      </c>
      <c r="L254" s="80" t="s">
        <v>613</v>
      </c>
      <c r="M254" s="80" t="s">
        <v>615</v>
      </c>
      <c r="N254" s="80" t="s">
        <v>428</v>
      </c>
      <c r="O254" s="17" t="s">
        <v>61</v>
      </c>
      <c r="P254" s="77" t="s">
        <v>208</v>
      </c>
      <c r="Q254" s="18"/>
      <c r="R254" s="52" t="s">
        <v>61</v>
      </c>
      <c r="S254" s="15" t="s">
        <v>67</v>
      </c>
      <c r="T254" s="15"/>
      <c r="U254" s="15"/>
      <c r="V254" s="80">
        <v>261</v>
      </c>
      <c r="W254" s="15">
        <f t="shared" si="53"/>
        <v>261</v>
      </c>
      <c r="X254" s="15">
        <f t="shared" si="54"/>
        <v>261</v>
      </c>
      <c r="Y254" s="15">
        <f>ROUNDDOWN(W254/HLOOKUP(D254,Table!$C$3:$D$4,2,0)*8,2)</f>
        <v>4.6399999999999997</v>
      </c>
      <c r="Z254" s="15">
        <v>3</v>
      </c>
      <c r="AA254" s="15" t="s">
        <v>74</v>
      </c>
      <c r="AB254" s="19">
        <v>43978</v>
      </c>
      <c r="AC254" s="19">
        <v>43978</v>
      </c>
      <c r="AD254" s="99">
        <v>43978</v>
      </c>
      <c r="AE254" s="19">
        <v>43978</v>
      </c>
      <c r="AF254" s="19">
        <v>43978</v>
      </c>
      <c r="AG254" s="19" t="s">
        <v>176</v>
      </c>
      <c r="AH254" s="31">
        <v>1</v>
      </c>
      <c r="AI254" s="31">
        <v>1</v>
      </c>
      <c r="AJ254" s="31">
        <v>1</v>
      </c>
      <c r="AK254" s="19" t="s">
        <v>150</v>
      </c>
      <c r="AL254" s="136" t="s">
        <v>61</v>
      </c>
      <c r="AM254" s="136" t="s">
        <v>61</v>
      </c>
      <c r="AN254" s="136" t="s">
        <v>61</v>
      </c>
    </row>
    <row r="255" spans="2:40" x14ac:dyDescent="0.25">
      <c r="B255" s="142">
        <f t="shared" si="55"/>
        <v>196</v>
      </c>
      <c r="C255" s="16">
        <v>20200526</v>
      </c>
      <c r="D255" s="15" t="s">
        <v>2</v>
      </c>
      <c r="E255" s="80" t="s">
        <v>413</v>
      </c>
      <c r="F255" s="93" t="s">
        <v>61</v>
      </c>
      <c r="G255" s="80">
        <v>1473950</v>
      </c>
      <c r="H255" s="52" t="s">
        <v>61</v>
      </c>
      <c r="I255" s="80" t="s">
        <v>844</v>
      </c>
      <c r="J255" s="52" t="s">
        <v>61</v>
      </c>
      <c r="K255" s="15" t="s">
        <v>146</v>
      </c>
      <c r="L255" s="15" t="s">
        <v>150</v>
      </c>
      <c r="M255" s="80" t="s">
        <v>434</v>
      </c>
      <c r="N255" s="80" t="s">
        <v>610</v>
      </c>
      <c r="O255" s="17">
        <v>1.2</v>
      </c>
      <c r="P255" s="77" t="s">
        <v>305</v>
      </c>
      <c r="Q255" s="18"/>
      <c r="R255" s="52" t="s">
        <v>61</v>
      </c>
      <c r="S255" s="15" t="s">
        <v>70</v>
      </c>
      <c r="T255" s="15"/>
      <c r="U255" s="15"/>
      <c r="V255" s="80">
        <v>28</v>
      </c>
      <c r="W255" s="15">
        <f t="shared" si="53"/>
        <v>28</v>
      </c>
      <c r="X255" s="15">
        <f t="shared" si="54"/>
        <v>28</v>
      </c>
      <c r="Y255" s="15">
        <f>ROUNDDOWN(W255/HLOOKUP(D255,Table!$C$3:$D$4,2,0)*8,2)</f>
        <v>1.72</v>
      </c>
      <c r="Z255" s="15">
        <v>1</v>
      </c>
      <c r="AA255" s="15" t="s">
        <v>74</v>
      </c>
      <c r="AB255" s="19">
        <v>43978</v>
      </c>
      <c r="AC255" s="19">
        <v>43978</v>
      </c>
      <c r="AD255" s="19">
        <v>43979</v>
      </c>
      <c r="AE255" s="19">
        <v>43978</v>
      </c>
      <c r="AF255" s="19">
        <v>43978</v>
      </c>
      <c r="AG255" s="19" t="s">
        <v>176</v>
      </c>
      <c r="AH255" s="31">
        <v>1</v>
      </c>
      <c r="AI255" s="31">
        <v>1</v>
      </c>
      <c r="AJ255" s="31">
        <v>1</v>
      </c>
      <c r="AK255" s="19" t="s">
        <v>150</v>
      </c>
      <c r="AL255" s="136" t="s">
        <v>61</v>
      </c>
      <c r="AM255" s="136" t="s">
        <v>61</v>
      </c>
      <c r="AN255" s="136" t="s">
        <v>61</v>
      </c>
    </row>
    <row r="256" spans="2:40" x14ac:dyDescent="0.25">
      <c r="B256" s="148">
        <f t="shared" si="55"/>
        <v>197</v>
      </c>
      <c r="C256" s="16">
        <v>20200526</v>
      </c>
      <c r="D256" s="15" t="s">
        <v>3</v>
      </c>
      <c r="E256" s="15" t="s">
        <v>479</v>
      </c>
      <c r="F256" s="93" t="s">
        <v>668</v>
      </c>
      <c r="G256" s="17">
        <v>1484917</v>
      </c>
      <c r="H256" s="52" t="s">
        <v>61</v>
      </c>
      <c r="I256" s="15" t="s">
        <v>622</v>
      </c>
      <c r="J256" s="52" t="s">
        <v>61</v>
      </c>
      <c r="K256" s="15" t="s">
        <v>146</v>
      </c>
      <c r="L256" s="15" t="s">
        <v>150</v>
      </c>
      <c r="M256" s="15" t="s">
        <v>527</v>
      </c>
      <c r="N256" s="15" t="s">
        <v>528</v>
      </c>
      <c r="O256" s="17" t="s">
        <v>61</v>
      </c>
      <c r="P256" s="17" t="s">
        <v>529</v>
      </c>
      <c r="Q256" s="18"/>
      <c r="R256" s="52" t="s">
        <v>61</v>
      </c>
      <c r="S256" s="15" t="s">
        <v>142</v>
      </c>
      <c r="T256" s="15"/>
      <c r="U256" s="15"/>
      <c r="V256" s="15">
        <v>51</v>
      </c>
      <c r="W256" s="15">
        <f t="shared" si="53"/>
        <v>51</v>
      </c>
      <c r="X256" s="15">
        <f t="shared" ref="X256:X266" si="56">W256</f>
        <v>51</v>
      </c>
      <c r="Y256" s="15">
        <f>ROUNDDOWN(W256/HLOOKUP(D256,Table!$C$3:$D$4,2,0)*8,2)</f>
        <v>0.9</v>
      </c>
      <c r="Z256" s="15">
        <v>0.1</v>
      </c>
      <c r="AA256" s="15" t="s">
        <v>74</v>
      </c>
      <c r="AB256" s="19">
        <v>43983</v>
      </c>
      <c r="AC256" s="19">
        <v>43978</v>
      </c>
      <c r="AD256" s="19">
        <v>43984</v>
      </c>
      <c r="AE256" s="19">
        <v>43978</v>
      </c>
      <c r="AF256" s="19">
        <v>43978</v>
      </c>
      <c r="AG256" s="19" t="s">
        <v>176</v>
      </c>
      <c r="AH256" s="31">
        <v>1</v>
      </c>
      <c r="AI256" s="31">
        <v>1</v>
      </c>
      <c r="AJ256" s="31">
        <v>1</v>
      </c>
      <c r="AK256" s="19" t="s">
        <v>150</v>
      </c>
      <c r="AL256" s="136" t="s">
        <v>61</v>
      </c>
      <c r="AM256" s="136" t="s">
        <v>61</v>
      </c>
      <c r="AN256" s="136" t="s">
        <v>61</v>
      </c>
    </row>
    <row r="257" spans="2:40" x14ac:dyDescent="0.25">
      <c r="B257" s="148">
        <f t="shared" si="55"/>
        <v>198</v>
      </c>
      <c r="C257" s="16">
        <v>20200526</v>
      </c>
      <c r="D257" s="15" t="s">
        <v>3</v>
      </c>
      <c r="E257" s="15" t="s">
        <v>479</v>
      </c>
      <c r="F257" s="93" t="s">
        <v>669</v>
      </c>
      <c r="G257" s="17">
        <v>1484917</v>
      </c>
      <c r="H257" s="52" t="s">
        <v>61</v>
      </c>
      <c r="I257" s="15" t="s">
        <v>623</v>
      </c>
      <c r="J257" s="52" t="s">
        <v>61</v>
      </c>
      <c r="K257" s="15" t="s">
        <v>146</v>
      </c>
      <c r="L257" s="15" t="s">
        <v>150</v>
      </c>
      <c r="M257" s="15" t="s">
        <v>527</v>
      </c>
      <c r="N257" s="15" t="s">
        <v>528</v>
      </c>
      <c r="O257" s="17" t="s">
        <v>61</v>
      </c>
      <c r="P257" s="17" t="s">
        <v>529</v>
      </c>
      <c r="Q257" s="18"/>
      <c r="R257" s="52" t="s">
        <v>61</v>
      </c>
      <c r="S257" s="15" t="s">
        <v>142</v>
      </c>
      <c r="T257" s="15"/>
      <c r="U257" s="15"/>
      <c r="V257" s="15">
        <v>71</v>
      </c>
      <c r="W257" s="15">
        <f t="shared" si="53"/>
        <v>71</v>
      </c>
      <c r="X257" s="15">
        <f t="shared" si="56"/>
        <v>71</v>
      </c>
      <c r="Y257" s="15">
        <f>ROUNDDOWN(W257/HLOOKUP(D257,Table!$C$3:$D$4,2,0)*8,2)</f>
        <v>1.26</v>
      </c>
      <c r="Z257" s="15">
        <v>0.2</v>
      </c>
      <c r="AA257" s="15" t="s">
        <v>74</v>
      </c>
      <c r="AB257" s="19">
        <v>43983</v>
      </c>
      <c r="AC257" s="19">
        <v>43978</v>
      </c>
      <c r="AD257" s="19">
        <v>43984</v>
      </c>
      <c r="AE257" s="19">
        <v>43978</v>
      </c>
      <c r="AF257" s="19">
        <v>43978</v>
      </c>
      <c r="AG257" s="19" t="s">
        <v>176</v>
      </c>
      <c r="AH257" s="31">
        <v>1</v>
      </c>
      <c r="AI257" s="31">
        <v>1</v>
      </c>
      <c r="AJ257" s="31">
        <v>1</v>
      </c>
      <c r="AK257" s="19" t="s">
        <v>150</v>
      </c>
      <c r="AL257" s="136" t="s">
        <v>61</v>
      </c>
      <c r="AM257" s="136" t="s">
        <v>61</v>
      </c>
      <c r="AN257" s="136" t="s">
        <v>61</v>
      </c>
    </row>
    <row r="258" spans="2:40" x14ac:dyDescent="0.25">
      <c r="B258" s="148">
        <f t="shared" si="55"/>
        <v>199</v>
      </c>
      <c r="C258" s="16">
        <v>20200526</v>
      </c>
      <c r="D258" s="15" t="s">
        <v>3</v>
      </c>
      <c r="E258" s="15" t="s">
        <v>479</v>
      </c>
      <c r="F258" s="93" t="s">
        <v>670</v>
      </c>
      <c r="G258" s="17">
        <v>1484917</v>
      </c>
      <c r="H258" s="52" t="s">
        <v>61</v>
      </c>
      <c r="I258" s="15" t="s">
        <v>624</v>
      </c>
      <c r="J258" s="52" t="s">
        <v>61</v>
      </c>
      <c r="K258" s="15" t="s">
        <v>146</v>
      </c>
      <c r="L258" s="15" t="s">
        <v>150</v>
      </c>
      <c r="M258" s="15" t="s">
        <v>527</v>
      </c>
      <c r="N258" s="15" t="s">
        <v>528</v>
      </c>
      <c r="O258" s="17" t="s">
        <v>61</v>
      </c>
      <c r="P258" s="17" t="s">
        <v>529</v>
      </c>
      <c r="Q258" s="18"/>
      <c r="R258" s="52" t="s">
        <v>61</v>
      </c>
      <c r="S258" s="15" t="s">
        <v>142</v>
      </c>
      <c r="T258" s="15"/>
      <c r="U258" s="15"/>
      <c r="V258" s="15">
        <v>100</v>
      </c>
      <c r="W258" s="15">
        <f t="shared" si="53"/>
        <v>100</v>
      </c>
      <c r="X258" s="15">
        <f t="shared" si="56"/>
        <v>100</v>
      </c>
      <c r="Y258" s="15">
        <f>ROUNDDOWN(W258/HLOOKUP(D258,Table!$C$3:$D$4,2,0)*8,2)</f>
        <v>1.77</v>
      </c>
      <c r="Z258" s="15">
        <v>0.5</v>
      </c>
      <c r="AA258" s="15" t="s">
        <v>74</v>
      </c>
      <c r="AB258" s="19">
        <v>43983</v>
      </c>
      <c r="AC258" s="19">
        <v>43978</v>
      </c>
      <c r="AD258" s="19">
        <v>43984</v>
      </c>
      <c r="AE258" s="19">
        <v>43978</v>
      </c>
      <c r="AF258" s="19">
        <v>43978</v>
      </c>
      <c r="AG258" s="19" t="s">
        <v>176</v>
      </c>
      <c r="AH258" s="31">
        <v>1</v>
      </c>
      <c r="AI258" s="31">
        <v>1</v>
      </c>
      <c r="AJ258" s="31">
        <v>1</v>
      </c>
      <c r="AK258" s="19" t="s">
        <v>150</v>
      </c>
      <c r="AL258" s="17" t="s">
        <v>61</v>
      </c>
      <c r="AM258" s="17" t="s">
        <v>61</v>
      </c>
      <c r="AN258" s="136" t="s">
        <v>61</v>
      </c>
    </row>
    <row r="259" spans="2:40" x14ac:dyDescent="0.25">
      <c r="B259" s="148">
        <f t="shared" si="55"/>
        <v>200</v>
      </c>
      <c r="C259" s="16">
        <v>20200526</v>
      </c>
      <c r="D259" s="15" t="s">
        <v>3</v>
      </c>
      <c r="E259" s="15" t="s">
        <v>479</v>
      </c>
      <c r="F259" s="93" t="s">
        <v>671</v>
      </c>
      <c r="G259" s="17">
        <v>1484917</v>
      </c>
      <c r="H259" s="52"/>
      <c r="I259" s="15" t="s">
        <v>199</v>
      </c>
      <c r="J259" s="52"/>
      <c r="K259" s="15" t="s">
        <v>146</v>
      </c>
      <c r="L259" s="15" t="s">
        <v>150</v>
      </c>
      <c r="M259" s="15" t="s">
        <v>527</v>
      </c>
      <c r="N259" s="15" t="s">
        <v>528</v>
      </c>
      <c r="O259" s="17" t="s">
        <v>61</v>
      </c>
      <c r="P259" s="17" t="s">
        <v>529</v>
      </c>
      <c r="Q259" s="18"/>
      <c r="R259" s="52" t="s">
        <v>61</v>
      </c>
      <c r="S259" s="15" t="s">
        <v>142</v>
      </c>
      <c r="T259" s="15"/>
      <c r="U259" s="15"/>
      <c r="V259" s="15">
        <v>87</v>
      </c>
      <c r="W259" s="15">
        <f t="shared" si="53"/>
        <v>87</v>
      </c>
      <c r="X259" s="15">
        <f t="shared" si="56"/>
        <v>87</v>
      </c>
      <c r="Y259" s="15">
        <f>ROUNDDOWN(W259/HLOOKUP(D259,Table!$C$3:$D$4,2,0)*8,2)</f>
        <v>1.54</v>
      </c>
      <c r="Z259" s="15">
        <v>0.5</v>
      </c>
      <c r="AA259" s="15" t="s">
        <v>74</v>
      </c>
      <c r="AB259" s="19">
        <v>43983</v>
      </c>
      <c r="AC259" s="19">
        <v>43978</v>
      </c>
      <c r="AD259" s="19">
        <v>43984</v>
      </c>
      <c r="AE259" s="19">
        <v>43978</v>
      </c>
      <c r="AF259" s="19">
        <v>43978</v>
      </c>
      <c r="AG259" s="19" t="s">
        <v>176</v>
      </c>
      <c r="AH259" s="31">
        <v>1</v>
      </c>
      <c r="AI259" s="31">
        <v>1</v>
      </c>
      <c r="AJ259" s="31">
        <v>1</v>
      </c>
      <c r="AK259" s="19" t="s">
        <v>150</v>
      </c>
      <c r="AL259" s="17" t="s">
        <v>61</v>
      </c>
      <c r="AM259" s="17" t="s">
        <v>61</v>
      </c>
      <c r="AN259" s="136" t="s">
        <v>61</v>
      </c>
    </row>
    <row r="260" spans="2:40" x14ac:dyDescent="0.25">
      <c r="B260" s="148">
        <f t="shared" si="55"/>
        <v>201</v>
      </c>
      <c r="C260" s="16">
        <v>20200526</v>
      </c>
      <c r="D260" s="15" t="s">
        <v>3</v>
      </c>
      <c r="E260" s="15" t="s">
        <v>479</v>
      </c>
      <c r="F260" s="93" t="s">
        <v>672</v>
      </c>
      <c r="G260" s="17">
        <v>1484917</v>
      </c>
      <c r="H260" s="52"/>
      <c r="I260" s="15" t="s">
        <v>625</v>
      </c>
      <c r="J260" s="52"/>
      <c r="K260" s="15" t="s">
        <v>146</v>
      </c>
      <c r="L260" s="15" t="s">
        <v>150</v>
      </c>
      <c r="M260" s="15" t="s">
        <v>527</v>
      </c>
      <c r="N260" s="15" t="s">
        <v>528</v>
      </c>
      <c r="O260" s="17" t="s">
        <v>61</v>
      </c>
      <c r="P260" s="17" t="s">
        <v>529</v>
      </c>
      <c r="Q260" s="18"/>
      <c r="R260" s="52" t="s">
        <v>61</v>
      </c>
      <c r="S260" s="15" t="s">
        <v>142</v>
      </c>
      <c r="T260" s="15"/>
      <c r="U260" s="15"/>
      <c r="V260" s="15">
        <v>101</v>
      </c>
      <c r="W260" s="15">
        <f t="shared" si="53"/>
        <v>101</v>
      </c>
      <c r="X260" s="15">
        <f t="shared" si="56"/>
        <v>101</v>
      </c>
      <c r="Y260" s="15">
        <f>ROUNDDOWN(W260/HLOOKUP(D260,Table!$C$3:$D$4,2,0)*8,2)</f>
        <v>1.79</v>
      </c>
      <c r="Z260" s="15">
        <v>0.5</v>
      </c>
      <c r="AA260" s="15" t="s">
        <v>74</v>
      </c>
      <c r="AB260" s="19">
        <v>43983</v>
      </c>
      <c r="AC260" s="19">
        <v>43978</v>
      </c>
      <c r="AD260" s="19">
        <v>43984</v>
      </c>
      <c r="AE260" s="19">
        <v>43978</v>
      </c>
      <c r="AF260" s="19">
        <v>43978</v>
      </c>
      <c r="AG260" s="19" t="s">
        <v>176</v>
      </c>
      <c r="AH260" s="31">
        <v>1</v>
      </c>
      <c r="AI260" s="31">
        <v>1</v>
      </c>
      <c r="AJ260" s="31">
        <v>1</v>
      </c>
      <c r="AK260" s="19" t="s">
        <v>150</v>
      </c>
      <c r="AL260" s="17" t="s">
        <v>61</v>
      </c>
      <c r="AM260" s="17" t="s">
        <v>61</v>
      </c>
      <c r="AN260" s="136" t="s">
        <v>61</v>
      </c>
    </row>
    <row r="261" spans="2:40" x14ac:dyDescent="0.25">
      <c r="B261" s="148">
        <f t="shared" si="55"/>
        <v>202</v>
      </c>
      <c r="C261" s="16">
        <v>20200526</v>
      </c>
      <c r="D261" s="15" t="s">
        <v>3</v>
      </c>
      <c r="E261" s="15" t="s">
        <v>479</v>
      </c>
      <c r="F261" s="93" t="s">
        <v>673</v>
      </c>
      <c r="G261" s="17">
        <v>1484917</v>
      </c>
      <c r="H261" s="52"/>
      <c r="I261" s="15" t="s">
        <v>626</v>
      </c>
      <c r="J261" s="52"/>
      <c r="K261" s="15" t="s">
        <v>146</v>
      </c>
      <c r="L261" s="15" t="s">
        <v>150</v>
      </c>
      <c r="M261" s="15" t="s">
        <v>527</v>
      </c>
      <c r="N261" s="15" t="s">
        <v>528</v>
      </c>
      <c r="O261" s="17" t="s">
        <v>61</v>
      </c>
      <c r="P261" s="17" t="s">
        <v>529</v>
      </c>
      <c r="Q261" s="18"/>
      <c r="R261" s="52" t="s">
        <v>61</v>
      </c>
      <c r="S261" s="15" t="s">
        <v>142</v>
      </c>
      <c r="T261" s="15"/>
      <c r="U261" s="15"/>
      <c r="V261" s="15">
        <v>4</v>
      </c>
      <c r="W261" s="15">
        <v>0</v>
      </c>
      <c r="X261" s="15">
        <f>W261</f>
        <v>0</v>
      </c>
      <c r="Y261" s="15">
        <f>ROUNDDOWN(W261/HLOOKUP(D261,Table!$C$3:$D$4,2,0)*8,2)</f>
        <v>0</v>
      </c>
      <c r="Z261" s="15">
        <v>0.01</v>
      </c>
      <c r="AA261" s="15" t="s">
        <v>74</v>
      </c>
      <c r="AB261" s="19">
        <v>43983</v>
      </c>
      <c r="AC261" s="19">
        <v>43978</v>
      </c>
      <c r="AD261" s="19">
        <v>43984</v>
      </c>
      <c r="AE261" s="19">
        <v>43978</v>
      </c>
      <c r="AF261" s="19">
        <v>43978</v>
      </c>
      <c r="AG261" s="19" t="s">
        <v>176</v>
      </c>
      <c r="AH261" s="79" t="s">
        <v>61</v>
      </c>
      <c r="AI261" s="79" t="s">
        <v>61</v>
      </c>
      <c r="AJ261" s="79" t="s">
        <v>61</v>
      </c>
      <c r="AK261" s="19" t="s">
        <v>150</v>
      </c>
      <c r="AL261" s="17" t="s">
        <v>61</v>
      </c>
      <c r="AM261" s="17" t="s">
        <v>61</v>
      </c>
      <c r="AN261" s="159" t="s">
        <v>194</v>
      </c>
    </row>
    <row r="262" spans="2:40" x14ac:dyDescent="0.25">
      <c r="B262" s="148">
        <f t="shared" si="55"/>
        <v>203</v>
      </c>
      <c r="C262" s="16">
        <v>20200526</v>
      </c>
      <c r="D262" s="15" t="s">
        <v>3</v>
      </c>
      <c r="E262" s="15" t="s">
        <v>479</v>
      </c>
      <c r="F262" s="93" t="s">
        <v>674</v>
      </c>
      <c r="G262" s="17">
        <v>1484917</v>
      </c>
      <c r="H262" s="52"/>
      <c r="I262" s="15" t="s">
        <v>1024</v>
      </c>
      <c r="J262" s="52"/>
      <c r="K262" s="15" t="s">
        <v>146</v>
      </c>
      <c r="L262" s="15" t="s">
        <v>150</v>
      </c>
      <c r="M262" s="15" t="s">
        <v>527</v>
      </c>
      <c r="N262" s="15" t="s">
        <v>528</v>
      </c>
      <c r="O262" s="17" t="s">
        <v>61</v>
      </c>
      <c r="P262" s="17" t="s">
        <v>529</v>
      </c>
      <c r="Q262" s="18"/>
      <c r="R262" s="52" t="s">
        <v>61</v>
      </c>
      <c r="S262" s="15" t="s">
        <v>142</v>
      </c>
      <c r="T262" s="15"/>
      <c r="U262" s="15"/>
      <c r="V262" s="15">
        <v>131</v>
      </c>
      <c r="W262" s="15">
        <f t="shared" si="53"/>
        <v>131</v>
      </c>
      <c r="X262" s="15">
        <f t="shared" si="56"/>
        <v>131</v>
      </c>
      <c r="Y262" s="15">
        <f>ROUNDDOWN(W262/HLOOKUP(D262,Table!$C$3:$D$4,2,0)*8,2)</f>
        <v>2.3199999999999998</v>
      </c>
      <c r="Z262" s="15">
        <v>0.5</v>
      </c>
      <c r="AA262" s="15" t="s">
        <v>74</v>
      </c>
      <c r="AB262" s="19">
        <v>43983</v>
      </c>
      <c r="AC262" s="19">
        <v>43978</v>
      </c>
      <c r="AD262" s="19">
        <v>43984</v>
      </c>
      <c r="AE262" s="19">
        <v>43978</v>
      </c>
      <c r="AF262" s="19">
        <v>43978</v>
      </c>
      <c r="AG262" s="19" t="s">
        <v>176</v>
      </c>
      <c r="AH262" s="31">
        <v>1</v>
      </c>
      <c r="AI262" s="31">
        <v>1</v>
      </c>
      <c r="AJ262" s="31">
        <v>1</v>
      </c>
      <c r="AK262" s="19" t="s">
        <v>150</v>
      </c>
      <c r="AL262" s="17" t="s">
        <v>61</v>
      </c>
      <c r="AM262" s="17" t="s">
        <v>61</v>
      </c>
      <c r="AN262" s="136" t="s">
        <v>61</v>
      </c>
    </row>
    <row r="263" spans="2:40" x14ac:dyDescent="0.25">
      <c r="B263" s="148">
        <f t="shared" si="55"/>
        <v>204</v>
      </c>
      <c r="C263" s="16">
        <v>20200526</v>
      </c>
      <c r="D263" s="15" t="s">
        <v>3</v>
      </c>
      <c r="E263" s="15" t="s">
        <v>479</v>
      </c>
      <c r="F263" s="93" t="s">
        <v>675</v>
      </c>
      <c r="G263" s="17">
        <v>1484917</v>
      </c>
      <c r="H263" s="52"/>
      <c r="I263" s="15" t="s">
        <v>1025</v>
      </c>
      <c r="J263" s="52"/>
      <c r="K263" s="15" t="s">
        <v>146</v>
      </c>
      <c r="L263" s="15" t="s">
        <v>150</v>
      </c>
      <c r="M263" s="15" t="s">
        <v>527</v>
      </c>
      <c r="N263" s="15" t="s">
        <v>528</v>
      </c>
      <c r="O263" s="17" t="s">
        <v>61</v>
      </c>
      <c r="P263" s="17" t="s">
        <v>529</v>
      </c>
      <c r="Q263" s="18"/>
      <c r="R263" s="52" t="s">
        <v>61</v>
      </c>
      <c r="S263" s="15" t="s">
        <v>142</v>
      </c>
      <c r="T263" s="15"/>
      <c r="U263" s="15"/>
      <c r="V263" s="15">
        <v>178</v>
      </c>
      <c r="W263" s="15">
        <f t="shared" si="53"/>
        <v>178</v>
      </c>
      <c r="X263" s="15">
        <f t="shared" si="56"/>
        <v>178</v>
      </c>
      <c r="Y263" s="15">
        <f>ROUNDDOWN(W263/HLOOKUP(D263,Table!$C$3:$D$4,2,0)*8,2)</f>
        <v>3.16</v>
      </c>
      <c r="Z263" s="15">
        <v>0.5</v>
      </c>
      <c r="AA263" s="15" t="s">
        <v>74</v>
      </c>
      <c r="AB263" s="19">
        <v>43983</v>
      </c>
      <c r="AC263" s="19">
        <v>43978</v>
      </c>
      <c r="AD263" s="19">
        <v>43984</v>
      </c>
      <c r="AE263" s="19">
        <v>43978</v>
      </c>
      <c r="AF263" s="19">
        <v>43978</v>
      </c>
      <c r="AG263" s="19" t="s">
        <v>176</v>
      </c>
      <c r="AH263" s="31">
        <v>1</v>
      </c>
      <c r="AI263" s="31">
        <v>1</v>
      </c>
      <c r="AJ263" s="31">
        <v>1</v>
      </c>
      <c r="AK263" s="19" t="s">
        <v>150</v>
      </c>
      <c r="AL263" s="17" t="s">
        <v>61</v>
      </c>
      <c r="AM263" s="17" t="s">
        <v>61</v>
      </c>
      <c r="AN263" s="136" t="s">
        <v>61</v>
      </c>
    </row>
    <row r="264" spans="2:40" x14ac:dyDescent="0.25">
      <c r="B264" s="148">
        <f t="shared" si="55"/>
        <v>205</v>
      </c>
      <c r="C264" s="16">
        <v>20200526</v>
      </c>
      <c r="D264" s="15" t="s">
        <v>3</v>
      </c>
      <c r="E264" s="15" t="s">
        <v>479</v>
      </c>
      <c r="F264" s="93" t="s">
        <v>676</v>
      </c>
      <c r="G264" s="17">
        <v>1484917</v>
      </c>
      <c r="H264" s="52"/>
      <c r="I264" s="15" t="s">
        <v>1026</v>
      </c>
      <c r="J264" s="52"/>
      <c r="K264" s="15" t="s">
        <v>146</v>
      </c>
      <c r="L264" s="15" t="s">
        <v>150</v>
      </c>
      <c r="M264" s="15" t="s">
        <v>527</v>
      </c>
      <c r="N264" s="15" t="s">
        <v>528</v>
      </c>
      <c r="O264" s="17" t="s">
        <v>61</v>
      </c>
      <c r="P264" s="17" t="s">
        <v>529</v>
      </c>
      <c r="Q264" s="18"/>
      <c r="R264" s="52" t="s">
        <v>61</v>
      </c>
      <c r="S264" s="15" t="s">
        <v>142</v>
      </c>
      <c r="T264" s="15"/>
      <c r="U264" s="15"/>
      <c r="V264" s="15">
        <v>393</v>
      </c>
      <c r="W264" s="15">
        <v>0</v>
      </c>
      <c r="X264" s="15">
        <f>W264</f>
        <v>0</v>
      </c>
      <c r="Y264" s="15">
        <f>ROUNDDOWN(W264/HLOOKUP(D264,Table!$C$3:$D$4,2,0)*8,2)</f>
        <v>0</v>
      </c>
      <c r="Z264" s="15">
        <v>0.2</v>
      </c>
      <c r="AA264" s="15" t="s">
        <v>74</v>
      </c>
      <c r="AB264" s="19">
        <v>43983</v>
      </c>
      <c r="AC264" s="19">
        <v>43978</v>
      </c>
      <c r="AD264" s="19">
        <v>43984</v>
      </c>
      <c r="AE264" s="19">
        <v>43978</v>
      </c>
      <c r="AF264" s="19">
        <v>43978</v>
      </c>
      <c r="AG264" s="19" t="s">
        <v>176</v>
      </c>
      <c r="AH264" s="79" t="s">
        <v>61</v>
      </c>
      <c r="AI264" s="79" t="s">
        <v>61</v>
      </c>
      <c r="AJ264" s="79" t="s">
        <v>61</v>
      </c>
      <c r="AK264" s="19" t="s">
        <v>150</v>
      </c>
      <c r="AL264" s="17" t="s">
        <v>61</v>
      </c>
      <c r="AM264" s="17" t="s">
        <v>61</v>
      </c>
      <c r="AN264" s="159" t="s">
        <v>194</v>
      </c>
    </row>
    <row r="265" spans="2:40" x14ac:dyDescent="0.25">
      <c r="B265" s="148">
        <f t="shared" si="55"/>
        <v>206</v>
      </c>
      <c r="C265" s="16">
        <v>20200526</v>
      </c>
      <c r="D265" s="15" t="s">
        <v>3</v>
      </c>
      <c r="E265" s="15" t="s">
        <v>479</v>
      </c>
      <c r="F265" s="93" t="s">
        <v>677</v>
      </c>
      <c r="G265" s="17">
        <v>1484917</v>
      </c>
      <c r="H265" s="52"/>
      <c r="I265" s="15" t="s">
        <v>1027</v>
      </c>
      <c r="J265" s="52"/>
      <c r="K265" s="15" t="s">
        <v>146</v>
      </c>
      <c r="L265" s="15" t="s">
        <v>150</v>
      </c>
      <c r="M265" s="15" t="s">
        <v>527</v>
      </c>
      <c r="N265" s="15" t="s">
        <v>528</v>
      </c>
      <c r="O265" s="17" t="s">
        <v>61</v>
      </c>
      <c r="P265" s="17" t="s">
        <v>529</v>
      </c>
      <c r="Q265" s="18"/>
      <c r="R265" s="52" t="s">
        <v>61</v>
      </c>
      <c r="S265" s="15" t="s">
        <v>142</v>
      </c>
      <c r="T265" s="15"/>
      <c r="U265" s="15"/>
      <c r="V265" s="15">
        <v>52</v>
      </c>
      <c r="W265" s="15">
        <f t="shared" si="53"/>
        <v>52</v>
      </c>
      <c r="X265" s="15">
        <f t="shared" si="56"/>
        <v>52</v>
      </c>
      <c r="Y265" s="15">
        <f>ROUNDDOWN(W265/HLOOKUP(D265,Table!$C$3:$D$4,2,0)*8,2)</f>
        <v>0.92</v>
      </c>
      <c r="Z265" s="15">
        <v>0.2</v>
      </c>
      <c r="AA265" s="15" t="s">
        <v>74</v>
      </c>
      <c r="AB265" s="19">
        <v>43983</v>
      </c>
      <c r="AC265" s="19">
        <v>43978</v>
      </c>
      <c r="AD265" s="19">
        <v>43984</v>
      </c>
      <c r="AE265" s="19">
        <v>43978</v>
      </c>
      <c r="AF265" s="19">
        <v>43978</v>
      </c>
      <c r="AG265" s="19" t="s">
        <v>176</v>
      </c>
      <c r="AH265" s="31">
        <v>1</v>
      </c>
      <c r="AI265" s="31">
        <v>1</v>
      </c>
      <c r="AJ265" s="31">
        <v>1</v>
      </c>
      <c r="AK265" s="19" t="s">
        <v>150</v>
      </c>
      <c r="AL265" s="17" t="s">
        <v>61</v>
      </c>
      <c r="AM265" s="17" t="s">
        <v>61</v>
      </c>
      <c r="AN265" s="136" t="s">
        <v>61</v>
      </c>
    </row>
    <row r="266" spans="2:40" x14ac:dyDescent="0.25">
      <c r="B266" s="148">
        <f t="shared" si="55"/>
        <v>207</v>
      </c>
      <c r="C266" s="16">
        <v>20200526</v>
      </c>
      <c r="D266" s="15" t="s">
        <v>3</v>
      </c>
      <c r="E266" s="15" t="s">
        <v>479</v>
      </c>
      <c r="F266" s="93" t="s">
        <v>678</v>
      </c>
      <c r="G266" s="17">
        <v>1484917</v>
      </c>
      <c r="H266" s="52"/>
      <c r="I266" s="15" t="s">
        <v>627</v>
      </c>
      <c r="J266" s="52"/>
      <c r="K266" s="15" t="s">
        <v>146</v>
      </c>
      <c r="L266" s="15" t="s">
        <v>150</v>
      </c>
      <c r="M266" s="15" t="s">
        <v>527</v>
      </c>
      <c r="N266" s="15" t="s">
        <v>528</v>
      </c>
      <c r="O266" s="17" t="s">
        <v>61</v>
      </c>
      <c r="P266" s="17" t="s">
        <v>529</v>
      </c>
      <c r="Q266" s="18"/>
      <c r="R266" s="52" t="s">
        <v>61</v>
      </c>
      <c r="S266" s="15" t="s">
        <v>142</v>
      </c>
      <c r="T266" s="15"/>
      <c r="U266" s="15"/>
      <c r="V266" s="15">
        <v>975</v>
      </c>
      <c r="W266" s="15">
        <v>0</v>
      </c>
      <c r="X266" s="15">
        <f>W266</f>
        <v>0</v>
      </c>
      <c r="Y266" s="15">
        <f>ROUNDDOWN(W266/HLOOKUP(D266,Table!$C$3:$D$4,2,0)*8,2)</f>
        <v>0</v>
      </c>
      <c r="Z266" s="15">
        <v>0.1</v>
      </c>
      <c r="AA266" s="15" t="s">
        <v>74</v>
      </c>
      <c r="AB266" s="19">
        <v>43983</v>
      </c>
      <c r="AC266" s="19">
        <v>43978</v>
      </c>
      <c r="AD266" s="19">
        <v>43984</v>
      </c>
      <c r="AE266" s="85">
        <v>43978</v>
      </c>
      <c r="AF266" s="85">
        <v>43978</v>
      </c>
      <c r="AG266" s="149" t="s">
        <v>176</v>
      </c>
      <c r="AH266" s="156" t="s">
        <v>61</v>
      </c>
      <c r="AI266" s="156" t="s">
        <v>61</v>
      </c>
      <c r="AJ266" s="156" t="s">
        <v>61</v>
      </c>
      <c r="AK266" s="85" t="s">
        <v>150</v>
      </c>
      <c r="AL266" s="77" t="s">
        <v>61</v>
      </c>
      <c r="AM266" s="77" t="s">
        <v>61</v>
      </c>
      <c r="AN266" s="159" t="s">
        <v>194</v>
      </c>
    </row>
    <row r="267" spans="2:40" x14ac:dyDescent="0.25">
      <c r="B267" s="148">
        <f t="shared" si="55"/>
        <v>208</v>
      </c>
      <c r="C267" s="16">
        <v>20200526</v>
      </c>
      <c r="D267" s="15" t="s">
        <v>3</v>
      </c>
      <c r="E267" s="15" t="s">
        <v>479</v>
      </c>
      <c r="F267" s="93" t="s">
        <v>679</v>
      </c>
      <c r="G267" s="17">
        <v>1484917</v>
      </c>
      <c r="H267" s="52"/>
      <c r="I267" s="15" t="s">
        <v>253</v>
      </c>
      <c r="J267" s="52"/>
      <c r="K267" s="15" t="s">
        <v>146</v>
      </c>
      <c r="L267" s="15" t="s">
        <v>150</v>
      </c>
      <c r="M267" s="15" t="s">
        <v>527</v>
      </c>
      <c r="N267" s="15" t="s">
        <v>528</v>
      </c>
      <c r="O267" s="17" t="s">
        <v>61</v>
      </c>
      <c r="P267" s="17" t="s">
        <v>529</v>
      </c>
      <c r="Q267" s="18"/>
      <c r="R267" s="52" t="s">
        <v>61</v>
      </c>
      <c r="S267" s="15" t="s">
        <v>65</v>
      </c>
      <c r="T267" s="15"/>
      <c r="U267" s="15"/>
      <c r="V267" s="15">
        <v>165</v>
      </c>
      <c r="W267" s="15">
        <f t="shared" si="53"/>
        <v>165</v>
      </c>
      <c r="X267" s="15">
        <f t="shared" ref="X267:X281" si="57">W267</f>
        <v>165</v>
      </c>
      <c r="Y267" s="15">
        <f>ROUNDDOWN(W267/HLOOKUP(D267,Table!$C$3:$D$4,2,0)*8,2)</f>
        <v>2.93</v>
      </c>
      <c r="Z267" s="15">
        <v>1</v>
      </c>
      <c r="AA267" s="15" t="s">
        <v>74</v>
      </c>
      <c r="AB267" s="19">
        <v>43983</v>
      </c>
      <c r="AC267" s="19">
        <v>43978</v>
      </c>
      <c r="AD267" s="19">
        <v>43984</v>
      </c>
      <c r="AE267" s="19">
        <v>43978</v>
      </c>
      <c r="AF267" s="19">
        <v>43978</v>
      </c>
      <c r="AG267" s="19" t="s">
        <v>176</v>
      </c>
      <c r="AH267" s="31">
        <v>1</v>
      </c>
      <c r="AI267" s="31">
        <v>1</v>
      </c>
      <c r="AJ267" s="31">
        <v>1</v>
      </c>
      <c r="AK267" s="19" t="s">
        <v>150</v>
      </c>
      <c r="AL267" s="15"/>
      <c r="AM267" s="15"/>
      <c r="AN267" s="15"/>
    </row>
    <row r="268" spans="2:40" x14ac:dyDescent="0.25">
      <c r="B268" s="148">
        <f t="shared" si="55"/>
        <v>209</v>
      </c>
      <c r="C268" s="16">
        <v>20200526</v>
      </c>
      <c r="D268" s="15" t="s">
        <v>3</v>
      </c>
      <c r="E268" s="15" t="s">
        <v>479</v>
      </c>
      <c r="F268" s="93" t="s">
        <v>680</v>
      </c>
      <c r="G268" s="17">
        <v>1484917</v>
      </c>
      <c r="H268" s="52"/>
      <c r="I268" s="15" t="s">
        <v>628</v>
      </c>
      <c r="J268" s="52"/>
      <c r="K268" s="15" t="s">
        <v>146</v>
      </c>
      <c r="L268" s="15" t="s">
        <v>150</v>
      </c>
      <c r="M268" s="15" t="s">
        <v>527</v>
      </c>
      <c r="N268" s="15" t="s">
        <v>528</v>
      </c>
      <c r="O268" s="17" t="s">
        <v>61</v>
      </c>
      <c r="P268" s="17" t="s">
        <v>529</v>
      </c>
      <c r="Q268" s="18"/>
      <c r="R268" s="52" t="s">
        <v>61</v>
      </c>
      <c r="S268" s="15" t="s">
        <v>65</v>
      </c>
      <c r="T268" s="15"/>
      <c r="U268" s="15"/>
      <c r="V268" s="15">
        <v>12</v>
      </c>
      <c r="W268" s="15">
        <f t="shared" si="53"/>
        <v>12</v>
      </c>
      <c r="X268" s="15">
        <f t="shared" si="57"/>
        <v>12</v>
      </c>
      <c r="Y268" s="15">
        <f>ROUNDDOWN(W268/HLOOKUP(D268,Table!$C$3:$D$4,2,0)*8,2)</f>
        <v>0.21</v>
      </c>
      <c r="Z268" s="15">
        <v>0</v>
      </c>
      <c r="AA268" s="15" t="s">
        <v>74</v>
      </c>
      <c r="AB268" s="19">
        <v>43983</v>
      </c>
      <c r="AC268" s="19">
        <v>43978</v>
      </c>
      <c r="AD268" s="19">
        <v>43984</v>
      </c>
      <c r="AE268" s="19">
        <v>43978</v>
      </c>
      <c r="AF268" s="19">
        <v>43978</v>
      </c>
      <c r="AG268" s="19" t="s">
        <v>176</v>
      </c>
      <c r="AH268" s="31">
        <v>1</v>
      </c>
      <c r="AI268" s="31">
        <v>1</v>
      </c>
      <c r="AJ268" s="31">
        <v>1</v>
      </c>
      <c r="AK268" s="19" t="s">
        <v>150</v>
      </c>
      <c r="AL268" s="15"/>
      <c r="AM268" s="15"/>
      <c r="AN268" s="15"/>
    </row>
    <row r="269" spans="2:40" x14ac:dyDescent="0.25">
      <c r="B269" s="148">
        <f t="shared" si="55"/>
        <v>210</v>
      </c>
      <c r="C269" s="16">
        <v>20200526</v>
      </c>
      <c r="D269" s="15" t="s">
        <v>3</v>
      </c>
      <c r="E269" s="15" t="s">
        <v>479</v>
      </c>
      <c r="F269" s="93" t="s">
        <v>681</v>
      </c>
      <c r="G269" s="17">
        <v>1484917</v>
      </c>
      <c r="H269" s="52"/>
      <c r="I269" s="15" t="s">
        <v>629</v>
      </c>
      <c r="J269" s="52"/>
      <c r="K269" s="15" t="s">
        <v>146</v>
      </c>
      <c r="L269" s="15" t="s">
        <v>150</v>
      </c>
      <c r="M269" s="15" t="s">
        <v>527</v>
      </c>
      <c r="N269" s="15" t="s">
        <v>528</v>
      </c>
      <c r="O269" s="17" t="s">
        <v>61</v>
      </c>
      <c r="P269" s="17" t="s">
        <v>529</v>
      </c>
      <c r="Q269" s="18"/>
      <c r="R269" s="52" t="s">
        <v>61</v>
      </c>
      <c r="S269" s="15" t="s">
        <v>65</v>
      </c>
      <c r="T269" s="15"/>
      <c r="U269" s="15"/>
      <c r="V269" s="15">
        <v>144</v>
      </c>
      <c r="W269" s="15">
        <f t="shared" si="53"/>
        <v>144</v>
      </c>
      <c r="X269" s="15">
        <f t="shared" si="57"/>
        <v>144</v>
      </c>
      <c r="Y269" s="15">
        <f>ROUNDDOWN(W269/HLOOKUP(D269,Table!$C$3:$D$4,2,0)*8,2)</f>
        <v>2.56</v>
      </c>
      <c r="Z269" s="15">
        <v>1</v>
      </c>
      <c r="AA269" s="15" t="s">
        <v>74</v>
      </c>
      <c r="AB269" s="19">
        <v>43983</v>
      </c>
      <c r="AC269" s="19">
        <v>43978</v>
      </c>
      <c r="AD269" s="19">
        <v>43984</v>
      </c>
      <c r="AE269" s="19">
        <v>43978</v>
      </c>
      <c r="AF269" s="19">
        <v>43978</v>
      </c>
      <c r="AG269" s="19" t="s">
        <v>176</v>
      </c>
      <c r="AH269" s="31">
        <v>1</v>
      </c>
      <c r="AI269" s="31">
        <v>1</v>
      </c>
      <c r="AJ269" s="31">
        <v>1</v>
      </c>
      <c r="AK269" s="19" t="s">
        <v>150</v>
      </c>
      <c r="AL269" s="15"/>
      <c r="AM269" s="15"/>
      <c r="AN269" s="15"/>
    </row>
    <row r="270" spans="2:40" x14ac:dyDescent="0.25">
      <c r="B270" s="148">
        <f t="shared" si="55"/>
        <v>211</v>
      </c>
      <c r="C270" s="16">
        <v>20200526</v>
      </c>
      <c r="D270" s="15" t="s">
        <v>3</v>
      </c>
      <c r="E270" s="15" t="s">
        <v>479</v>
      </c>
      <c r="F270" s="93" t="s">
        <v>682</v>
      </c>
      <c r="G270" s="17">
        <v>1484917</v>
      </c>
      <c r="H270" s="52"/>
      <c r="I270" s="15" t="s">
        <v>159</v>
      </c>
      <c r="J270" s="52"/>
      <c r="K270" s="15" t="s">
        <v>146</v>
      </c>
      <c r="L270" s="15" t="s">
        <v>150</v>
      </c>
      <c r="M270" s="15" t="s">
        <v>527</v>
      </c>
      <c r="N270" s="15" t="s">
        <v>528</v>
      </c>
      <c r="O270" s="17" t="s">
        <v>61</v>
      </c>
      <c r="P270" s="17" t="s">
        <v>529</v>
      </c>
      <c r="Q270" s="18"/>
      <c r="R270" s="52" t="s">
        <v>61</v>
      </c>
      <c r="S270" s="15" t="s">
        <v>65</v>
      </c>
      <c r="T270" s="15"/>
      <c r="U270" s="15"/>
      <c r="V270" s="15">
        <v>65</v>
      </c>
      <c r="W270" s="15">
        <f t="shared" si="53"/>
        <v>65</v>
      </c>
      <c r="X270" s="15">
        <f t="shared" si="57"/>
        <v>65</v>
      </c>
      <c r="Y270" s="15">
        <f>ROUNDDOWN(W270/HLOOKUP(D270,Table!$C$3:$D$4,2,0)*8,2)</f>
        <v>1.1499999999999999</v>
      </c>
      <c r="Z270" s="15">
        <v>1</v>
      </c>
      <c r="AA270" s="15" t="s">
        <v>74</v>
      </c>
      <c r="AB270" s="19">
        <v>43983</v>
      </c>
      <c r="AC270" s="19">
        <v>43978</v>
      </c>
      <c r="AD270" s="19">
        <v>43984</v>
      </c>
      <c r="AE270" s="19">
        <v>43978</v>
      </c>
      <c r="AF270" s="19">
        <v>43978</v>
      </c>
      <c r="AG270" s="19" t="s">
        <v>176</v>
      </c>
      <c r="AH270" s="31">
        <v>1</v>
      </c>
      <c r="AI270" s="31">
        <v>1</v>
      </c>
      <c r="AJ270" s="31">
        <v>1</v>
      </c>
      <c r="AK270" s="19" t="s">
        <v>150</v>
      </c>
      <c r="AL270" s="15"/>
      <c r="AM270" s="15"/>
      <c r="AN270" s="15"/>
    </row>
    <row r="271" spans="2:40" x14ac:dyDescent="0.25">
      <c r="B271" s="148">
        <f t="shared" si="55"/>
        <v>212</v>
      </c>
      <c r="C271" s="16">
        <v>20200526</v>
      </c>
      <c r="D271" s="15" t="s">
        <v>3</v>
      </c>
      <c r="E271" s="15" t="s">
        <v>479</v>
      </c>
      <c r="F271" s="93" t="s">
        <v>683</v>
      </c>
      <c r="G271" s="17">
        <v>1484917</v>
      </c>
      <c r="H271" s="52"/>
      <c r="I271" s="15" t="s">
        <v>153</v>
      </c>
      <c r="J271" s="52"/>
      <c r="K271" s="15" t="s">
        <v>146</v>
      </c>
      <c r="L271" s="15" t="s">
        <v>150</v>
      </c>
      <c r="M271" s="15" t="s">
        <v>527</v>
      </c>
      <c r="N271" s="15" t="s">
        <v>528</v>
      </c>
      <c r="O271" s="17" t="s">
        <v>61</v>
      </c>
      <c r="P271" s="17" t="s">
        <v>529</v>
      </c>
      <c r="Q271" s="18"/>
      <c r="R271" s="52" t="s">
        <v>61</v>
      </c>
      <c r="S271" s="15" t="s">
        <v>65</v>
      </c>
      <c r="T271" s="15"/>
      <c r="U271" s="15"/>
      <c r="V271" s="15">
        <v>175</v>
      </c>
      <c r="W271" s="15">
        <f t="shared" si="53"/>
        <v>175</v>
      </c>
      <c r="X271" s="15">
        <f t="shared" si="57"/>
        <v>175</v>
      </c>
      <c r="Y271" s="15">
        <f>ROUNDDOWN(W271/HLOOKUP(D271,Table!$C$3:$D$4,2,0)*8,2)</f>
        <v>3.11</v>
      </c>
      <c r="Z271" s="15">
        <v>1</v>
      </c>
      <c r="AA271" s="15" t="s">
        <v>74</v>
      </c>
      <c r="AB271" s="19">
        <v>43983</v>
      </c>
      <c r="AC271" s="19">
        <v>43978</v>
      </c>
      <c r="AD271" s="19">
        <v>43984</v>
      </c>
      <c r="AE271" s="19">
        <v>43978</v>
      </c>
      <c r="AF271" s="19">
        <v>43978</v>
      </c>
      <c r="AG271" s="19" t="s">
        <v>176</v>
      </c>
      <c r="AH271" s="31">
        <v>1</v>
      </c>
      <c r="AI271" s="31">
        <v>1</v>
      </c>
      <c r="AJ271" s="31">
        <v>1</v>
      </c>
      <c r="AK271" s="19" t="s">
        <v>150</v>
      </c>
      <c r="AL271" s="15"/>
      <c r="AM271" s="15"/>
      <c r="AN271" s="15"/>
    </row>
    <row r="272" spans="2:40" x14ac:dyDescent="0.25">
      <c r="B272" s="148">
        <f t="shared" si="55"/>
        <v>213</v>
      </c>
      <c r="C272" s="16">
        <v>20200526</v>
      </c>
      <c r="D272" s="15" t="s">
        <v>3</v>
      </c>
      <c r="E272" s="15" t="s">
        <v>479</v>
      </c>
      <c r="F272" s="93" t="s">
        <v>684</v>
      </c>
      <c r="G272" s="17">
        <v>1484917</v>
      </c>
      <c r="H272" s="52"/>
      <c r="I272" s="15" t="s">
        <v>630</v>
      </c>
      <c r="J272" s="52"/>
      <c r="K272" s="15" t="s">
        <v>146</v>
      </c>
      <c r="L272" s="15" t="s">
        <v>150</v>
      </c>
      <c r="M272" s="15" t="s">
        <v>527</v>
      </c>
      <c r="N272" s="15" t="s">
        <v>528</v>
      </c>
      <c r="O272" s="17" t="s">
        <v>61</v>
      </c>
      <c r="P272" s="17" t="s">
        <v>529</v>
      </c>
      <c r="Q272" s="18"/>
      <c r="R272" s="52" t="s">
        <v>61</v>
      </c>
      <c r="S272" s="15" t="s">
        <v>65</v>
      </c>
      <c r="T272" s="15"/>
      <c r="U272" s="15"/>
      <c r="V272" s="15">
        <v>6</v>
      </c>
      <c r="W272" s="15">
        <v>0</v>
      </c>
      <c r="X272" s="15">
        <f>W272</f>
        <v>0</v>
      </c>
      <c r="Y272" s="15">
        <f>ROUNDDOWN(W272/HLOOKUP(D272,Table!$C$3:$D$4,2,0)*8,2)</f>
        <v>0</v>
      </c>
      <c r="Z272" s="15">
        <v>0</v>
      </c>
      <c r="AA272" s="15" t="s">
        <v>74</v>
      </c>
      <c r="AB272" s="19">
        <v>43983</v>
      </c>
      <c r="AC272" s="19">
        <v>43978</v>
      </c>
      <c r="AD272" s="19">
        <v>43984</v>
      </c>
      <c r="AE272" s="19">
        <v>43978</v>
      </c>
      <c r="AF272" s="19">
        <v>43978</v>
      </c>
      <c r="AG272" s="19" t="s">
        <v>176</v>
      </c>
      <c r="AH272" s="31" t="s">
        <v>61</v>
      </c>
      <c r="AI272" s="31" t="s">
        <v>61</v>
      </c>
      <c r="AJ272" s="31" t="s">
        <v>61</v>
      </c>
      <c r="AK272" s="31" t="s">
        <v>61</v>
      </c>
      <c r="AL272" s="15"/>
      <c r="AM272" s="15"/>
      <c r="AN272" s="160" t="s">
        <v>194</v>
      </c>
    </row>
    <row r="273" spans="2:40" x14ac:dyDescent="0.25">
      <c r="B273" s="148">
        <f t="shared" si="55"/>
        <v>214</v>
      </c>
      <c r="C273" s="16">
        <v>20200526</v>
      </c>
      <c r="D273" s="15" t="s">
        <v>3</v>
      </c>
      <c r="E273" s="15" t="s">
        <v>479</v>
      </c>
      <c r="F273" s="93" t="s">
        <v>685</v>
      </c>
      <c r="G273" s="17">
        <v>1484917</v>
      </c>
      <c r="H273" s="52"/>
      <c r="I273" s="15" t="s">
        <v>606</v>
      </c>
      <c r="J273" s="52"/>
      <c r="K273" s="15" t="s">
        <v>146</v>
      </c>
      <c r="L273" s="15" t="s">
        <v>150</v>
      </c>
      <c r="M273" s="15" t="s">
        <v>527</v>
      </c>
      <c r="N273" s="15" t="s">
        <v>528</v>
      </c>
      <c r="O273" s="17" t="s">
        <v>61</v>
      </c>
      <c r="P273" s="17" t="s">
        <v>529</v>
      </c>
      <c r="Q273" s="18"/>
      <c r="R273" s="52" t="s">
        <v>61</v>
      </c>
      <c r="S273" s="15" t="s">
        <v>65</v>
      </c>
      <c r="T273" s="15"/>
      <c r="U273" s="15"/>
      <c r="V273" s="15">
        <v>37</v>
      </c>
      <c r="W273" s="15">
        <f t="shared" si="53"/>
        <v>37</v>
      </c>
      <c r="X273" s="15">
        <f t="shared" si="57"/>
        <v>37</v>
      </c>
      <c r="Y273" s="15">
        <f>ROUNDDOWN(W273/HLOOKUP(D273,Table!$C$3:$D$4,2,0)*8,2)</f>
        <v>0.65</v>
      </c>
      <c r="Z273" s="15">
        <v>0.2</v>
      </c>
      <c r="AA273" s="15" t="s">
        <v>74</v>
      </c>
      <c r="AB273" s="19">
        <v>43983</v>
      </c>
      <c r="AC273" s="19">
        <v>43978</v>
      </c>
      <c r="AD273" s="19">
        <v>43984</v>
      </c>
      <c r="AE273" s="19">
        <v>43978</v>
      </c>
      <c r="AF273" s="19">
        <v>43978</v>
      </c>
      <c r="AG273" s="19" t="s">
        <v>176</v>
      </c>
      <c r="AH273" s="31">
        <v>1</v>
      </c>
      <c r="AI273" s="31">
        <v>1</v>
      </c>
      <c r="AJ273" s="31">
        <v>1</v>
      </c>
      <c r="AK273" s="19" t="s">
        <v>150</v>
      </c>
      <c r="AL273" s="15"/>
      <c r="AM273" s="15"/>
      <c r="AN273" s="15"/>
    </row>
    <row r="274" spans="2:40" x14ac:dyDescent="0.25">
      <c r="B274" s="148">
        <f t="shared" si="55"/>
        <v>215</v>
      </c>
      <c r="C274" s="16">
        <v>20200526</v>
      </c>
      <c r="D274" s="15" t="s">
        <v>3</v>
      </c>
      <c r="E274" s="15" t="s">
        <v>479</v>
      </c>
      <c r="F274" s="93" t="s">
        <v>686</v>
      </c>
      <c r="G274" s="17">
        <v>1484917</v>
      </c>
      <c r="H274" s="52"/>
      <c r="I274" s="15" t="s">
        <v>631</v>
      </c>
      <c r="J274" s="52"/>
      <c r="K274" s="15" t="s">
        <v>146</v>
      </c>
      <c r="L274" s="15" t="s">
        <v>150</v>
      </c>
      <c r="M274" s="15" t="s">
        <v>527</v>
      </c>
      <c r="N274" s="15" t="s">
        <v>528</v>
      </c>
      <c r="O274" s="17" t="s">
        <v>61</v>
      </c>
      <c r="P274" s="17" t="s">
        <v>529</v>
      </c>
      <c r="Q274" s="18"/>
      <c r="R274" s="52" t="s">
        <v>61</v>
      </c>
      <c r="S274" s="15" t="s">
        <v>65</v>
      </c>
      <c r="T274" s="15"/>
      <c r="U274" s="15"/>
      <c r="V274" s="15">
        <v>160</v>
      </c>
      <c r="W274" s="15">
        <f t="shared" si="53"/>
        <v>160</v>
      </c>
      <c r="X274" s="15">
        <f t="shared" si="57"/>
        <v>160</v>
      </c>
      <c r="Y274" s="15">
        <f>ROUNDDOWN(W274/HLOOKUP(D274,Table!$C$3:$D$4,2,0)*8,2)</f>
        <v>2.84</v>
      </c>
      <c r="Z274" s="15">
        <v>1</v>
      </c>
      <c r="AA274" s="15" t="s">
        <v>74</v>
      </c>
      <c r="AB274" s="19">
        <v>43983</v>
      </c>
      <c r="AC274" s="19">
        <v>43978</v>
      </c>
      <c r="AD274" s="19">
        <v>43984</v>
      </c>
      <c r="AE274" s="19">
        <v>43978</v>
      </c>
      <c r="AF274" s="19">
        <v>43978</v>
      </c>
      <c r="AG274" s="19" t="s">
        <v>176</v>
      </c>
      <c r="AH274" s="31">
        <v>1</v>
      </c>
      <c r="AI274" s="31">
        <v>1</v>
      </c>
      <c r="AJ274" s="31">
        <v>1</v>
      </c>
      <c r="AK274" s="19" t="s">
        <v>150</v>
      </c>
      <c r="AL274" s="15"/>
      <c r="AM274" s="15"/>
      <c r="AN274" s="15"/>
    </row>
    <row r="275" spans="2:40" x14ac:dyDescent="0.25">
      <c r="B275" s="148">
        <f t="shared" si="55"/>
        <v>216</v>
      </c>
      <c r="C275" s="16">
        <v>20200526</v>
      </c>
      <c r="D275" s="15" t="s">
        <v>3</v>
      </c>
      <c r="E275" s="15" t="s">
        <v>479</v>
      </c>
      <c r="F275" s="93" t="s">
        <v>687</v>
      </c>
      <c r="G275" s="17">
        <v>1484917</v>
      </c>
      <c r="H275" s="52"/>
      <c r="I275" s="15" t="s">
        <v>632</v>
      </c>
      <c r="J275" s="52"/>
      <c r="K275" s="15" t="s">
        <v>146</v>
      </c>
      <c r="L275" s="15" t="s">
        <v>150</v>
      </c>
      <c r="M275" s="15" t="s">
        <v>527</v>
      </c>
      <c r="N275" s="15" t="s">
        <v>528</v>
      </c>
      <c r="O275" s="17" t="s">
        <v>61</v>
      </c>
      <c r="P275" s="17" t="s">
        <v>529</v>
      </c>
      <c r="Q275" s="18"/>
      <c r="R275" s="52" t="s">
        <v>61</v>
      </c>
      <c r="S275" s="15" t="s">
        <v>65</v>
      </c>
      <c r="T275" s="15"/>
      <c r="U275" s="15"/>
      <c r="V275" s="15">
        <v>654</v>
      </c>
      <c r="W275" s="15">
        <f t="shared" si="53"/>
        <v>654</v>
      </c>
      <c r="X275" s="15">
        <f t="shared" si="57"/>
        <v>654</v>
      </c>
      <c r="Y275" s="15">
        <f>ROUNDDOWN(W275/HLOOKUP(D275,Table!$C$3:$D$4,2,0)*8,2)</f>
        <v>11.62</v>
      </c>
      <c r="Z275" s="15">
        <v>1</v>
      </c>
      <c r="AA275" s="15" t="s">
        <v>74</v>
      </c>
      <c r="AB275" s="19">
        <v>43983</v>
      </c>
      <c r="AC275" s="19">
        <v>43978</v>
      </c>
      <c r="AD275" s="19">
        <v>43984</v>
      </c>
      <c r="AE275" s="19">
        <v>43978</v>
      </c>
      <c r="AF275" s="19">
        <v>43978</v>
      </c>
      <c r="AG275" s="19" t="s">
        <v>176</v>
      </c>
      <c r="AH275" s="31">
        <v>1</v>
      </c>
      <c r="AI275" s="31">
        <v>1</v>
      </c>
      <c r="AJ275" s="31">
        <v>1</v>
      </c>
      <c r="AK275" s="19" t="s">
        <v>150</v>
      </c>
      <c r="AL275" s="15"/>
      <c r="AM275" s="15"/>
      <c r="AN275" s="15"/>
    </row>
    <row r="276" spans="2:40" x14ac:dyDescent="0.25">
      <c r="B276" s="148">
        <f t="shared" si="55"/>
        <v>217</v>
      </c>
      <c r="C276" s="16">
        <v>20200526</v>
      </c>
      <c r="D276" s="15" t="s">
        <v>3</v>
      </c>
      <c r="E276" s="15" t="s">
        <v>479</v>
      </c>
      <c r="F276" s="93" t="s">
        <v>688</v>
      </c>
      <c r="G276" s="17">
        <v>1484917</v>
      </c>
      <c r="H276" s="52"/>
      <c r="I276" s="15" t="s">
        <v>633</v>
      </c>
      <c r="J276" s="52"/>
      <c r="K276" s="15" t="s">
        <v>146</v>
      </c>
      <c r="L276" s="15" t="s">
        <v>150</v>
      </c>
      <c r="M276" s="15" t="s">
        <v>527</v>
      </c>
      <c r="N276" s="15" t="s">
        <v>528</v>
      </c>
      <c r="O276" s="17" t="s">
        <v>61</v>
      </c>
      <c r="P276" s="17" t="s">
        <v>529</v>
      </c>
      <c r="Q276" s="18"/>
      <c r="R276" s="52" t="s">
        <v>61</v>
      </c>
      <c r="S276" s="15" t="s">
        <v>65</v>
      </c>
      <c r="T276" s="15"/>
      <c r="U276" s="15"/>
      <c r="V276" s="15">
        <v>44</v>
      </c>
      <c r="W276" s="15">
        <v>0</v>
      </c>
      <c r="X276" s="15">
        <f>W276</f>
        <v>0</v>
      </c>
      <c r="Y276" s="15">
        <f>ROUNDDOWN(W276/HLOOKUP(D276,Table!$C$3:$D$4,2,0)*8,2)</f>
        <v>0</v>
      </c>
      <c r="Z276" s="15">
        <v>0</v>
      </c>
      <c r="AA276" s="15" t="s">
        <v>74</v>
      </c>
      <c r="AB276" s="19">
        <v>43983</v>
      </c>
      <c r="AC276" s="19">
        <v>43978</v>
      </c>
      <c r="AD276" s="19">
        <v>43984</v>
      </c>
      <c r="AE276" s="19">
        <v>43978</v>
      </c>
      <c r="AF276" s="19">
        <v>43978</v>
      </c>
      <c r="AG276" s="19" t="s">
        <v>176</v>
      </c>
      <c r="AH276" s="31" t="s">
        <v>61</v>
      </c>
      <c r="AI276" s="31" t="s">
        <v>61</v>
      </c>
      <c r="AJ276" s="31" t="s">
        <v>61</v>
      </c>
      <c r="AK276" s="31" t="s">
        <v>61</v>
      </c>
      <c r="AL276" s="15"/>
      <c r="AM276" s="15"/>
      <c r="AN276" s="173" t="s">
        <v>194</v>
      </c>
    </row>
    <row r="277" spans="2:40" x14ac:dyDescent="0.25">
      <c r="B277" s="148">
        <f t="shared" si="55"/>
        <v>218</v>
      </c>
      <c r="C277" s="16">
        <v>20200526</v>
      </c>
      <c r="D277" s="15" t="s">
        <v>3</v>
      </c>
      <c r="E277" s="15" t="s">
        <v>479</v>
      </c>
      <c r="F277" s="93" t="s">
        <v>689</v>
      </c>
      <c r="G277" s="17">
        <v>1484917</v>
      </c>
      <c r="H277" s="52"/>
      <c r="I277" s="15" t="s">
        <v>634</v>
      </c>
      <c r="J277" s="52"/>
      <c r="K277" s="15" t="s">
        <v>146</v>
      </c>
      <c r="L277" s="15" t="s">
        <v>150</v>
      </c>
      <c r="M277" s="15" t="s">
        <v>527</v>
      </c>
      <c r="N277" s="15" t="s">
        <v>528</v>
      </c>
      <c r="O277" s="17" t="s">
        <v>61</v>
      </c>
      <c r="P277" s="17" t="s">
        <v>529</v>
      </c>
      <c r="Q277" s="18"/>
      <c r="R277" s="52" t="s">
        <v>61</v>
      </c>
      <c r="S277" s="15" t="s">
        <v>65</v>
      </c>
      <c r="T277" s="15"/>
      <c r="U277" s="15"/>
      <c r="V277" s="15">
        <v>84</v>
      </c>
      <c r="W277" s="15">
        <f t="shared" si="53"/>
        <v>84</v>
      </c>
      <c r="X277" s="15">
        <f t="shared" si="57"/>
        <v>84</v>
      </c>
      <c r="Y277" s="15">
        <f>ROUNDDOWN(W277/HLOOKUP(D277,Table!$C$3:$D$4,2,0)*8,2)</f>
        <v>1.49</v>
      </c>
      <c r="Z277" s="15">
        <v>1</v>
      </c>
      <c r="AA277" s="15" t="s">
        <v>74</v>
      </c>
      <c r="AB277" s="19">
        <v>43983</v>
      </c>
      <c r="AC277" s="19">
        <v>43978</v>
      </c>
      <c r="AD277" s="19">
        <v>43984</v>
      </c>
      <c r="AE277" s="19">
        <v>43978</v>
      </c>
      <c r="AF277" s="19">
        <v>43978</v>
      </c>
      <c r="AG277" s="19" t="s">
        <v>176</v>
      </c>
      <c r="AH277" s="31">
        <v>1</v>
      </c>
      <c r="AI277" s="31">
        <v>1</v>
      </c>
      <c r="AJ277" s="31">
        <v>1</v>
      </c>
      <c r="AK277" s="19" t="s">
        <v>150</v>
      </c>
      <c r="AL277" s="15"/>
      <c r="AM277" s="15"/>
      <c r="AN277" s="15"/>
    </row>
    <row r="278" spans="2:40" x14ac:dyDescent="0.25">
      <c r="B278" s="148">
        <f t="shared" si="55"/>
        <v>219</v>
      </c>
      <c r="C278" s="16">
        <v>20200526</v>
      </c>
      <c r="D278" s="15" t="s">
        <v>3</v>
      </c>
      <c r="E278" s="15" t="s">
        <v>479</v>
      </c>
      <c r="F278" s="93" t="s">
        <v>690</v>
      </c>
      <c r="G278" s="17">
        <v>1484917</v>
      </c>
      <c r="H278" s="52"/>
      <c r="I278" s="15" t="s">
        <v>635</v>
      </c>
      <c r="J278" s="52"/>
      <c r="K278" s="15" t="s">
        <v>146</v>
      </c>
      <c r="L278" s="15" t="s">
        <v>150</v>
      </c>
      <c r="M278" s="15" t="s">
        <v>527</v>
      </c>
      <c r="N278" s="15" t="s">
        <v>528</v>
      </c>
      <c r="O278" s="17" t="s">
        <v>61</v>
      </c>
      <c r="P278" s="17" t="s">
        <v>529</v>
      </c>
      <c r="Q278" s="18"/>
      <c r="R278" s="52" t="s">
        <v>61</v>
      </c>
      <c r="S278" s="15" t="s">
        <v>65</v>
      </c>
      <c r="T278" s="15"/>
      <c r="U278" s="15"/>
      <c r="V278" s="15">
        <v>4</v>
      </c>
      <c r="W278" s="15">
        <v>0</v>
      </c>
      <c r="X278" s="15">
        <f>W278</f>
        <v>0</v>
      </c>
      <c r="Y278" s="15">
        <f>ROUNDDOWN(W278/HLOOKUP(D278,Table!$C$3:$D$4,2,0)*8,2)</f>
        <v>0</v>
      </c>
      <c r="Z278" s="15">
        <v>0</v>
      </c>
      <c r="AA278" s="15" t="s">
        <v>74</v>
      </c>
      <c r="AB278" s="19">
        <v>43983</v>
      </c>
      <c r="AC278" s="19">
        <v>43978</v>
      </c>
      <c r="AD278" s="19">
        <v>43984</v>
      </c>
      <c r="AE278" s="19">
        <v>43978</v>
      </c>
      <c r="AF278" s="19">
        <v>43978</v>
      </c>
      <c r="AG278" s="19" t="s">
        <v>176</v>
      </c>
      <c r="AH278" s="31" t="s">
        <v>61</v>
      </c>
      <c r="AI278" s="31" t="s">
        <v>61</v>
      </c>
      <c r="AJ278" s="31" t="s">
        <v>61</v>
      </c>
      <c r="AK278" s="31" t="s">
        <v>61</v>
      </c>
      <c r="AL278" s="15"/>
      <c r="AM278" s="15"/>
      <c r="AN278" s="160" t="s">
        <v>194</v>
      </c>
    </row>
    <row r="279" spans="2:40" x14ac:dyDescent="0.25">
      <c r="B279" s="148">
        <f t="shared" si="55"/>
        <v>220</v>
      </c>
      <c r="C279" s="16">
        <v>20200526</v>
      </c>
      <c r="D279" s="15" t="s">
        <v>3</v>
      </c>
      <c r="E279" s="15" t="s">
        <v>479</v>
      </c>
      <c r="F279" s="93" t="s">
        <v>691</v>
      </c>
      <c r="G279" s="17">
        <v>1484917</v>
      </c>
      <c r="H279" s="52"/>
      <c r="I279" s="15" t="s">
        <v>636</v>
      </c>
      <c r="J279" s="52"/>
      <c r="K279" s="15" t="s">
        <v>146</v>
      </c>
      <c r="L279" s="15" t="s">
        <v>150</v>
      </c>
      <c r="M279" s="15" t="s">
        <v>527</v>
      </c>
      <c r="N279" s="15" t="s">
        <v>528</v>
      </c>
      <c r="O279" s="17" t="s">
        <v>61</v>
      </c>
      <c r="P279" s="17" t="s">
        <v>529</v>
      </c>
      <c r="Q279" s="18"/>
      <c r="R279" s="52" t="s">
        <v>61</v>
      </c>
      <c r="S279" s="15" t="s">
        <v>65</v>
      </c>
      <c r="T279" s="15"/>
      <c r="U279" s="15"/>
      <c r="V279" s="15">
        <v>15</v>
      </c>
      <c r="W279" s="15">
        <f t="shared" si="53"/>
        <v>15</v>
      </c>
      <c r="X279" s="15">
        <f t="shared" si="57"/>
        <v>15</v>
      </c>
      <c r="Y279" s="15">
        <f>ROUNDDOWN(W279/HLOOKUP(D279,Table!$C$3:$D$4,2,0)*8,2)</f>
        <v>0.26</v>
      </c>
      <c r="Z279" s="15">
        <v>0.2</v>
      </c>
      <c r="AA279" s="15" t="s">
        <v>74</v>
      </c>
      <c r="AB279" s="19">
        <v>43983</v>
      </c>
      <c r="AC279" s="19">
        <v>43978</v>
      </c>
      <c r="AD279" s="19">
        <v>43984</v>
      </c>
      <c r="AE279" s="19">
        <v>43978</v>
      </c>
      <c r="AF279" s="19">
        <v>43978</v>
      </c>
      <c r="AG279" s="19" t="s">
        <v>176</v>
      </c>
      <c r="AH279" s="31">
        <v>1</v>
      </c>
      <c r="AI279" s="31">
        <v>1</v>
      </c>
      <c r="AJ279" s="31">
        <v>1</v>
      </c>
      <c r="AK279" s="19" t="s">
        <v>150</v>
      </c>
      <c r="AL279" s="15"/>
      <c r="AM279" s="15"/>
      <c r="AN279" s="15"/>
    </row>
    <row r="280" spans="2:40" x14ac:dyDescent="0.25">
      <c r="B280" s="148">
        <f t="shared" si="55"/>
        <v>221</v>
      </c>
      <c r="C280" s="16">
        <v>20200526</v>
      </c>
      <c r="D280" s="15" t="s">
        <v>3</v>
      </c>
      <c r="E280" s="15" t="s">
        <v>479</v>
      </c>
      <c r="F280" s="93" t="s">
        <v>692</v>
      </c>
      <c r="G280" s="17">
        <v>1484917</v>
      </c>
      <c r="H280" s="52"/>
      <c r="I280" s="15" t="s">
        <v>637</v>
      </c>
      <c r="J280" s="52"/>
      <c r="K280" s="15" t="s">
        <v>146</v>
      </c>
      <c r="L280" s="15" t="s">
        <v>150</v>
      </c>
      <c r="M280" s="15" t="s">
        <v>527</v>
      </c>
      <c r="N280" s="15" t="s">
        <v>528</v>
      </c>
      <c r="O280" s="17" t="s">
        <v>61</v>
      </c>
      <c r="P280" s="17" t="s">
        <v>529</v>
      </c>
      <c r="Q280" s="18"/>
      <c r="R280" s="52" t="s">
        <v>61</v>
      </c>
      <c r="S280" s="15" t="s">
        <v>65</v>
      </c>
      <c r="T280" s="15"/>
      <c r="U280" s="15"/>
      <c r="V280" s="15">
        <v>16</v>
      </c>
      <c r="W280" s="15">
        <f t="shared" si="53"/>
        <v>16</v>
      </c>
      <c r="X280" s="15">
        <f t="shared" si="57"/>
        <v>16</v>
      </c>
      <c r="Y280" s="15">
        <f>ROUNDDOWN(W280/HLOOKUP(D280,Table!$C$3:$D$4,2,0)*8,2)</f>
        <v>0.28000000000000003</v>
      </c>
      <c r="Z280" s="15">
        <v>0.2</v>
      </c>
      <c r="AA280" s="15" t="s">
        <v>74</v>
      </c>
      <c r="AB280" s="19">
        <v>43983</v>
      </c>
      <c r="AC280" s="19">
        <v>43978</v>
      </c>
      <c r="AD280" s="19">
        <v>43984</v>
      </c>
      <c r="AE280" s="19">
        <v>43979</v>
      </c>
      <c r="AF280" s="19">
        <v>43979</v>
      </c>
      <c r="AG280" s="19" t="s">
        <v>176</v>
      </c>
      <c r="AH280" s="31">
        <v>1</v>
      </c>
      <c r="AI280" s="31">
        <v>1</v>
      </c>
      <c r="AJ280" s="31">
        <v>1</v>
      </c>
      <c r="AK280" s="19" t="s">
        <v>150</v>
      </c>
      <c r="AL280" s="15"/>
      <c r="AM280" s="15"/>
      <c r="AN280" s="15"/>
    </row>
    <row r="281" spans="2:40" x14ac:dyDescent="0.25">
      <c r="B281" s="148">
        <f t="shared" si="55"/>
        <v>222</v>
      </c>
      <c r="C281" s="16">
        <v>20200526</v>
      </c>
      <c r="D281" s="15" t="s">
        <v>3</v>
      </c>
      <c r="E281" s="15" t="s">
        <v>479</v>
      </c>
      <c r="F281" s="93" t="s">
        <v>693</v>
      </c>
      <c r="G281" s="17">
        <v>1484917</v>
      </c>
      <c r="H281" s="52"/>
      <c r="I281" s="15" t="s">
        <v>638</v>
      </c>
      <c r="J281" s="52"/>
      <c r="K281" s="15" t="s">
        <v>146</v>
      </c>
      <c r="L281" s="15" t="s">
        <v>150</v>
      </c>
      <c r="M281" s="15" t="s">
        <v>527</v>
      </c>
      <c r="N281" s="15" t="s">
        <v>528</v>
      </c>
      <c r="O281" s="17" t="s">
        <v>61</v>
      </c>
      <c r="P281" s="17" t="s">
        <v>529</v>
      </c>
      <c r="Q281" s="18"/>
      <c r="R281" s="52" t="s">
        <v>61</v>
      </c>
      <c r="S281" s="15" t="s">
        <v>65</v>
      </c>
      <c r="T281" s="15"/>
      <c r="U281" s="15"/>
      <c r="V281" s="15">
        <v>84</v>
      </c>
      <c r="W281" s="15">
        <f t="shared" si="53"/>
        <v>84</v>
      </c>
      <c r="X281" s="15">
        <f t="shared" si="57"/>
        <v>84</v>
      </c>
      <c r="Y281" s="15">
        <f>ROUNDDOWN(W281/HLOOKUP(D281,Table!$C$3:$D$4,2,0)*8,2)</f>
        <v>1.49</v>
      </c>
      <c r="Z281" s="15">
        <v>1</v>
      </c>
      <c r="AA281" s="15" t="s">
        <v>74</v>
      </c>
      <c r="AB281" s="19">
        <v>43983</v>
      </c>
      <c r="AC281" s="19">
        <v>43978</v>
      </c>
      <c r="AD281" s="19">
        <v>43984</v>
      </c>
      <c r="AE281" s="19">
        <v>43978</v>
      </c>
      <c r="AF281" s="19">
        <v>43978</v>
      </c>
      <c r="AG281" s="19" t="s">
        <v>176</v>
      </c>
      <c r="AH281" s="31">
        <v>1</v>
      </c>
      <c r="AI281" s="31">
        <v>1</v>
      </c>
      <c r="AJ281" s="31">
        <v>1</v>
      </c>
      <c r="AK281" s="19" t="s">
        <v>150</v>
      </c>
      <c r="AL281" s="15"/>
      <c r="AM281" s="15"/>
      <c r="AN281" s="15"/>
    </row>
    <row r="282" spans="2:40" x14ac:dyDescent="0.25">
      <c r="B282" s="148">
        <f t="shared" si="55"/>
        <v>223</v>
      </c>
      <c r="C282" s="16">
        <v>20200526</v>
      </c>
      <c r="D282" s="15" t="s">
        <v>3</v>
      </c>
      <c r="E282" s="15" t="s">
        <v>479</v>
      </c>
      <c r="F282" s="93" t="s">
        <v>694</v>
      </c>
      <c r="G282" s="17">
        <v>1484917</v>
      </c>
      <c r="H282" s="52"/>
      <c r="I282" s="15" t="s">
        <v>639</v>
      </c>
      <c r="J282" s="52"/>
      <c r="K282" s="15" t="s">
        <v>146</v>
      </c>
      <c r="L282" s="15" t="s">
        <v>150</v>
      </c>
      <c r="M282" s="15" t="s">
        <v>527</v>
      </c>
      <c r="N282" s="15" t="s">
        <v>528</v>
      </c>
      <c r="O282" s="17" t="s">
        <v>61</v>
      </c>
      <c r="P282" s="17" t="s">
        <v>529</v>
      </c>
      <c r="Q282" s="18"/>
      <c r="R282" s="52" t="s">
        <v>61</v>
      </c>
      <c r="S282" s="15" t="s">
        <v>6</v>
      </c>
      <c r="T282" s="15"/>
      <c r="U282" s="15"/>
      <c r="V282" s="15">
        <v>2713</v>
      </c>
      <c r="W282" s="15">
        <f t="shared" si="53"/>
        <v>2713</v>
      </c>
      <c r="X282" s="15">
        <f t="shared" si="53"/>
        <v>2713</v>
      </c>
      <c r="Y282" s="15">
        <f>ROUNDDOWN(W282/HLOOKUP(D282,Table!$C$3:$D$4,2,0)*8,2)</f>
        <v>48.23</v>
      </c>
      <c r="Z282" s="15">
        <v>2</v>
      </c>
      <c r="AA282" s="15" t="s">
        <v>74</v>
      </c>
      <c r="AB282" s="19">
        <v>43983</v>
      </c>
      <c r="AC282" s="19">
        <v>43978</v>
      </c>
      <c r="AD282" s="19">
        <v>43984</v>
      </c>
      <c r="AE282" s="19">
        <v>43979</v>
      </c>
      <c r="AF282" s="19">
        <v>43979</v>
      </c>
      <c r="AG282" s="19" t="s">
        <v>176</v>
      </c>
      <c r="AH282" s="31">
        <v>1</v>
      </c>
      <c r="AI282" s="31">
        <v>1</v>
      </c>
      <c r="AJ282" s="31">
        <v>1</v>
      </c>
      <c r="AK282" s="19" t="s">
        <v>150</v>
      </c>
      <c r="AL282" s="17" t="s">
        <v>61</v>
      </c>
      <c r="AM282" s="17" t="s">
        <v>61</v>
      </c>
      <c r="AN282" s="17" t="s">
        <v>61</v>
      </c>
    </row>
    <row r="283" spans="2:40" x14ac:dyDescent="0.25">
      <c r="B283" s="148">
        <f t="shared" si="55"/>
        <v>224</v>
      </c>
      <c r="C283" s="16">
        <v>20200526</v>
      </c>
      <c r="D283" s="15" t="s">
        <v>3</v>
      </c>
      <c r="E283" s="15" t="s">
        <v>479</v>
      </c>
      <c r="F283" s="93" t="s">
        <v>695</v>
      </c>
      <c r="G283" s="17">
        <v>1484917</v>
      </c>
      <c r="H283" s="52"/>
      <c r="I283" s="15" t="s">
        <v>640</v>
      </c>
      <c r="J283" s="52"/>
      <c r="K283" s="15" t="s">
        <v>146</v>
      </c>
      <c r="L283" s="15" t="s">
        <v>150</v>
      </c>
      <c r="M283" s="15" t="s">
        <v>527</v>
      </c>
      <c r="N283" s="15" t="s">
        <v>528</v>
      </c>
      <c r="O283" s="17" t="s">
        <v>61</v>
      </c>
      <c r="P283" s="17" t="s">
        <v>529</v>
      </c>
      <c r="Q283" s="18"/>
      <c r="R283" s="52" t="s">
        <v>61</v>
      </c>
      <c r="S283" s="15" t="s">
        <v>64</v>
      </c>
      <c r="T283" s="15"/>
      <c r="U283" s="15"/>
      <c r="V283" s="15">
        <v>891</v>
      </c>
      <c r="W283" s="15">
        <f t="shared" si="53"/>
        <v>891</v>
      </c>
      <c r="X283" s="15">
        <f t="shared" ref="X283:X290" si="58">W283</f>
        <v>891</v>
      </c>
      <c r="Y283" s="15">
        <f>ROUNDDOWN(W283/HLOOKUP(D283,Table!$C$3:$D$4,2,0)*8,2)</f>
        <v>15.84</v>
      </c>
      <c r="Z283" s="15">
        <v>2</v>
      </c>
      <c r="AA283" s="15" t="s">
        <v>74</v>
      </c>
      <c r="AB283" s="19">
        <v>43983</v>
      </c>
      <c r="AC283" s="19">
        <v>43978</v>
      </c>
      <c r="AD283" s="19">
        <v>43984</v>
      </c>
      <c r="AE283" s="19">
        <v>43978</v>
      </c>
      <c r="AF283" s="19">
        <v>43978</v>
      </c>
      <c r="AG283" s="19" t="s">
        <v>176</v>
      </c>
      <c r="AH283" s="31">
        <v>1</v>
      </c>
      <c r="AI283" s="31">
        <v>1</v>
      </c>
      <c r="AJ283" s="31">
        <v>1</v>
      </c>
      <c r="AK283" s="19" t="s">
        <v>150</v>
      </c>
      <c r="AL283" s="15"/>
      <c r="AM283" s="15"/>
      <c r="AN283" s="15"/>
    </row>
    <row r="284" spans="2:40" x14ac:dyDescent="0.25">
      <c r="B284" s="148">
        <f t="shared" si="55"/>
        <v>225</v>
      </c>
      <c r="C284" s="16">
        <v>20200526</v>
      </c>
      <c r="D284" s="15" t="s">
        <v>3</v>
      </c>
      <c r="E284" s="15" t="s">
        <v>479</v>
      </c>
      <c r="F284" s="93" t="s">
        <v>696</v>
      </c>
      <c r="G284" s="17">
        <v>1484917</v>
      </c>
      <c r="H284" s="52"/>
      <c r="I284" s="15" t="s">
        <v>641</v>
      </c>
      <c r="J284" s="52"/>
      <c r="K284" s="15" t="s">
        <v>146</v>
      </c>
      <c r="L284" s="15" t="s">
        <v>150</v>
      </c>
      <c r="M284" s="15" t="s">
        <v>527</v>
      </c>
      <c r="N284" s="15" t="s">
        <v>528</v>
      </c>
      <c r="O284" s="17" t="s">
        <v>61</v>
      </c>
      <c r="P284" s="17" t="s">
        <v>529</v>
      </c>
      <c r="Q284" s="18"/>
      <c r="R284" s="52" t="s">
        <v>61</v>
      </c>
      <c r="S284" s="15" t="s">
        <v>64</v>
      </c>
      <c r="T284" s="15"/>
      <c r="U284" s="15"/>
      <c r="V284" s="15">
        <v>6</v>
      </c>
      <c r="W284" s="15">
        <f t="shared" si="53"/>
        <v>6</v>
      </c>
      <c r="X284" s="15">
        <f t="shared" si="58"/>
        <v>6</v>
      </c>
      <c r="Y284" s="15">
        <f>ROUNDDOWN(W284/HLOOKUP(D284,Table!$C$3:$D$4,2,0)*8,2)</f>
        <v>0.1</v>
      </c>
      <c r="Z284" s="15">
        <v>0.5</v>
      </c>
      <c r="AA284" s="15" t="s">
        <v>74</v>
      </c>
      <c r="AB284" s="19">
        <v>43983</v>
      </c>
      <c r="AC284" s="19">
        <v>43978</v>
      </c>
      <c r="AD284" s="19">
        <v>43984</v>
      </c>
      <c r="AE284" s="19">
        <v>43978</v>
      </c>
      <c r="AF284" s="19">
        <v>43978</v>
      </c>
      <c r="AG284" s="19" t="s">
        <v>176</v>
      </c>
      <c r="AH284" s="31">
        <v>1</v>
      </c>
      <c r="AI284" s="31">
        <v>1</v>
      </c>
      <c r="AJ284" s="31">
        <v>1</v>
      </c>
      <c r="AK284" s="19" t="s">
        <v>150</v>
      </c>
      <c r="AL284" s="15"/>
      <c r="AM284" s="15"/>
      <c r="AN284" s="15"/>
    </row>
    <row r="285" spans="2:40" x14ac:dyDescent="0.25">
      <c r="B285" s="148">
        <f t="shared" si="55"/>
        <v>226</v>
      </c>
      <c r="C285" s="16">
        <v>20200526</v>
      </c>
      <c r="D285" s="15" t="s">
        <v>3</v>
      </c>
      <c r="E285" s="15" t="s">
        <v>479</v>
      </c>
      <c r="F285" s="93" t="s">
        <v>697</v>
      </c>
      <c r="G285" s="17">
        <v>1484917</v>
      </c>
      <c r="H285" s="52"/>
      <c r="I285" s="15" t="s">
        <v>642</v>
      </c>
      <c r="J285" s="52"/>
      <c r="K285" s="15" t="s">
        <v>146</v>
      </c>
      <c r="L285" s="15" t="s">
        <v>150</v>
      </c>
      <c r="M285" s="15" t="s">
        <v>527</v>
      </c>
      <c r="N285" s="15" t="s">
        <v>528</v>
      </c>
      <c r="O285" s="17" t="s">
        <v>61</v>
      </c>
      <c r="P285" s="17" t="s">
        <v>529</v>
      </c>
      <c r="Q285" s="18"/>
      <c r="R285" s="52" t="s">
        <v>61</v>
      </c>
      <c r="S285" s="15" t="s">
        <v>64</v>
      </c>
      <c r="T285" s="15"/>
      <c r="U285" s="15"/>
      <c r="V285" s="15">
        <v>7</v>
      </c>
      <c r="W285" s="15">
        <f t="shared" si="53"/>
        <v>7</v>
      </c>
      <c r="X285" s="15">
        <f t="shared" si="58"/>
        <v>7</v>
      </c>
      <c r="Y285" s="15">
        <f>ROUNDDOWN(W285/HLOOKUP(D285,Table!$C$3:$D$4,2,0)*8,2)</f>
        <v>0.12</v>
      </c>
      <c r="Z285" s="15">
        <v>0.5</v>
      </c>
      <c r="AA285" s="15" t="s">
        <v>74</v>
      </c>
      <c r="AB285" s="19">
        <v>43983</v>
      </c>
      <c r="AC285" s="19">
        <v>43978</v>
      </c>
      <c r="AD285" s="19">
        <v>43984</v>
      </c>
      <c r="AE285" s="19">
        <v>43978</v>
      </c>
      <c r="AF285" s="19">
        <v>43978</v>
      </c>
      <c r="AG285" s="19" t="s">
        <v>176</v>
      </c>
      <c r="AH285" s="31">
        <v>1</v>
      </c>
      <c r="AI285" s="31">
        <v>1</v>
      </c>
      <c r="AJ285" s="31">
        <v>1</v>
      </c>
      <c r="AK285" s="19" t="s">
        <v>150</v>
      </c>
      <c r="AL285" s="15"/>
      <c r="AM285" s="15"/>
      <c r="AN285" s="15"/>
    </row>
    <row r="286" spans="2:40" x14ac:dyDescent="0.25">
      <c r="B286" s="148">
        <f t="shared" si="55"/>
        <v>227</v>
      </c>
      <c r="C286" s="16">
        <v>20200526</v>
      </c>
      <c r="D286" s="15" t="s">
        <v>3</v>
      </c>
      <c r="E286" s="15" t="s">
        <v>479</v>
      </c>
      <c r="F286" s="93" t="s">
        <v>698</v>
      </c>
      <c r="G286" s="17">
        <v>1484917</v>
      </c>
      <c r="H286" s="52"/>
      <c r="I286" s="15" t="s">
        <v>643</v>
      </c>
      <c r="J286" s="52"/>
      <c r="K286" s="15" t="s">
        <v>146</v>
      </c>
      <c r="L286" s="15" t="s">
        <v>150</v>
      </c>
      <c r="M286" s="15" t="s">
        <v>527</v>
      </c>
      <c r="N286" s="15" t="s">
        <v>528</v>
      </c>
      <c r="O286" s="17" t="s">
        <v>61</v>
      </c>
      <c r="P286" s="17" t="s">
        <v>529</v>
      </c>
      <c r="Q286" s="18"/>
      <c r="R286" s="52" t="s">
        <v>61</v>
      </c>
      <c r="S286" s="15" t="s">
        <v>64</v>
      </c>
      <c r="T286" s="15"/>
      <c r="U286" s="15"/>
      <c r="V286" s="15">
        <v>13</v>
      </c>
      <c r="W286" s="15">
        <f t="shared" si="53"/>
        <v>13</v>
      </c>
      <c r="X286" s="15">
        <f t="shared" si="58"/>
        <v>13</v>
      </c>
      <c r="Y286" s="15">
        <f>ROUNDDOWN(W286/HLOOKUP(D286,Table!$C$3:$D$4,2,0)*8,2)</f>
        <v>0.23</v>
      </c>
      <c r="Z286" s="15">
        <v>0.5</v>
      </c>
      <c r="AA286" s="15" t="s">
        <v>74</v>
      </c>
      <c r="AB286" s="19">
        <v>43983</v>
      </c>
      <c r="AC286" s="19">
        <v>43978</v>
      </c>
      <c r="AD286" s="19">
        <v>43984</v>
      </c>
      <c r="AE286" s="19">
        <v>43978</v>
      </c>
      <c r="AF286" s="19">
        <v>43978</v>
      </c>
      <c r="AG286" s="19" t="s">
        <v>176</v>
      </c>
      <c r="AH286" s="31">
        <v>1</v>
      </c>
      <c r="AI286" s="31">
        <v>1</v>
      </c>
      <c r="AJ286" s="31">
        <v>1</v>
      </c>
      <c r="AK286" s="19" t="s">
        <v>150</v>
      </c>
      <c r="AL286" s="15"/>
      <c r="AM286" s="15"/>
      <c r="AN286" s="15"/>
    </row>
    <row r="287" spans="2:40" x14ac:dyDescent="0.25">
      <c r="B287" s="148">
        <f t="shared" si="55"/>
        <v>228</v>
      </c>
      <c r="C287" s="16">
        <v>20200526</v>
      </c>
      <c r="D287" s="15" t="s">
        <v>3</v>
      </c>
      <c r="E287" s="15" t="s">
        <v>620</v>
      </c>
      <c r="F287" s="93" t="s">
        <v>699</v>
      </c>
      <c r="G287" s="17">
        <v>1487171</v>
      </c>
      <c r="H287" s="52"/>
      <c r="I287" s="15" t="s">
        <v>644</v>
      </c>
      <c r="J287" s="52"/>
      <c r="K287" s="15" t="s">
        <v>146</v>
      </c>
      <c r="L287" s="15" t="s">
        <v>150</v>
      </c>
      <c r="M287" s="15" t="s">
        <v>400</v>
      </c>
      <c r="N287" s="15" t="s">
        <v>406</v>
      </c>
      <c r="O287" s="17" t="s">
        <v>61</v>
      </c>
      <c r="P287" s="17" t="s">
        <v>229</v>
      </c>
      <c r="Q287" s="18"/>
      <c r="R287" s="52" t="s">
        <v>61</v>
      </c>
      <c r="S287" s="15" t="s">
        <v>64</v>
      </c>
      <c r="T287" s="15"/>
      <c r="U287" s="15"/>
      <c r="V287" s="15">
        <v>59</v>
      </c>
      <c r="W287" s="15">
        <f t="shared" si="53"/>
        <v>59</v>
      </c>
      <c r="X287" s="15">
        <f t="shared" si="58"/>
        <v>59</v>
      </c>
      <c r="Y287" s="15">
        <f>ROUNDDOWN(W287/HLOOKUP(D287,Table!$C$3:$D$4,2,0)*8,2)</f>
        <v>1.04</v>
      </c>
      <c r="Z287" s="15">
        <v>1</v>
      </c>
      <c r="AA287" s="15" t="s">
        <v>74</v>
      </c>
      <c r="AB287" s="19">
        <v>43978</v>
      </c>
      <c r="AC287" s="19">
        <v>43978</v>
      </c>
      <c r="AD287" s="99">
        <v>43979</v>
      </c>
      <c r="AE287" s="19">
        <v>43978</v>
      </c>
      <c r="AF287" s="19">
        <v>43978</v>
      </c>
      <c r="AG287" s="19" t="s">
        <v>176</v>
      </c>
      <c r="AH287" s="31">
        <v>1</v>
      </c>
      <c r="AI287" s="31">
        <v>1</v>
      </c>
      <c r="AJ287" s="31">
        <v>1</v>
      </c>
      <c r="AK287" s="19" t="s">
        <v>150</v>
      </c>
      <c r="AL287" s="15"/>
      <c r="AM287" s="15"/>
      <c r="AN287" s="15"/>
    </row>
    <row r="288" spans="2:40" x14ac:dyDescent="0.25">
      <c r="B288" s="148">
        <f t="shared" si="55"/>
        <v>229</v>
      </c>
      <c r="C288" s="16">
        <v>20200526</v>
      </c>
      <c r="D288" s="15" t="s">
        <v>3</v>
      </c>
      <c r="E288" s="15" t="s">
        <v>620</v>
      </c>
      <c r="F288" s="93" t="s">
        <v>700</v>
      </c>
      <c r="G288" s="17">
        <v>1487171</v>
      </c>
      <c r="H288" s="52"/>
      <c r="I288" s="15" t="s">
        <v>645</v>
      </c>
      <c r="J288" s="52"/>
      <c r="K288" s="15" t="s">
        <v>146</v>
      </c>
      <c r="L288" s="15" t="s">
        <v>150</v>
      </c>
      <c r="M288" s="15" t="s">
        <v>400</v>
      </c>
      <c r="N288" s="15" t="s">
        <v>406</v>
      </c>
      <c r="O288" s="17" t="s">
        <v>61</v>
      </c>
      <c r="P288" s="17" t="s">
        <v>229</v>
      </c>
      <c r="Q288" s="18"/>
      <c r="R288" s="52" t="s">
        <v>61</v>
      </c>
      <c r="S288" s="15" t="s">
        <v>64</v>
      </c>
      <c r="T288" s="15"/>
      <c r="U288" s="15"/>
      <c r="V288" s="15">
        <v>295</v>
      </c>
      <c r="W288" s="15">
        <f t="shared" si="53"/>
        <v>295</v>
      </c>
      <c r="X288" s="15">
        <f t="shared" si="58"/>
        <v>295</v>
      </c>
      <c r="Y288" s="15">
        <f>ROUNDDOWN(W288/HLOOKUP(D288,Table!$C$3:$D$4,2,0)*8,2)</f>
        <v>5.24</v>
      </c>
      <c r="Z288" s="15">
        <v>1</v>
      </c>
      <c r="AA288" s="15" t="s">
        <v>74</v>
      </c>
      <c r="AB288" s="19">
        <v>43978</v>
      </c>
      <c r="AC288" s="19">
        <v>43978</v>
      </c>
      <c r="AD288" s="99">
        <v>43979</v>
      </c>
      <c r="AE288" s="19">
        <v>43978</v>
      </c>
      <c r="AF288" s="19">
        <v>43978</v>
      </c>
      <c r="AG288" s="19" t="s">
        <v>176</v>
      </c>
      <c r="AH288" s="31">
        <v>1</v>
      </c>
      <c r="AI288" s="31">
        <v>1</v>
      </c>
      <c r="AJ288" s="31">
        <v>1</v>
      </c>
      <c r="AK288" s="19" t="s">
        <v>150</v>
      </c>
      <c r="AL288" s="15"/>
      <c r="AM288" s="15"/>
      <c r="AN288" s="15"/>
    </row>
    <row r="289" spans="1:40" x14ac:dyDescent="0.25">
      <c r="B289" s="148">
        <f t="shared" si="55"/>
        <v>230</v>
      </c>
      <c r="C289" s="16">
        <v>20200526</v>
      </c>
      <c r="D289" s="15" t="s">
        <v>3</v>
      </c>
      <c r="E289" s="15" t="s">
        <v>440</v>
      </c>
      <c r="F289" s="93" t="s">
        <v>701</v>
      </c>
      <c r="G289" s="17">
        <v>1487218</v>
      </c>
      <c r="H289" s="52"/>
      <c r="I289" s="15" t="s">
        <v>646</v>
      </c>
      <c r="J289" s="52"/>
      <c r="K289" s="15" t="s">
        <v>146</v>
      </c>
      <c r="L289" s="15" t="s">
        <v>150</v>
      </c>
      <c r="M289" s="15" t="s">
        <v>621</v>
      </c>
      <c r="N289" s="15" t="s">
        <v>228</v>
      </c>
      <c r="O289" s="17" t="s">
        <v>61</v>
      </c>
      <c r="P289" s="17" t="s">
        <v>447</v>
      </c>
      <c r="Q289" s="18"/>
      <c r="R289" s="52" t="s">
        <v>61</v>
      </c>
      <c r="S289" s="15" t="s">
        <v>64</v>
      </c>
      <c r="T289" s="15"/>
      <c r="U289" s="15"/>
      <c r="V289" s="15">
        <v>23</v>
      </c>
      <c r="W289" s="15">
        <f t="shared" si="53"/>
        <v>23</v>
      </c>
      <c r="X289" s="15">
        <f t="shared" si="58"/>
        <v>23</v>
      </c>
      <c r="Y289" s="15">
        <f>ROUNDDOWN(W289/HLOOKUP(D289,Table!$C$3:$D$4,2,0)*8,2)</f>
        <v>0.4</v>
      </c>
      <c r="Z289" s="15">
        <v>1</v>
      </c>
      <c r="AA289" s="15" t="s">
        <v>74</v>
      </c>
      <c r="AB289" s="19">
        <v>43978</v>
      </c>
      <c r="AC289" s="19">
        <v>43978</v>
      </c>
      <c r="AD289" s="99">
        <v>43979</v>
      </c>
      <c r="AE289" s="19">
        <v>43978</v>
      </c>
      <c r="AF289" s="19">
        <v>43978</v>
      </c>
      <c r="AG289" s="19" t="s">
        <v>176</v>
      </c>
      <c r="AH289" s="31">
        <v>1</v>
      </c>
      <c r="AI289" s="31">
        <v>1</v>
      </c>
      <c r="AJ289" s="31">
        <v>1</v>
      </c>
      <c r="AK289" s="19" t="s">
        <v>150</v>
      </c>
      <c r="AL289" s="15"/>
      <c r="AM289" s="15"/>
      <c r="AN289" s="15"/>
    </row>
    <row r="290" spans="1:40" x14ac:dyDescent="0.25">
      <c r="B290" s="148">
        <f t="shared" si="55"/>
        <v>231</v>
      </c>
      <c r="C290" s="16">
        <v>20200526</v>
      </c>
      <c r="D290" s="15" t="s">
        <v>3</v>
      </c>
      <c r="E290" s="15" t="s">
        <v>440</v>
      </c>
      <c r="F290" s="93" t="s">
        <v>531</v>
      </c>
      <c r="G290" s="17">
        <v>1488033</v>
      </c>
      <c r="H290" s="52"/>
      <c r="I290" s="15" t="s">
        <v>226</v>
      </c>
      <c r="J290" s="52"/>
      <c r="K290" s="15" t="s">
        <v>146</v>
      </c>
      <c r="L290" s="15" t="s">
        <v>150</v>
      </c>
      <c r="M290" s="15" t="s">
        <v>621</v>
      </c>
      <c r="N290" s="15" t="s">
        <v>228</v>
      </c>
      <c r="O290" s="17" t="s">
        <v>61</v>
      </c>
      <c r="P290" s="17" t="s">
        <v>229</v>
      </c>
      <c r="Q290" s="18"/>
      <c r="R290" s="52" t="s">
        <v>61</v>
      </c>
      <c r="S290" s="15" t="s">
        <v>64</v>
      </c>
      <c r="T290" s="15"/>
      <c r="U290" s="15"/>
      <c r="V290" s="15">
        <v>109</v>
      </c>
      <c r="W290" s="15">
        <f t="shared" si="53"/>
        <v>109</v>
      </c>
      <c r="X290" s="15">
        <f t="shared" si="58"/>
        <v>109</v>
      </c>
      <c r="Y290" s="15">
        <f>ROUNDDOWN(W290/HLOOKUP(D290,Table!$C$3:$D$4,2,0)*8,2)</f>
        <v>1.93</v>
      </c>
      <c r="Z290" s="15">
        <v>1</v>
      </c>
      <c r="AA290" s="15" t="s">
        <v>74</v>
      </c>
      <c r="AB290" s="19">
        <v>43978</v>
      </c>
      <c r="AC290" s="19">
        <v>43978</v>
      </c>
      <c r="AD290" s="99">
        <v>43979</v>
      </c>
      <c r="AE290" s="19">
        <v>43978</v>
      </c>
      <c r="AF290" s="19">
        <v>43978</v>
      </c>
      <c r="AG290" s="19" t="s">
        <v>176</v>
      </c>
      <c r="AH290" s="31">
        <v>1</v>
      </c>
      <c r="AI290" s="31">
        <v>1</v>
      </c>
      <c r="AJ290" s="31">
        <v>1</v>
      </c>
      <c r="AK290" s="19" t="s">
        <v>150</v>
      </c>
      <c r="AL290" s="15"/>
      <c r="AM290" s="15"/>
      <c r="AN290" s="15"/>
    </row>
    <row r="291" spans="1:40" x14ac:dyDescent="0.25">
      <c r="B291" s="92">
        <f t="shared" si="55"/>
        <v>232</v>
      </c>
      <c r="C291" s="16">
        <v>20200528</v>
      </c>
      <c r="D291" s="15" t="s">
        <v>2</v>
      </c>
      <c r="E291" s="15" t="s">
        <v>709</v>
      </c>
      <c r="F291" s="17" t="s">
        <v>61</v>
      </c>
      <c r="G291" s="17">
        <v>1491355</v>
      </c>
      <c r="H291" s="52" t="s">
        <v>61</v>
      </c>
      <c r="I291" s="15" t="s">
        <v>710</v>
      </c>
      <c r="J291" s="52" t="s">
        <v>61</v>
      </c>
      <c r="K291" s="15" t="s">
        <v>184</v>
      </c>
      <c r="L291" s="15" t="s">
        <v>150</v>
      </c>
      <c r="M291" s="15" t="s">
        <v>614</v>
      </c>
      <c r="N291" s="15" t="s">
        <v>710</v>
      </c>
      <c r="O291" s="17" t="s">
        <v>712</v>
      </c>
      <c r="P291" s="17" t="s">
        <v>714</v>
      </c>
      <c r="Q291" s="18"/>
      <c r="R291" s="52" t="s">
        <v>61</v>
      </c>
      <c r="S291" s="15" t="s">
        <v>64</v>
      </c>
      <c r="T291" s="15"/>
      <c r="U291" s="15"/>
      <c r="V291" s="15">
        <v>16</v>
      </c>
      <c r="W291" s="15">
        <f t="shared" si="53"/>
        <v>16</v>
      </c>
      <c r="X291" s="15">
        <f t="shared" ref="X291:X301" si="59">W291</f>
        <v>16</v>
      </c>
      <c r="Y291" s="15">
        <f>ROUNDDOWN(W291/HLOOKUP(D291,Table!$C$3:$D$4,2,0)*8,2)</f>
        <v>0.98</v>
      </c>
      <c r="Z291" s="15">
        <v>1</v>
      </c>
      <c r="AA291" s="15" t="s">
        <v>74</v>
      </c>
      <c r="AB291" s="19">
        <v>43983</v>
      </c>
      <c r="AC291" s="19">
        <v>43979</v>
      </c>
      <c r="AD291" s="99">
        <v>43983</v>
      </c>
      <c r="AE291" s="19">
        <v>43983</v>
      </c>
      <c r="AF291" s="19">
        <v>43983</v>
      </c>
      <c r="AG291" s="19" t="s">
        <v>176</v>
      </c>
      <c r="AH291" s="31">
        <v>1</v>
      </c>
      <c r="AI291" s="31">
        <v>1</v>
      </c>
      <c r="AJ291" s="31">
        <v>1</v>
      </c>
      <c r="AK291" s="19" t="s">
        <v>139</v>
      </c>
      <c r="AL291" s="15"/>
      <c r="AM291" s="15" t="s">
        <v>847</v>
      </c>
      <c r="AN291" s="15" t="s">
        <v>950</v>
      </c>
    </row>
    <row r="292" spans="1:40" x14ac:dyDescent="0.25">
      <c r="B292" s="92">
        <f t="shared" si="55"/>
        <v>233</v>
      </c>
      <c r="C292" s="16">
        <v>20200528</v>
      </c>
      <c r="D292" s="15" t="s">
        <v>2</v>
      </c>
      <c r="E292" s="15" t="s">
        <v>709</v>
      </c>
      <c r="F292" s="17" t="s">
        <v>61</v>
      </c>
      <c r="G292" s="17">
        <v>1491355</v>
      </c>
      <c r="H292" s="52" t="s">
        <v>61</v>
      </c>
      <c r="I292" s="15" t="s">
        <v>711</v>
      </c>
      <c r="J292" s="52" t="s">
        <v>61</v>
      </c>
      <c r="K292" s="15" t="s">
        <v>184</v>
      </c>
      <c r="L292" s="15" t="s">
        <v>150</v>
      </c>
      <c r="M292" s="15" t="s">
        <v>614</v>
      </c>
      <c r="N292" s="15" t="s">
        <v>711</v>
      </c>
      <c r="O292" s="17" t="s">
        <v>713</v>
      </c>
      <c r="P292" s="17" t="s">
        <v>714</v>
      </c>
      <c r="Q292" s="18"/>
      <c r="R292" s="52" t="s">
        <v>61</v>
      </c>
      <c r="S292" s="15" t="s">
        <v>64</v>
      </c>
      <c r="T292" s="15"/>
      <c r="U292" s="15"/>
      <c r="V292" s="15">
        <v>49</v>
      </c>
      <c r="W292" s="15">
        <f t="shared" si="53"/>
        <v>49</v>
      </c>
      <c r="X292" s="15">
        <f t="shared" si="59"/>
        <v>49</v>
      </c>
      <c r="Y292" s="15">
        <f>ROUNDDOWN(W292/HLOOKUP(D292,Table!$C$3:$D$4,2,0)*8,2)</f>
        <v>3.01</v>
      </c>
      <c r="Z292" s="15">
        <v>3</v>
      </c>
      <c r="AA292" s="15" t="s">
        <v>74</v>
      </c>
      <c r="AB292" s="19">
        <v>43983</v>
      </c>
      <c r="AC292" s="19">
        <v>43979</v>
      </c>
      <c r="AD292" s="99">
        <v>43983</v>
      </c>
      <c r="AE292" s="19">
        <v>43979</v>
      </c>
      <c r="AF292" s="19">
        <v>43979</v>
      </c>
      <c r="AG292" s="19" t="s">
        <v>176</v>
      </c>
      <c r="AH292" s="31">
        <v>1</v>
      </c>
      <c r="AI292" s="31">
        <v>1</v>
      </c>
      <c r="AJ292" s="31">
        <v>1</v>
      </c>
      <c r="AK292" s="19" t="s">
        <v>150</v>
      </c>
      <c r="AL292" s="15"/>
      <c r="AM292" s="15"/>
      <c r="AN292" s="15"/>
    </row>
    <row r="293" spans="1:40" x14ac:dyDescent="0.25">
      <c r="B293" s="92">
        <f t="shared" si="55"/>
        <v>234</v>
      </c>
      <c r="C293" s="16">
        <v>20200528</v>
      </c>
      <c r="D293" s="15" t="s">
        <v>3</v>
      </c>
      <c r="E293" s="15" t="s">
        <v>601</v>
      </c>
      <c r="F293" s="169" t="s">
        <v>856</v>
      </c>
      <c r="G293" s="17">
        <v>1492051</v>
      </c>
      <c r="H293" s="52" t="s">
        <v>61</v>
      </c>
      <c r="I293" s="15" t="s">
        <v>201</v>
      </c>
      <c r="J293" s="52" t="s">
        <v>61</v>
      </c>
      <c r="K293" s="15" t="s">
        <v>146</v>
      </c>
      <c r="L293" s="15" t="s">
        <v>613</v>
      </c>
      <c r="M293" s="15" t="s">
        <v>615</v>
      </c>
      <c r="N293" s="15" t="s">
        <v>428</v>
      </c>
      <c r="O293" s="17" t="s">
        <v>61</v>
      </c>
      <c r="P293" s="17" t="s">
        <v>208</v>
      </c>
      <c r="Q293" s="18"/>
      <c r="R293" s="52" t="s">
        <v>61</v>
      </c>
      <c r="S293" s="15" t="s">
        <v>64</v>
      </c>
      <c r="T293" s="15"/>
      <c r="U293" s="15"/>
      <c r="V293" s="15">
        <v>261</v>
      </c>
      <c r="W293" s="15">
        <f t="shared" si="53"/>
        <v>261</v>
      </c>
      <c r="X293" s="15">
        <f t="shared" si="59"/>
        <v>261</v>
      </c>
      <c r="Y293" s="15">
        <f>ROUNDDOWN(W293/HLOOKUP(D293,Table!$C$3:$D$4,2,0)*8,2)</f>
        <v>4.6399999999999997</v>
      </c>
      <c r="Z293" s="15">
        <v>3</v>
      </c>
      <c r="AA293" s="15" t="s">
        <v>74</v>
      </c>
      <c r="AB293" s="19">
        <v>43980</v>
      </c>
      <c r="AC293" s="19">
        <v>43979</v>
      </c>
      <c r="AD293" s="19">
        <v>43980</v>
      </c>
      <c r="AE293" s="19">
        <v>43979</v>
      </c>
      <c r="AF293" s="19">
        <v>43979</v>
      </c>
      <c r="AG293" s="19" t="s">
        <v>176</v>
      </c>
      <c r="AH293" s="31">
        <v>1</v>
      </c>
      <c r="AI293" s="31">
        <v>1</v>
      </c>
      <c r="AJ293" s="31">
        <v>1</v>
      </c>
      <c r="AK293" s="19" t="s">
        <v>150</v>
      </c>
      <c r="AL293" s="15"/>
      <c r="AM293" s="15"/>
      <c r="AN293" s="15"/>
    </row>
    <row r="294" spans="1:40" x14ac:dyDescent="0.25">
      <c r="B294" s="41">
        <f t="shared" si="55"/>
        <v>235</v>
      </c>
      <c r="C294" s="16">
        <v>20200528</v>
      </c>
      <c r="D294" s="15" t="s">
        <v>3</v>
      </c>
      <c r="E294" s="15" t="s">
        <v>264</v>
      </c>
      <c r="F294" s="169" t="s">
        <v>851</v>
      </c>
      <c r="G294" s="17">
        <v>1490028</v>
      </c>
      <c r="H294" s="52" t="s">
        <v>61</v>
      </c>
      <c r="I294" s="15" t="s">
        <v>385</v>
      </c>
      <c r="J294" s="52" t="s">
        <v>61</v>
      </c>
      <c r="K294" s="15" t="s">
        <v>146</v>
      </c>
      <c r="L294" s="15" t="s">
        <v>850</v>
      </c>
      <c r="M294" s="15" t="s">
        <v>297</v>
      </c>
      <c r="N294" s="15" t="s">
        <v>272</v>
      </c>
      <c r="O294" s="17" t="s">
        <v>61</v>
      </c>
      <c r="P294" s="17" t="s">
        <v>387</v>
      </c>
      <c r="Q294" s="18"/>
      <c r="R294" s="52" t="s">
        <v>61</v>
      </c>
      <c r="S294" s="15" t="s">
        <v>142</v>
      </c>
      <c r="T294" s="15"/>
      <c r="U294" s="15"/>
      <c r="V294" s="15">
        <v>81</v>
      </c>
      <c r="W294" s="15">
        <f>V294</f>
        <v>81</v>
      </c>
      <c r="X294" s="15">
        <f t="shared" si="59"/>
        <v>81</v>
      </c>
      <c r="Y294" s="15">
        <f>ROUNDDOWN(W294/HLOOKUP(D294,Table!$C$3:$D$4,2,0)*8,2)</f>
        <v>1.44</v>
      </c>
      <c r="Z294" s="15">
        <v>0.2</v>
      </c>
      <c r="AA294" s="15" t="s">
        <v>74</v>
      </c>
      <c r="AB294" s="19">
        <v>43984</v>
      </c>
      <c r="AC294" s="19">
        <v>43979</v>
      </c>
      <c r="AD294" s="19">
        <v>43984</v>
      </c>
      <c r="AE294" s="19">
        <v>43980</v>
      </c>
      <c r="AF294" s="19">
        <v>43980</v>
      </c>
      <c r="AG294" s="19" t="s">
        <v>176</v>
      </c>
      <c r="AH294" s="31">
        <v>1</v>
      </c>
      <c r="AI294" s="31">
        <v>1</v>
      </c>
      <c r="AJ294" s="31">
        <v>1</v>
      </c>
      <c r="AK294" s="19" t="s">
        <v>150</v>
      </c>
      <c r="AL294" s="17" t="s">
        <v>61</v>
      </c>
      <c r="AM294" s="17" t="s">
        <v>61</v>
      </c>
      <c r="AN294" s="168" t="s">
        <v>61</v>
      </c>
    </row>
    <row r="295" spans="1:40" x14ac:dyDescent="0.25">
      <c r="B295" s="41">
        <f t="shared" si="55"/>
        <v>236</v>
      </c>
      <c r="C295" s="16">
        <v>20200528</v>
      </c>
      <c r="D295" s="15" t="s">
        <v>3</v>
      </c>
      <c r="E295" s="15" t="s">
        <v>264</v>
      </c>
      <c r="F295" s="169" t="s">
        <v>852</v>
      </c>
      <c r="G295" s="17">
        <v>1490028</v>
      </c>
      <c r="H295" s="52" t="s">
        <v>61</v>
      </c>
      <c r="I295" s="15" t="s">
        <v>849</v>
      </c>
      <c r="J295" s="52" t="s">
        <v>61</v>
      </c>
      <c r="K295" s="15" t="s">
        <v>146</v>
      </c>
      <c r="L295" s="15" t="s">
        <v>850</v>
      </c>
      <c r="M295" s="15" t="s">
        <v>297</v>
      </c>
      <c r="N295" s="15" t="s">
        <v>272</v>
      </c>
      <c r="O295" s="17" t="s">
        <v>61</v>
      </c>
      <c r="P295" s="17" t="s">
        <v>387</v>
      </c>
      <c r="Q295" s="18"/>
      <c r="R295" s="52" t="s">
        <v>61</v>
      </c>
      <c r="S295" s="15" t="s">
        <v>142</v>
      </c>
      <c r="T295" s="15"/>
      <c r="U295" s="15"/>
      <c r="V295" s="15">
        <v>50</v>
      </c>
      <c r="W295" s="15">
        <f>V295</f>
        <v>50</v>
      </c>
      <c r="X295" s="15">
        <f t="shared" si="59"/>
        <v>50</v>
      </c>
      <c r="Y295" s="15">
        <f>ROUNDDOWN(W295/HLOOKUP(D295,Table!$C$3:$D$4,2,0)*8,2)</f>
        <v>0.88</v>
      </c>
      <c r="Z295" s="15">
        <v>0.2</v>
      </c>
      <c r="AA295" s="15" t="s">
        <v>74</v>
      </c>
      <c r="AB295" s="19">
        <v>43984</v>
      </c>
      <c r="AC295" s="19">
        <v>43979</v>
      </c>
      <c r="AD295" s="19">
        <v>43984</v>
      </c>
      <c r="AE295" s="19">
        <v>43980</v>
      </c>
      <c r="AF295" s="19">
        <v>43980</v>
      </c>
      <c r="AG295" s="19" t="s">
        <v>176</v>
      </c>
      <c r="AH295" s="31">
        <v>1</v>
      </c>
      <c r="AI295" s="31">
        <v>1</v>
      </c>
      <c r="AJ295" s="31">
        <v>1</v>
      </c>
      <c r="AK295" s="19" t="s">
        <v>150</v>
      </c>
      <c r="AL295" s="17" t="s">
        <v>61</v>
      </c>
      <c r="AM295" s="17" t="s">
        <v>61</v>
      </c>
      <c r="AN295" s="168" t="s">
        <v>61</v>
      </c>
    </row>
    <row r="296" spans="1:40" x14ac:dyDescent="0.25">
      <c r="B296" s="171">
        <f t="shared" si="55"/>
        <v>237</v>
      </c>
      <c r="C296" s="16">
        <v>20200529</v>
      </c>
      <c r="D296" s="15" t="s">
        <v>3</v>
      </c>
      <c r="E296" s="15" t="s">
        <v>359</v>
      </c>
      <c r="F296" s="56" t="s">
        <v>474</v>
      </c>
      <c r="G296" s="17">
        <v>1495464</v>
      </c>
      <c r="H296" s="52" t="s">
        <v>61</v>
      </c>
      <c r="I296" s="15" t="s">
        <v>445</v>
      </c>
      <c r="J296" s="52" t="s">
        <v>61</v>
      </c>
      <c r="K296" s="15" t="s">
        <v>146</v>
      </c>
      <c r="L296" s="15" t="s">
        <v>150</v>
      </c>
      <c r="M296" s="15" t="s">
        <v>150</v>
      </c>
      <c r="N296" s="15" t="s">
        <v>181</v>
      </c>
      <c r="O296" s="17" t="s">
        <v>61</v>
      </c>
      <c r="P296" s="17" t="s">
        <v>179</v>
      </c>
      <c r="Q296" s="18"/>
      <c r="R296" s="52" t="s">
        <v>61</v>
      </c>
      <c r="S296" s="15" t="s">
        <v>67</v>
      </c>
      <c r="T296" s="15"/>
      <c r="U296" s="15"/>
      <c r="V296" s="15">
        <v>108</v>
      </c>
      <c r="W296" s="84">
        <v>260</v>
      </c>
      <c r="X296" s="15">
        <f t="shared" si="59"/>
        <v>260</v>
      </c>
      <c r="Y296" s="15">
        <f>ROUNDDOWN(W296/HLOOKUP(D296,Table!$C$3:$D$4,2,0)*8,2)</f>
        <v>4.62</v>
      </c>
      <c r="Z296" s="15">
        <v>2</v>
      </c>
      <c r="AA296" s="15" t="s">
        <v>74</v>
      </c>
      <c r="AB296" s="19">
        <v>43991</v>
      </c>
      <c r="AC296" s="19">
        <v>43980</v>
      </c>
      <c r="AD296" s="99">
        <v>43991</v>
      </c>
      <c r="AE296" s="19">
        <v>43990</v>
      </c>
      <c r="AF296" s="19">
        <v>43990</v>
      </c>
      <c r="AG296" s="19" t="s">
        <v>176</v>
      </c>
      <c r="AH296" s="31">
        <v>1</v>
      </c>
      <c r="AI296" s="31">
        <v>1</v>
      </c>
      <c r="AJ296" s="31">
        <v>1</v>
      </c>
      <c r="AK296" s="19" t="s">
        <v>150</v>
      </c>
      <c r="AL296" s="15"/>
      <c r="AM296" s="15"/>
      <c r="AN296" s="15" t="s">
        <v>1439</v>
      </c>
    </row>
    <row r="297" spans="1:40" x14ac:dyDescent="0.25">
      <c r="B297" s="171">
        <f t="shared" si="55"/>
        <v>238</v>
      </c>
      <c r="C297" s="16">
        <v>20200529</v>
      </c>
      <c r="D297" s="15" t="s">
        <v>2</v>
      </c>
      <c r="E297" s="15" t="s">
        <v>936</v>
      </c>
      <c r="F297" s="17" t="s">
        <v>61</v>
      </c>
      <c r="G297" s="17">
        <v>1493209</v>
      </c>
      <c r="H297" s="52" t="s">
        <v>61</v>
      </c>
      <c r="I297" s="15" t="s">
        <v>938</v>
      </c>
      <c r="J297" s="52" t="s">
        <v>61</v>
      </c>
      <c r="K297" s="15" t="s">
        <v>146</v>
      </c>
      <c r="L297" s="15" t="s">
        <v>150</v>
      </c>
      <c r="M297" s="15" t="s">
        <v>150</v>
      </c>
      <c r="N297" s="15" t="s">
        <v>943</v>
      </c>
      <c r="O297" s="17" t="s">
        <v>942</v>
      </c>
      <c r="P297" s="17" t="s">
        <v>944</v>
      </c>
      <c r="Q297" s="18"/>
      <c r="R297" s="52" t="s">
        <v>61</v>
      </c>
      <c r="S297" s="15" t="s">
        <v>68</v>
      </c>
      <c r="T297" s="15"/>
      <c r="U297" s="15"/>
      <c r="V297" s="15">
        <v>52</v>
      </c>
      <c r="W297" s="15">
        <f t="shared" ref="W297:W299" si="60">V297</f>
        <v>52</v>
      </c>
      <c r="X297" s="15">
        <f t="shared" si="59"/>
        <v>52</v>
      </c>
      <c r="Y297" s="15">
        <f>ROUNDDOWN(W297/HLOOKUP(D297,Table!$C$3:$D$4,2,0)*8,2)</f>
        <v>3.2</v>
      </c>
      <c r="Z297" s="15">
        <v>3</v>
      </c>
      <c r="AA297" s="15" t="s">
        <v>74</v>
      </c>
      <c r="AB297" s="19">
        <v>43991</v>
      </c>
      <c r="AC297" s="19">
        <v>43980</v>
      </c>
      <c r="AD297" s="99">
        <v>43991</v>
      </c>
      <c r="AE297" s="19">
        <v>43983</v>
      </c>
      <c r="AF297" s="19">
        <v>43983</v>
      </c>
      <c r="AG297" s="19" t="s">
        <v>176</v>
      </c>
      <c r="AH297" s="31">
        <v>1</v>
      </c>
      <c r="AI297" s="31">
        <v>1</v>
      </c>
      <c r="AJ297" s="31">
        <v>1</v>
      </c>
      <c r="AK297" s="19" t="s">
        <v>150</v>
      </c>
      <c r="AL297" s="168" t="s">
        <v>61</v>
      </c>
      <c r="AM297" s="15"/>
      <c r="AN297" s="15"/>
    </row>
    <row r="298" spans="1:40" x14ac:dyDescent="0.25">
      <c r="B298" s="171">
        <f t="shared" si="55"/>
        <v>239</v>
      </c>
      <c r="C298" s="16">
        <v>20200529</v>
      </c>
      <c r="D298" s="15" t="s">
        <v>2</v>
      </c>
      <c r="E298" s="15" t="s">
        <v>936</v>
      </c>
      <c r="F298" s="17" t="s">
        <v>61</v>
      </c>
      <c r="G298" s="17">
        <v>1493209</v>
      </c>
      <c r="H298" s="52" t="s">
        <v>61</v>
      </c>
      <c r="I298" s="15" t="s">
        <v>937</v>
      </c>
      <c r="J298" s="52" t="s">
        <v>61</v>
      </c>
      <c r="K298" s="15" t="s">
        <v>146</v>
      </c>
      <c r="L298" s="15" t="s">
        <v>150</v>
      </c>
      <c r="M298" s="15" t="s">
        <v>150</v>
      </c>
      <c r="N298" s="15" t="s">
        <v>943</v>
      </c>
      <c r="O298" s="17" t="s">
        <v>940</v>
      </c>
      <c r="P298" s="17" t="s">
        <v>944</v>
      </c>
      <c r="Q298" s="18"/>
      <c r="R298" s="52" t="s">
        <v>61</v>
      </c>
      <c r="S298" s="15" t="s">
        <v>69</v>
      </c>
      <c r="T298" s="15"/>
      <c r="U298" s="15"/>
      <c r="V298" s="15">
        <v>15</v>
      </c>
      <c r="W298" s="15">
        <f t="shared" si="60"/>
        <v>15</v>
      </c>
      <c r="X298" s="15">
        <f t="shared" si="59"/>
        <v>15</v>
      </c>
      <c r="Y298" s="15">
        <f>ROUNDDOWN(W298/HLOOKUP(D298,Table!$C$3:$D$4,2,0)*8,2)</f>
        <v>0.92</v>
      </c>
      <c r="Z298" s="15">
        <v>1</v>
      </c>
      <c r="AA298" s="15" t="s">
        <v>74</v>
      </c>
      <c r="AB298" s="19">
        <v>43991</v>
      </c>
      <c r="AC298" s="19">
        <v>43980</v>
      </c>
      <c r="AD298" s="99">
        <v>43991</v>
      </c>
      <c r="AE298" s="19">
        <v>43983</v>
      </c>
      <c r="AF298" s="19">
        <v>43983</v>
      </c>
      <c r="AG298" s="19" t="s">
        <v>176</v>
      </c>
      <c r="AH298" s="31">
        <v>1</v>
      </c>
      <c r="AI298" s="31">
        <v>1</v>
      </c>
      <c r="AJ298" s="31">
        <v>1</v>
      </c>
      <c r="AK298" s="19" t="s">
        <v>150</v>
      </c>
      <c r="AL298" s="17" t="s">
        <v>61</v>
      </c>
      <c r="AM298" s="17" t="s">
        <v>61</v>
      </c>
      <c r="AN298" s="17" t="s">
        <v>61</v>
      </c>
    </row>
    <row r="299" spans="1:40" x14ac:dyDescent="0.25">
      <c r="B299" s="171">
        <f t="shared" si="55"/>
        <v>240</v>
      </c>
      <c r="C299" s="16">
        <v>20200529</v>
      </c>
      <c r="D299" s="15" t="s">
        <v>2</v>
      </c>
      <c r="E299" s="15" t="s">
        <v>936</v>
      </c>
      <c r="F299" s="17" t="s">
        <v>61</v>
      </c>
      <c r="G299" s="17">
        <v>1493209</v>
      </c>
      <c r="H299" s="52" t="s">
        <v>61</v>
      </c>
      <c r="I299" s="15" t="s">
        <v>939</v>
      </c>
      <c r="J299" s="52" t="s">
        <v>61</v>
      </c>
      <c r="K299" s="15" t="s">
        <v>146</v>
      </c>
      <c r="L299" s="15" t="s">
        <v>150</v>
      </c>
      <c r="M299" s="15" t="s">
        <v>150</v>
      </c>
      <c r="N299" s="15" t="s">
        <v>943</v>
      </c>
      <c r="O299" s="17" t="s">
        <v>941</v>
      </c>
      <c r="P299" s="17" t="s">
        <v>944</v>
      </c>
      <c r="Q299" s="18"/>
      <c r="R299" s="52" t="s">
        <v>61</v>
      </c>
      <c r="S299" s="15" t="s">
        <v>70</v>
      </c>
      <c r="T299" s="15"/>
      <c r="U299" s="15"/>
      <c r="V299" s="15">
        <v>149</v>
      </c>
      <c r="W299" s="15">
        <f t="shared" si="60"/>
        <v>149</v>
      </c>
      <c r="X299" s="15">
        <f t="shared" si="59"/>
        <v>149</v>
      </c>
      <c r="Y299" s="15">
        <f>ROUNDDOWN(W299/HLOOKUP(D299,Table!$C$3:$D$4,2,0)*8,2)</f>
        <v>9.16</v>
      </c>
      <c r="Z299" s="15">
        <v>9</v>
      </c>
      <c r="AA299" s="15" t="s">
        <v>74</v>
      </c>
      <c r="AB299" s="19">
        <v>43991</v>
      </c>
      <c r="AC299" s="19">
        <v>43980</v>
      </c>
      <c r="AD299" s="99">
        <v>43991</v>
      </c>
      <c r="AE299" s="19">
        <v>43987</v>
      </c>
      <c r="AF299" s="19">
        <v>43987</v>
      </c>
      <c r="AG299" s="19" t="s">
        <v>177</v>
      </c>
      <c r="AH299" s="31">
        <v>0.89</v>
      </c>
      <c r="AI299" s="31">
        <v>0.89</v>
      </c>
      <c r="AJ299" s="31">
        <v>0.95</v>
      </c>
      <c r="AK299" s="19" t="s">
        <v>139</v>
      </c>
      <c r="AL299" s="17" t="s">
        <v>1437</v>
      </c>
      <c r="AM299" s="136" t="s">
        <v>61</v>
      </c>
      <c r="AN299" s="17" t="s">
        <v>1438</v>
      </c>
    </row>
    <row r="300" spans="1:40" x14ac:dyDescent="0.25">
      <c r="B300" s="174">
        <f t="shared" si="55"/>
        <v>241</v>
      </c>
      <c r="C300" s="16">
        <v>20200601</v>
      </c>
      <c r="D300" s="15" t="s">
        <v>3</v>
      </c>
      <c r="E300" s="80" t="s">
        <v>951</v>
      </c>
      <c r="F300" s="169" t="s">
        <v>1035</v>
      </c>
      <c r="G300" s="80">
        <v>1462660</v>
      </c>
      <c r="H300" s="52" t="s">
        <v>61</v>
      </c>
      <c r="I300" s="80" t="s">
        <v>983</v>
      </c>
      <c r="J300" s="52" t="s">
        <v>61</v>
      </c>
      <c r="K300" s="15" t="s">
        <v>146</v>
      </c>
      <c r="L300" s="80" t="s">
        <v>1002</v>
      </c>
      <c r="M300" s="80" t="s">
        <v>1003</v>
      </c>
      <c r="N300" s="80" t="s">
        <v>1004</v>
      </c>
      <c r="O300" s="17" t="s">
        <v>61</v>
      </c>
      <c r="P300" s="77" t="s">
        <v>427</v>
      </c>
      <c r="Q300" s="18"/>
      <c r="R300" s="52" t="s">
        <v>61</v>
      </c>
      <c r="S300" s="15" t="s">
        <v>142</v>
      </c>
      <c r="T300" s="15"/>
      <c r="U300" s="15"/>
      <c r="V300" s="80">
        <v>125</v>
      </c>
      <c r="W300" s="15">
        <f t="shared" ref="W300:W331" si="61">V300</f>
        <v>125</v>
      </c>
      <c r="X300" s="15">
        <f t="shared" si="59"/>
        <v>125</v>
      </c>
      <c r="Y300" s="15">
        <f>ROUNDDOWN(W300/HLOOKUP(D300,Table!$C$3:$D$4,2,0)*8,2)</f>
        <v>2.2200000000000002</v>
      </c>
      <c r="Z300" s="15">
        <v>0.2</v>
      </c>
      <c r="AA300" s="15" t="s">
        <v>74</v>
      </c>
      <c r="AB300" s="19">
        <v>43990</v>
      </c>
      <c r="AC300" s="19">
        <v>43983</v>
      </c>
      <c r="AD300" s="172">
        <v>43994</v>
      </c>
      <c r="AE300" s="19">
        <v>43986</v>
      </c>
      <c r="AF300" s="19">
        <v>43986</v>
      </c>
      <c r="AG300" s="19" t="s">
        <v>176</v>
      </c>
      <c r="AH300" s="31">
        <v>1</v>
      </c>
      <c r="AI300" s="31">
        <v>1</v>
      </c>
      <c r="AJ300" s="31">
        <v>1</v>
      </c>
      <c r="AK300" s="19" t="s">
        <v>150</v>
      </c>
      <c r="AL300" s="17" t="s">
        <v>61</v>
      </c>
      <c r="AM300" s="17" t="s">
        <v>61</v>
      </c>
      <c r="AN300" s="198" t="s">
        <v>61</v>
      </c>
    </row>
    <row r="301" spans="1:40" x14ac:dyDescent="0.25">
      <c r="B301" s="174">
        <f t="shared" si="55"/>
        <v>242</v>
      </c>
      <c r="C301" s="16">
        <v>20200601</v>
      </c>
      <c r="D301" s="15" t="s">
        <v>3</v>
      </c>
      <c r="E301" s="80" t="s">
        <v>951</v>
      </c>
      <c r="F301" s="169" t="s">
        <v>1036</v>
      </c>
      <c r="G301" s="80">
        <v>1462660</v>
      </c>
      <c r="H301" s="52" t="s">
        <v>61</v>
      </c>
      <c r="I301" s="80" t="s">
        <v>199</v>
      </c>
      <c r="J301" s="52" t="s">
        <v>61</v>
      </c>
      <c r="K301" s="15" t="s">
        <v>146</v>
      </c>
      <c r="L301" s="80" t="s">
        <v>1002</v>
      </c>
      <c r="M301" s="80" t="s">
        <v>1003</v>
      </c>
      <c r="N301" s="80" t="s">
        <v>1004</v>
      </c>
      <c r="O301" s="17" t="s">
        <v>61</v>
      </c>
      <c r="P301" s="77" t="s">
        <v>427</v>
      </c>
      <c r="Q301" s="18"/>
      <c r="R301" s="52" t="s">
        <v>61</v>
      </c>
      <c r="S301" s="15" t="s">
        <v>142</v>
      </c>
      <c r="T301" s="15"/>
      <c r="U301" s="15"/>
      <c r="V301" s="80">
        <v>108</v>
      </c>
      <c r="W301" s="15">
        <f t="shared" si="61"/>
        <v>108</v>
      </c>
      <c r="X301" s="15">
        <f t="shared" si="59"/>
        <v>108</v>
      </c>
      <c r="Y301" s="15">
        <f>ROUNDDOWN(W301/HLOOKUP(D301,Table!$C$3:$D$4,2,0)*8,2)</f>
        <v>1.92</v>
      </c>
      <c r="Z301" s="15">
        <v>0.1</v>
      </c>
      <c r="AA301" s="15" t="s">
        <v>74</v>
      </c>
      <c r="AB301" s="19">
        <v>43990</v>
      </c>
      <c r="AC301" s="19">
        <v>43983</v>
      </c>
      <c r="AD301" s="172">
        <v>43994</v>
      </c>
      <c r="AE301" s="19">
        <v>43986</v>
      </c>
      <c r="AF301" s="19">
        <v>43986</v>
      </c>
      <c r="AG301" s="19" t="s">
        <v>176</v>
      </c>
      <c r="AH301" s="31">
        <v>1</v>
      </c>
      <c r="AI301" s="31">
        <v>1</v>
      </c>
      <c r="AJ301" s="31">
        <v>1</v>
      </c>
      <c r="AK301" s="19" t="s">
        <v>150</v>
      </c>
      <c r="AL301" s="17" t="s">
        <v>61</v>
      </c>
      <c r="AM301" s="17" t="s">
        <v>61</v>
      </c>
      <c r="AN301" s="198" t="s">
        <v>61</v>
      </c>
    </row>
    <row r="302" spans="1:40" x14ac:dyDescent="0.25">
      <c r="B302" s="174">
        <f t="shared" si="55"/>
        <v>243</v>
      </c>
      <c r="C302" s="16">
        <v>20200601</v>
      </c>
      <c r="D302" s="15" t="s">
        <v>3</v>
      </c>
      <c r="E302" s="80" t="s">
        <v>952</v>
      </c>
      <c r="F302" s="169" t="s">
        <v>1037</v>
      </c>
      <c r="G302" s="80">
        <v>1405309</v>
      </c>
      <c r="H302" s="52" t="s">
        <v>61</v>
      </c>
      <c r="I302" s="80" t="s">
        <v>984</v>
      </c>
      <c r="J302" s="52" t="s">
        <v>61</v>
      </c>
      <c r="K302" s="15" t="s">
        <v>146</v>
      </c>
      <c r="L302" s="178" t="s">
        <v>1008</v>
      </c>
      <c r="M302" s="80" t="s">
        <v>1007</v>
      </c>
      <c r="N302" t="s">
        <v>1006</v>
      </c>
      <c r="O302" s="17" t="s">
        <v>61</v>
      </c>
      <c r="P302" s="80" t="s">
        <v>1005</v>
      </c>
      <c r="Q302" s="18"/>
      <c r="R302" s="52" t="s">
        <v>61</v>
      </c>
      <c r="S302" s="15" t="s">
        <v>142</v>
      </c>
      <c r="T302" s="15"/>
      <c r="U302" s="15"/>
      <c r="V302" s="80">
        <v>60</v>
      </c>
      <c r="W302" s="15">
        <v>60</v>
      </c>
      <c r="X302" s="15">
        <v>60</v>
      </c>
      <c r="Y302" s="15">
        <f>ROUNDDOWN(W302/HLOOKUP(D302,Table!$C$3:$D$4,2,0)*8,2)</f>
        <v>1.06</v>
      </c>
      <c r="Z302" s="15">
        <v>0.5</v>
      </c>
      <c r="AA302" s="15" t="s">
        <v>74</v>
      </c>
      <c r="AB302" s="19">
        <v>43987</v>
      </c>
      <c r="AC302" s="19">
        <v>43983</v>
      </c>
      <c r="AD302" s="99">
        <v>43987</v>
      </c>
      <c r="AE302" s="19">
        <v>43983</v>
      </c>
      <c r="AF302" s="19">
        <v>43983</v>
      </c>
      <c r="AG302" s="19" t="s">
        <v>176</v>
      </c>
      <c r="AH302" s="31">
        <v>1</v>
      </c>
      <c r="AI302" s="31">
        <v>1</v>
      </c>
      <c r="AJ302" s="31">
        <v>1</v>
      </c>
      <c r="AK302" s="19" t="s">
        <v>150</v>
      </c>
      <c r="AL302" s="17" t="s">
        <v>61</v>
      </c>
      <c r="AM302" s="17" t="s">
        <v>61</v>
      </c>
      <c r="AN302" s="168" t="s">
        <v>61</v>
      </c>
    </row>
    <row r="303" spans="1:40" x14ac:dyDescent="0.25">
      <c r="B303" s="174">
        <f t="shared" si="55"/>
        <v>244</v>
      </c>
      <c r="C303" s="16">
        <v>20200601</v>
      </c>
      <c r="D303" s="15" t="s">
        <v>3</v>
      </c>
      <c r="E303" s="80" t="s">
        <v>952</v>
      </c>
      <c r="F303" s="169" t="s">
        <v>1038</v>
      </c>
      <c r="G303" s="80">
        <v>1405309</v>
      </c>
      <c r="H303" s="52" t="s">
        <v>61</v>
      </c>
      <c r="I303" s="80" t="s">
        <v>207</v>
      </c>
      <c r="J303" s="52" t="s">
        <v>61</v>
      </c>
      <c r="K303" s="15" t="s">
        <v>146</v>
      </c>
      <c r="L303" s="3" t="s">
        <v>1008</v>
      </c>
      <c r="M303" s="80" t="s">
        <v>1007</v>
      </c>
      <c r="N303" s="80" t="s">
        <v>1006</v>
      </c>
      <c r="O303" s="17" t="s">
        <v>61</v>
      </c>
      <c r="P303" s="17" t="s">
        <v>1005</v>
      </c>
      <c r="Q303" s="18"/>
      <c r="R303" s="52" t="s">
        <v>61</v>
      </c>
      <c r="S303" s="15" t="s">
        <v>142</v>
      </c>
      <c r="T303" s="15"/>
      <c r="U303" s="15"/>
      <c r="V303" s="80">
        <v>177</v>
      </c>
      <c r="W303" s="15">
        <f t="shared" si="61"/>
        <v>177</v>
      </c>
      <c r="X303" s="15">
        <f>W303</f>
        <v>177</v>
      </c>
      <c r="Y303" s="15">
        <f>ROUNDDOWN(W303/HLOOKUP(D303,Table!$C$3:$D$4,2,0)*8,2)</f>
        <v>3.14</v>
      </c>
      <c r="Z303" s="15">
        <v>0.4</v>
      </c>
      <c r="AA303" s="15" t="s">
        <v>74</v>
      </c>
      <c r="AB303" s="19">
        <v>43987</v>
      </c>
      <c r="AC303" s="19">
        <v>43983</v>
      </c>
      <c r="AD303" s="99">
        <v>43987</v>
      </c>
      <c r="AE303" s="19">
        <v>43983</v>
      </c>
      <c r="AF303" s="19">
        <v>43983</v>
      </c>
      <c r="AG303" s="19" t="s">
        <v>176</v>
      </c>
      <c r="AH303" s="31">
        <v>1</v>
      </c>
      <c r="AI303" s="31">
        <v>1</v>
      </c>
      <c r="AJ303" s="31">
        <v>1</v>
      </c>
      <c r="AK303" s="19" t="s">
        <v>150</v>
      </c>
      <c r="AL303" s="17" t="s">
        <v>61</v>
      </c>
      <c r="AM303" s="17" t="s">
        <v>61</v>
      </c>
      <c r="AN303" s="168" t="s">
        <v>61</v>
      </c>
    </row>
    <row r="304" spans="1:40" x14ac:dyDescent="0.25">
      <c r="B304" s="174">
        <f t="shared" si="55"/>
        <v>245</v>
      </c>
      <c r="C304" s="16">
        <v>20200601</v>
      </c>
      <c r="D304" s="15" t="s">
        <v>3</v>
      </c>
      <c r="E304" s="80" t="s">
        <v>953</v>
      </c>
      <c r="F304" s="169" t="s">
        <v>1039</v>
      </c>
      <c r="G304" s="80">
        <v>1491873</v>
      </c>
      <c r="H304" s="52" t="s">
        <v>61</v>
      </c>
      <c r="I304" s="80" t="s">
        <v>159</v>
      </c>
      <c r="J304" s="52" t="s">
        <v>61</v>
      </c>
      <c r="K304" s="15" t="s">
        <v>146</v>
      </c>
      <c r="L304" s="80" t="s">
        <v>1030</v>
      </c>
      <c r="M304" s="15" t="s">
        <v>1010</v>
      </c>
      <c r="N304" t="s">
        <v>609</v>
      </c>
      <c r="O304" s="17" t="s">
        <v>61</v>
      </c>
      <c r="P304" s="80" t="s">
        <v>1009</v>
      </c>
      <c r="Q304" s="18"/>
      <c r="R304" s="52" t="s">
        <v>61</v>
      </c>
      <c r="S304" s="15" t="s">
        <v>67</v>
      </c>
      <c r="T304" s="15"/>
      <c r="U304" s="15"/>
      <c r="V304" s="80">
        <v>88</v>
      </c>
      <c r="W304" s="15">
        <f t="shared" si="61"/>
        <v>88</v>
      </c>
      <c r="X304" s="15">
        <f>W304</f>
        <v>88</v>
      </c>
      <c r="Y304" s="15">
        <f>ROUNDDOWN(W304/HLOOKUP(D304,Table!$C$3:$D$4,2,0)*8,2)</f>
        <v>1.56</v>
      </c>
      <c r="Z304" s="15">
        <v>1</v>
      </c>
      <c r="AA304" s="15" t="s">
        <v>74</v>
      </c>
      <c r="AB304" s="19">
        <v>43987</v>
      </c>
      <c r="AC304" s="19">
        <v>43983</v>
      </c>
      <c r="AD304" s="99">
        <v>43986</v>
      </c>
      <c r="AE304" s="19">
        <v>43986</v>
      </c>
      <c r="AF304" s="19">
        <v>43986</v>
      </c>
      <c r="AG304" s="19" t="s">
        <v>176</v>
      </c>
      <c r="AH304" s="31">
        <v>1</v>
      </c>
      <c r="AI304" s="31">
        <v>1</v>
      </c>
      <c r="AJ304" s="31">
        <v>1</v>
      </c>
      <c r="AK304" s="19" t="s">
        <v>150</v>
      </c>
      <c r="AL304" s="17" t="s">
        <v>61</v>
      </c>
      <c r="AM304" s="17" t="s">
        <v>61</v>
      </c>
      <c r="AN304" s="17" t="s">
        <v>61</v>
      </c>
    </row>
    <row r="305" spans="2:40" x14ac:dyDescent="0.25">
      <c r="B305" s="174">
        <f t="shared" si="55"/>
        <v>246</v>
      </c>
      <c r="C305" s="16">
        <v>20200601</v>
      </c>
      <c r="D305" s="15" t="s">
        <v>3</v>
      </c>
      <c r="E305" s="80" t="s">
        <v>953</v>
      </c>
      <c r="F305" s="169" t="s">
        <v>1040</v>
      </c>
      <c r="G305" s="80">
        <v>1491873</v>
      </c>
      <c r="H305" s="52" t="s">
        <v>61</v>
      </c>
      <c r="I305" s="80" t="s">
        <v>159</v>
      </c>
      <c r="J305" s="52" t="s">
        <v>61</v>
      </c>
      <c r="K305" s="15" t="s">
        <v>146</v>
      </c>
      <c r="L305" s="80" t="s">
        <v>1030</v>
      </c>
      <c r="M305" s="15" t="s">
        <v>1010</v>
      </c>
      <c r="N305" s="80" t="s">
        <v>609</v>
      </c>
      <c r="O305" s="17" t="s">
        <v>61</v>
      </c>
      <c r="P305" s="17" t="s">
        <v>1009</v>
      </c>
      <c r="Q305" s="18"/>
      <c r="R305" s="52" t="s">
        <v>61</v>
      </c>
      <c r="S305" s="15" t="s">
        <v>67</v>
      </c>
      <c r="T305" s="15"/>
      <c r="U305" s="15"/>
      <c r="V305" s="80">
        <v>88</v>
      </c>
      <c r="W305" s="15">
        <f t="shared" si="61"/>
        <v>88</v>
      </c>
      <c r="X305" s="15">
        <f>W305</f>
        <v>88</v>
      </c>
      <c r="Y305" s="15">
        <f>ROUNDDOWN(W305/HLOOKUP(D305,Table!$C$3:$D$4,2,0)*8,2)</f>
        <v>1.56</v>
      </c>
      <c r="Z305" s="15">
        <v>1</v>
      </c>
      <c r="AA305" s="15" t="s">
        <v>74</v>
      </c>
      <c r="AB305" s="19">
        <v>43987</v>
      </c>
      <c r="AC305" s="19">
        <v>43983</v>
      </c>
      <c r="AD305" s="99">
        <v>43986</v>
      </c>
      <c r="AE305" s="19">
        <v>43986</v>
      </c>
      <c r="AF305" s="19">
        <v>43986</v>
      </c>
      <c r="AG305" s="19" t="s">
        <v>176</v>
      </c>
      <c r="AH305" s="31">
        <v>1</v>
      </c>
      <c r="AI305" s="31">
        <v>1</v>
      </c>
      <c r="AJ305" s="31">
        <v>1</v>
      </c>
      <c r="AK305" s="19" t="s">
        <v>150</v>
      </c>
      <c r="AL305" s="17" t="s">
        <v>61</v>
      </c>
      <c r="AM305" s="17" t="s">
        <v>61</v>
      </c>
      <c r="AN305" s="17" t="s">
        <v>61</v>
      </c>
    </row>
    <row r="306" spans="2:40" x14ac:dyDescent="0.25">
      <c r="B306" s="174">
        <f t="shared" si="55"/>
        <v>247</v>
      </c>
      <c r="C306" s="16">
        <v>20200601</v>
      </c>
      <c r="D306" s="15" t="s">
        <v>3</v>
      </c>
      <c r="E306" s="80" t="s">
        <v>953</v>
      </c>
      <c r="F306" s="169" t="s">
        <v>1039</v>
      </c>
      <c r="G306" s="80">
        <v>1475836</v>
      </c>
      <c r="H306" s="52" t="s">
        <v>61</v>
      </c>
      <c r="I306" s="80" t="s">
        <v>159</v>
      </c>
      <c r="J306" s="52" t="s">
        <v>61</v>
      </c>
      <c r="K306" s="15" t="s">
        <v>146</v>
      </c>
      <c r="L306" s="80" t="s">
        <v>612</v>
      </c>
      <c r="M306" s="15" t="s">
        <v>1010</v>
      </c>
      <c r="N306" s="80" t="s">
        <v>609</v>
      </c>
      <c r="O306" s="17" t="s">
        <v>61</v>
      </c>
      <c r="P306" s="77" t="s">
        <v>1009</v>
      </c>
      <c r="Q306" s="18"/>
      <c r="R306" s="52" t="s">
        <v>61</v>
      </c>
      <c r="S306" s="15" t="s">
        <v>67</v>
      </c>
      <c r="T306" s="15"/>
      <c r="U306" s="15"/>
      <c r="V306" s="80">
        <v>88</v>
      </c>
      <c r="W306" s="15">
        <f t="shared" si="61"/>
        <v>88</v>
      </c>
      <c r="X306" s="15">
        <f>W306</f>
        <v>88</v>
      </c>
      <c r="Y306" s="15">
        <f>ROUNDDOWN(W306/HLOOKUP(D306,Table!$C$3:$D$4,2,0)*8,2)</f>
        <v>1.56</v>
      </c>
      <c r="Z306" s="15">
        <v>1</v>
      </c>
      <c r="AA306" s="15" t="s">
        <v>74</v>
      </c>
      <c r="AB306" s="19">
        <v>43990</v>
      </c>
      <c r="AC306" s="19">
        <v>43983</v>
      </c>
      <c r="AD306" s="99">
        <v>43994</v>
      </c>
      <c r="AE306" s="19">
        <v>43990</v>
      </c>
      <c r="AF306" s="19">
        <v>43990</v>
      </c>
      <c r="AG306" s="19" t="s">
        <v>176</v>
      </c>
      <c r="AH306" s="31">
        <v>1</v>
      </c>
      <c r="AI306" s="31">
        <v>1</v>
      </c>
      <c r="AJ306" s="31">
        <v>1</v>
      </c>
      <c r="AK306" s="19" t="s">
        <v>150</v>
      </c>
      <c r="AL306" s="17" t="s">
        <v>61</v>
      </c>
      <c r="AM306" s="17" t="s">
        <v>61</v>
      </c>
      <c r="AN306" s="17" t="s">
        <v>61</v>
      </c>
    </row>
    <row r="307" spans="2:40" x14ac:dyDescent="0.25">
      <c r="B307" s="174">
        <f t="shared" si="55"/>
        <v>248</v>
      </c>
      <c r="C307" s="16">
        <v>20200601</v>
      </c>
      <c r="D307" s="15" t="s">
        <v>3</v>
      </c>
      <c r="E307" s="80" t="s">
        <v>954</v>
      </c>
      <c r="F307" s="169" t="s">
        <v>1041</v>
      </c>
      <c r="G307" s="80">
        <v>1460517</v>
      </c>
      <c r="H307" s="52" t="s">
        <v>61</v>
      </c>
      <c r="I307" s="80" t="s">
        <v>209</v>
      </c>
      <c r="J307" s="52" t="s">
        <v>61</v>
      </c>
      <c r="K307" s="15" t="s">
        <v>146</v>
      </c>
      <c r="L307" s="80" t="s">
        <v>1013</v>
      </c>
      <c r="M307" s="80" t="s">
        <v>1011</v>
      </c>
      <c r="N307" s="80" t="s">
        <v>174</v>
      </c>
      <c r="O307" s="17" t="s">
        <v>61</v>
      </c>
      <c r="P307" s="77" t="s">
        <v>1012</v>
      </c>
      <c r="Q307" s="18"/>
      <c r="R307" s="52" t="s">
        <v>61</v>
      </c>
      <c r="S307" s="15" t="s">
        <v>142</v>
      </c>
      <c r="T307" s="15"/>
      <c r="U307" s="15"/>
      <c r="V307" s="80">
        <v>1209</v>
      </c>
      <c r="W307" s="15">
        <f t="shared" si="61"/>
        <v>1209</v>
      </c>
      <c r="X307" s="15">
        <f t="shared" ref="X307:X314" si="62">W307</f>
        <v>1209</v>
      </c>
      <c r="Y307" s="15">
        <f>ROUNDDOWN(W307/HLOOKUP(D307,Table!$C$3:$D$4,2,0)*8,2)</f>
        <v>21.49</v>
      </c>
      <c r="Z307" s="15">
        <v>0.5</v>
      </c>
      <c r="AA307" s="15" t="s">
        <v>74</v>
      </c>
      <c r="AB307" s="99">
        <v>43985</v>
      </c>
      <c r="AC307" s="19">
        <v>43983</v>
      </c>
      <c r="AD307" s="99">
        <v>43985</v>
      </c>
      <c r="AE307" s="19">
        <v>43983</v>
      </c>
      <c r="AF307" s="19">
        <v>43983</v>
      </c>
      <c r="AG307" s="19" t="s">
        <v>176</v>
      </c>
      <c r="AH307" s="31">
        <v>1</v>
      </c>
      <c r="AI307" s="31">
        <v>1</v>
      </c>
      <c r="AJ307" s="31">
        <v>1</v>
      </c>
      <c r="AK307" s="19" t="s">
        <v>150</v>
      </c>
      <c r="AL307" s="17" t="s">
        <v>61</v>
      </c>
      <c r="AM307" s="17" t="s">
        <v>61</v>
      </c>
      <c r="AN307" s="168" t="s">
        <v>61</v>
      </c>
    </row>
    <row r="308" spans="2:40" x14ac:dyDescent="0.25">
      <c r="B308" s="174">
        <f t="shared" si="55"/>
        <v>249</v>
      </c>
      <c r="C308" s="16">
        <v>20200601</v>
      </c>
      <c r="D308" s="15" t="s">
        <v>3</v>
      </c>
      <c r="E308" s="80" t="s">
        <v>954</v>
      </c>
      <c r="F308" s="169" t="s">
        <v>1042</v>
      </c>
      <c r="G308" s="80">
        <v>1460517</v>
      </c>
      <c r="H308" s="52" t="s">
        <v>61</v>
      </c>
      <c r="I308" s="80" t="s">
        <v>985</v>
      </c>
      <c r="J308" s="52" t="s">
        <v>61</v>
      </c>
      <c r="K308" s="15" t="s">
        <v>146</v>
      </c>
      <c r="L308" s="80" t="s">
        <v>1013</v>
      </c>
      <c r="M308" s="80" t="s">
        <v>1011</v>
      </c>
      <c r="N308" s="80" t="s">
        <v>174</v>
      </c>
      <c r="O308" s="17" t="s">
        <v>61</v>
      </c>
      <c r="P308" s="77" t="s">
        <v>1012</v>
      </c>
      <c r="Q308" s="18"/>
      <c r="R308" s="52" t="s">
        <v>61</v>
      </c>
      <c r="S308" s="15" t="s">
        <v>142</v>
      </c>
      <c r="T308" s="15"/>
      <c r="U308" s="15"/>
      <c r="V308" s="80">
        <v>48</v>
      </c>
      <c r="W308" s="15">
        <f t="shared" si="61"/>
        <v>48</v>
      </c>
      <c r="X308" s="15">
        <f t="shared" si="62"/>
        <v>48</v>
      </c>
      <c r="Y308" s="15">
        <f>ROUNDDOWN(W308/HLOOKUP(D308,Table!$C$3:$D$4,2,0)*8,2)</f>
        <v>0.85</v>
      </c>
      <c r="Z308" s="15">
        <v>0.2</v>
      </c>
      <c r="AA308" s="15" t="s">
        <v>74</v>
      </c>
      <c r="AB308" s="99">
        <v>43985</v>
      </c>
      <c r="AC308" s="19">
        <v>43983</v>
      </c>
      <c r="AD308" s="99">
        <v>43985</v>
      </c>
      <c r="AE308" s="19">
        <v>43983</v>
      </c>
      <c r="AF308" s="19">
        <v>43983</v>
      </c>
      <c r="AG308" s="19" t="s">
        <v>176</v>
      </c>
      <c r="AH308" s="31">
        <v>1</v>
      </c>
      <c r="AI308" s="31">
        <v>1</v>
      </c>
      <c r="AJ308" s="31">
        <v>1</v>
      </c>
      <c r="AK308" s="19" t="s">
        <v>150</v>
      </c>
      <c r="AL308" s="17" t="s">
        <v>61</v>
      </c>
      <c r="AM308" s="17" t="s">
        <v>61</v>
      </c>
      <c r="AN308" s="168" t="s">
        <v>61</v>
      </c>
    </row>
    <row r="309" spans="2:40" x14ac:dyDescent="0.25">
      <c r="B309" s="174">
        <f t="shared" si="55"/>
        <v>250</v>
      </c>
      <c r="C309" s="16">
        <v>20200601</v>
      </c>
      <c r="D309" s="15" t="s">
        <v>3</v>
      </c>
      <c r="E309" s="80" t="s">
        <v>600</v>
      </c>
      <c r="F309" s="169" t="s">
        <v>1043</v>
      </c>
      <c r="G309" s="80">
        <v>1465424</v>
      </c>
      <c r="H309" s="52" t="s">
        <v>61</v>
      </c>
      <c r="I309" s="80" t="s">
        <v>341</v>
      </c>
      <c r="J309" s="52" t="s">
        <v>61</v>
      </c>
      <c r="K309" s="15" t="s">
        <v>146</v>
      </c>
      <c r="L309" s="15" t="s">
        <v>150</v>
      </c>
      <c r="M309" s="80" t="s">
        <v>614</v>
      </c>
      <c r="N309" s="80" t="s">
        <v>609</v>
      </c>
      <c r="O309" s="17" t="s">
        <v>61</v>
      </c>
      <c r="P309" s="77" t="s">
        <v>1014</v>
      </c>
      <c r="Q309" s="18"/>
      <c r="R309" s="52" t="s">
        <v>61</v>
      </c>
      <c r="S309" s="15" t="s">
        <v>68</v>
      </c>
      <c r="T309" s="15"/>
      <c r="U309" s="15"/>
      <c r="V309" s="80">
        <v>200</v>
      </c>
      <c r="W309" s="15">
        <f t="shared" si="61"/>
        <v>200</v>
      </c>
      <c r="X309" s="15">
        <f t="shared" si="62"/>
        <v>200</v>
      </c>
      <c r="Y309" s="15">
        <f>ROUNDDOWN(W309/HLOOKUP(D309,Table!$C$3:$D$4,2,0)*8,2)</f>
        <v>3.55</v>
      </c>
      <c r="Z309" s="15">
        <v>3</v>
      </c>
      <c r="AA309" s="15" t="s">
        <v>74</v>
      </c>
      <c r="AB309" s="19">
        <v>43987</v>
      </c>
      <c r="AC309" s="19">
        <v>43983</v>
      </c>
      <c r="AD309" s="99">
        <v>43986</v>
      </c>
      <c r="AE309" s="19">
        <v>43984</v>
      </c>
      <c r="AF309" s="19">
        <v>43984</v>
      </c>
      <c r="AG309" s="19" t="s">
        <v>176</v>
      </c>
      <c r="AH309" s="31">
        <v>1</v>
      </c>
      <c r="AI309" s="31">
        <v>1</v>
      </c>
      <c r="AJ309" s="31">
        <v>1</v>
      </c>
      <c r="AK309" s="19" t="s">
        <v>150</v>
      </c>
      <c r="AL309" s="15"/>
      <c r="AM309" s="15"/>
      <c r="AN309" s="15"/>
    </row>
    <row r="310" spans="2:40" x14ac:dyDescent="0.25">
      <c r="B310" s="174">
        <f t="shared" si="55"/>
        <v>251</v>
      </c>
      <c r="C310" s="16">
        <v>20200601</v>
      </c>
      <c r="D310" s="15" t="s">
        <v>3</v>
      </c>
      <c r="E310" s="80" t="s">
        <v>600</v>
      </c>
      <c r="F310" s="169" t="s">
        <v>1044</v>
      </c>
      <c r="G310" s="80">
        <v>1465424</v>
      </c>
      <c r="H310" s="52" t="s">
        <v>61</v>
      </c>
      <c r="I310" s="80" t="s">
        <v>986</v>
      </c>
      <c r="J310" s="52" t="s">
        <v>61</v>
      </c>
      <c r="K310" s="15" t="s">
        <v>146</v>
      </c>
      <c r="L310" s="15" t="s">
        <v>150</v>
      </c>
      <c r="M310" s="15" t="s">
        <v>614</v>
      </c>
      <c r="N310" s="15" t="s">
        <v>609</v>
      </c>
      <c r="O310" s="17" t="s">
        <v>61</v>
      </c>
      <c r="P310" s="17" t="s">
        <v>1014</v>
      </c>
      <c r="Q310" s="18"/>
      <c r="R310" s="52" t="s">
        <v>61</v>
      </c>
      <c r="S310" s="15" t="s">
        <v>68</v>
      </c>
      <c r="T310" s="15"/>
      <c r="U310" s="15"/>
      <c r="V310" s="80">
        <v>61</v>
      </c>
      <c r="W310" s="15">
        <f t="shared" si="61"/>
        <v>61</v>
      </c>
      <c r="X310" s="15">
        <f t="shared" si="62"/>
        <v>61</v>
      </c>
      <c r="Y310" s="15">
        <f>ROUNDDOWN(W310/HLOOKUP(D310,Table!$C$3:$D$4,2,0)*8,2)</f>
        <v>1.08</v>
      </c>
      <c r="Z310" s="15">
        <v>1</v>
      </c>
      <c r="AA310" s="15" t="s">
        <v>74</v>
      </c>
      <c r="AB310" s="19">
        <v>43987</v>
      </c>
      <c r="AC310" s="19">
        <v>43983</v>
      </c>
      <c r="AD310" s="99">
        <v>43986</v>
      </c>
      <c r="AE310" s="19">
        <v>43984</v>
      </c>
      <c r="AF310" s="19">
        <v>43984</v>
      </c>
      <c r="AG310" s="19" t="s">
        <v>176</v>
      </c>
      <c r="AH310" s="31">
        <v>1</v>
      </c>
      <c r="AI310" s="31">
        <v>1</v>
      </c>
      <c r="AJ310" s="31">
        <v>1</v>
      </c>
      <c r="AK310" s="19" t="s">
        <v>150</v>
      </c>
      <c r="AL310" s="15"/>
      <c r="AM310" s="15"/>
      <c r="AN310" s="15"/>
    </row>
    <row r="311" spans="2:40" x14ac:dyDescent="0.25">
      <c r="B311" s="174">
        <f t="shared" si="55"/>
        <v>252</v>
      </c>
      <c r="C311" s="16">
        <v>20200601</v>
      </c>
      <c r="D311" s="15" t="s">
        <v>3</v>
      </c>
      <c r="E311" s="80" t="s">
        <v>600</v>
      </c>
      <c r="F311" s="169" t="s">
        <v>1045</v>
      </c>
      <c r="G311" s="80">
        <v>1465424</v>
      </c>
      <c r="H311" s="52" t="s">
        <v>61</v>
      </c>
      <c r="I311" s="80" t="s">
        <v>987</v>
      </c>
      <c r="J311" s="52" t="s">
        <v>61</v>
      </c>
      <c r="K311" s="15" t="s">
        <v>146</v>
      </c>
      <c r="L311" s="15" t="s">
        <v>150</v>
      </c>
      <c r="M311" s="15" t="s">
        <v>614</v>
      </c>
      <c r="N311" s="15" t="s">
        <v>609</v>
      </c>
      <c r="O311" s="17" t="s">
        <v>61</v>
      </c>
      <c r="P311" s="17" t="s">
        <v>1014</v>
      </c>
      <c r="Q311" s="18"/>
      <c r="R311" s="52" t="s">
        <v>61</v>
      </c>
      <c r="S311" s="15" t="s">
        <v>70</v>
      </c>
      <c r="T311" s="15"/>
      <c r="U311" s="15"/>
      <c r="V311" s="80">
        <v>238</v>
      </c>
      <c r="W311" s="15">
        <f t="shared" si="61"/>
        <v>238</v>
      </c>
      <c r="X311" s="15">
        <f t="shared" si="62"/>
        <v>238</v>
      </c>
      <c r="Y311" s="15">
        <f>ROUNDDOWN(W311/HLOOKUP(D311,Table!$C$3:$D$4,2,0)*8,2)</f>
        <v>4.2300000000000004</v>
      </c>
      <c r="Z311" s="15">
        <v>2</v>
      </c>
      <c r="AA311" s="15" t="s">
        <v>74</v>
      </c>
      <c r="AB311" s="19">
        <v>43987</v>
      </c>
      <c r="AC311" s="19">
        <v>43983</v>
      </c>
      <c r="AD311" s="99">
        <v>43986</v>
      </c>
      <c r="AE311" s="19">
        <v>43986</v>
      </c>
      <c r="AF311" s="19">
        <v>43986</v>
      </c>
      <c r="AG311" s="19" t="s">
        <v>176</v>
      </c>
      <c r="AH311" s="31">
        <v>1</v>
      </c>
      <c r="AI311" s="31">
        <v>1</v>
      </c>
      <c r="AJ311" s="31">
        <v>1</v>
      </c>
      <c r="AK311" s="19" t="s">
        <v>150</v>
      </c>
      <c r="AL311" s="15"/>
      <c r="AM311" s="15"/>
      <c r="AN311" s="15"/>
    </row>
    <row r="312" spans="2:40" x14ac:dyDescent="0.25">
      <c r="B312" s="174">
        <f t="shared" si="55"/>
        <v>253</v>
      </c>
      <c r="C312" s="16">
        <v>20200601</v>
      </c>
      <c r="D312" s="15" t="s">
        <v>3</v>
      </c>
      <c r="E312" s="80" t="s">
        <v>600</v>
      </c>
      <c r="F312" s="169" t="s">
        <v>1046</v>
      </c>
      <c r="G312" s="80">
        <v>1465424</v>
      </c>
      <c r="H312" s="52" t="s">
        <v>61</v>
      </c>
      <c r="I312" s="80" t="s">
        <v>988</v>
      </c>
      <c r="J312" s="52" t="s">
        <v>61</v>
      </c>
      <c r="K312" s="15" t="s">
        <v>146</v>
      </c>
      <c r="L312" s="15" t="s">
        <v>150</v>
      </c>
      <c r="M312" s="15" t="s">
        <v>614</v>
      </c>
      <c r="N312" s="15" t="s">
        <v>609</v>
      </c>
      <c r="O312" s="17" t="s">
        <v>61</v>
      </c>
      <c r="P312" s="17" t="s">
        <v>1014</v>
      </c>
      <c r="Q312" s="18"/>
      <c r="R312" s="52" t="s">
        <v>61</v>
      </c>
      <c r="S312" s="15" t="s">
        <v>68</v>
      </c>
      <c r="T312" s="15"/>
      <c r="U312" s="15"/>
      <c r="V312" s="80">
        <v>163</v>
      </c>
      <c r="W312" s="15">
        <f t="shared" si="61"/>
        <v>163</v>
      </c>
      <c r="X312" s="15">
        <f t="shared" si="62"/>
        <v>163</v>
      </c>
      <c r="Y312" s="15">
        <f>ROUNDDOWN(W312/HLOOKUP(D312,Table!$C$3:$D$4,2,0)*8,2)</f>
        <v>2.89</v>
      </c>
      <c r="Z312" s="15">
        <v>2</v>
      </c>
      <c r="AA312" s="15" t="s">
        <v>74</v>
      </c>
      <c r="AB312" s="19">
        <v>43987</v>
      </c>
      <c r="AC312" s="19">
        <v>43983</v>
      </c>
      <c r="AD312" s="99">
        <v>43986</v>
      </c>
      <c r="AE312" s="19">
        <v>43985</v>
      </c>
      <c r="AF312" s="19">
        <v>43985</v>
      </c>
      <c r="AG312" s="19" t="s">
        <v>176</v>
      </c>
      <c r="AH312" s="31">
        <v>1</v>
      </c>
      <c r="AI312" s="31">
        <v>1</v>
      </c>
      <c r="AJ312" s="31">
        <v>1</v>
      </c>
      <c r="AK312" s="19" t="s">
        <v>150</v>
      </c>
      <c r="AL312" s="15"/>
      <c r="AM312" s="15"/>
      <c r="AN312" s="15"/>
    </row>
    <row r="313" spans="2:40" ht="16.5" customHeight="1" x14ac:dyDescent="0.25">
      <c r="B313" s="174">
        <f t="shared" si="55"/>
        <v>254</v>
      </c>
      <c r="C313" s="16">
        <v>20200601</v>
      </c>
      <c r="D313" s="15" t="s">
        <v>3</v>
      </c>
      <c r="E313" s="80" t="s">
        <v>600</v>
      </c>
      <c r="F313" s="169" t="s">
        <v>1047</v>
      </c>
      <c r="G313" s="80">
        <v>1465424</v>
      </c>
      <c r="H313" s="52" t="s">
        <v>61</v>
      </c>
      <c r="I313" s="80" t="s">
        <v>989</v>
      </c>
      <c r="J313" s="52" t="s">
        <v>61</v>
      </c>
      <c r="K313" s="15" t="s">
        <v>146</v>
      </c>
      <c r="L313" s="15" t="s">
        <v>150</v>
      </c>
      <c r="M313" s="15" t="s">
        <v>614</v>
      </c>
      <c r="N313" s="15" t="s">
        <v>609</v>
      </c>
      <c r="O313" s="17" t="s">
        <v>61</v>
      </c>
      <c r="P313" s="17" t="s">
        <v>1014</v>
      </c>
      <c r="Q313" s="18"/>
      <c r="R313" s="52" t="s">
        <v>61</v>
      </c>
      <c r="S313" s="15" t="s">
        <v>68</v>
      </c>
      <c r="T313" s="15"/>
      <c r="U313" s="15"/>
      <c r="V313" s="80">
        <v>88</v>
      </c>
      <c r="W313" s="15">
        <f t="shared" si="61"/>
        <v>88</v>
      </c>
      <c r="X313" s="15">
        <f t="shared" si="62"/>
        <v>88</v>
      </c>
      <c r="Y313" s="15">
        <f>ROUNDDOWN(W313/HLOOKUP(D313,Table!$C$3:$D$4,2,0)*8,2)</f>
        <v>1.56</v>
      </c>
      <c r="Z313" s="15">
        <v>1</v>
      </c>
      <c r="AA313" s="15" t="s">
        <v>74</v>
      </c>
      <c r="AB313" s="19">
        <v>43987</v>
      </c>
      <c r="AC313" s="19">
        <v>43983</v>
      </c>
      <c r="AD313" s="99">
        <v>43986</v>
      </c>
      <c r="AE313" s="19">
        <v>43985</v>
      </c>
      <c r="AF313" s="19">
        <v>43985</v>
      </c>
      <c r="AG313" s="19" t="s">
        <v>176</v>
      </c>
      <c r="AH313" s="31">
        <v>1</v>
      </c>
      <c r="AI313" s="31">
        <v>1</v>
      </c>
      <c r="AJ313" s="31">
        <v>1</v>
      </c>
      <c r="AK313" s="19" t="s">
        <v>150</v>
      </c>
      <c r="AL313" s="15"/>
      <c r="AM313" s="15"/>
      <c r="AN313" s="15"/>
    </row>
    <row r="314" spans="2:40" x14ac:dyDescent="0.25">
      <c r="B314" s="174">
        <f t="shared" si="55"/>
        <v>255</v>
      </c>
      <c r="C314" s="16">
        <v>20200601</v>
      </c>
      <c r="D314" s="15" t="s">
        <v>3</v>
      </c>
      <c r="E314" s="80" t="s">
        <v>600</v>
      </c>
      <c r="F314" s="169" t="s">
        <v>1048</v>
      </c>
      <c r="G314" s="80">
        <v>1465424</v>
      </c>
      <c r="H314" s="52" t="s">
        <v>61</v>
      </c>
      <c r="I314" s="80" t="s">
        <v>990</v>
      </c>
      <c r="J314" s="52" t="s">
        <v>61</v>
      </c>
      <c r="K314" s="15" t="s">
        <v>146</v>
      </c>
      <c r="L314" s="15" t="s">
        <v>150</v>
      </c>
      <c r="M314" s="15" t="s">
        <v>614</v>
      </c>
      <c r="N314" s="15" t="s">
        <v>609</v>
      </c>
      <c r="O314" s="17" t="s">
        <v>61</v>
      </c>
      <c r="P314" s="17" t="s">
        <v>1014</v>
      </c>
      <c r="Q314" s="18"/>
      <c r="R314" s="52" t="s">
        <v>61</v>
      </c>
      <c r="S314" s="15" t="s">
        <v>68</v>
      </c>
      <c r="T314" s="15"/>
      <c r="U314" s="15"/>
      <c r="V314" s="80">
        <v>197</v>
      </c>
      <c r="W314" s="15">
        <f t="shared" si="61"/>
        <v>197</v>
      </c>
      <c r="X314" s="15">
        <f t="shared" si="62"/>
        <v>197</v>
      </c>
      <c r="Y314" s="15">
        <f>ROUNDDOWN(W314/HLOOKUP(D314,Table!$C$3:$D$4,2,0)*8,2)</f>
        <v>3.5</v>
      </c>
      <c r="Z314" s="15">
        <f t="shared" ref="Z314" si="63">Y314</f>
        <v>3.5</v>
      </c>
      <c r="AA314" s="15" t="s">
        <v>74</v>
      </c>
      <c r="AB314" s="19">
        <v>43987</v>
      </c>
      <c r="AC314" s="19">
        <v>43983</v>
      </c>
      <c r="AD314" s="99">
        <v>43986</v>
      </c>
      <c r="AE314" s="19">
        <v>43985</v>
      </c>
      <c r="AF314" s="19">
        <v>43985</v>
      </c>
      <c r="AG314" s="19" t="s">
        <v>176</v>
      </c>
      <c r="AH314" s="31">
        <v>1</v>
      </c>
      <c r="AI314" s="31">
        <v>1</v>
      </c>
      <c r="AJ314" s="31">
        <v>1</v>
      </c>
      <c r="AK314" s="19" t="s">
        <v>150</v>
      </c>
      <c r="AL314" s="15"/>
      <c r="AM314" s="15"/>
      <c r="AN314" s="15"/>
    </row>
    <row r="315" spans="2:40" x14ac:dyDescent="0.25">
      <c r="B315" s="174">
        <f t="shared" si="55"/>
        <v>256</v>
      </c>
      <c r="C315" s="16">
        <v>20200601</v>
      </c>
      <c r="D315" s="15" t="s">
        <v>3</v>
      </c>
      <c r="E315" s="80" t="s">
        <v>600</v>
      </c>
      <c r="F315" s="169" t="s">
        <v>1049</v>
      </c>
      <c r="G315" s="80">
        <v>1465424</v>
      </c>
      <c r="H315" s="52" t="s">
        <v>61</v>
      </c>
      <c r="I315" s="80" t="s">
        <v>991</v>
      </c>
      <c r="J315" s="52" t="s">
        <v>61</v>
      </c>
      <c r="K315" s="15" t="s">
        <v>146</v>
      </c>
      <c r="L315" s="15" t="s">
        <v>150</v>
      </c>
      <c r="M315" s="15" t="s">
        <v>614</v>
      </c>
      <c r="N315" s="15" t="s">
        <v>609</v>
      </c>
      <c r="O315" s="17" t="s">
        <v>61</v>
      </c>
      <c r="P315" s="17" t="s">
        <v>1014</v>
      </c>
      <c r="Q315" s="18"/>
      <c r="R315" s="52" t="s">
        <v>61</v>
      </c>
      <c r="S315" s="15" t="s">
        <v>68</v>
      </c>
      <c r="T315" s="15"/>
      <c r="U315" s="15"/>
      <c r="V315" s="80">
        <v>26</v>
      </c>
      <c r="W315" s="15">
        <f t="shared" si="61"/>
        <v>26</v>
      </c>
      <c r="X315" s="15">
        <f t="shared" ref="X315:X321" si="64">W315</f>
        <v>26</v>
      </c>
      <c r="Y315" s="15">
        <f>ROUNDDOWN(W315/HLOOKUP(D315,Table!$C$3:$D$4,2,0)*8,2)</f>
        <v>0.46</v>
      </c>
      <c r="Z315" s="15">
        <v>0.4</v>
      </c>
      <c r="AA315" s="15" t="s">
        <v>74</v>
      </c>
      <c r="AB315" s="19">
        <v>43987</v>
      </c>
      <c r="AC315" s="19">
        <v>43983</v>
      </c>
      <c r="AD315" s="99">
        <v>43986</v>
      </c>
      <c r="AE315" s="19">
        <v>43985</v>
      </c>
      <c r="AF315" s="19">
        <v>43985</v>
      </c>
      <c r="AG315" s="19" t="s">
        <v>176</v>
      </c>
      <c r="AH315" s="31">
        <v>1</v>
      </c>
      <c r="AI315" s="31">
        <v>1</v>
      </c>
      <c r="AJ315" s="31">
        <v>1</v>
      </c>
      <c r="AK315" s="19" t="s">
        <v>150</v>
      </c>
      <c r="AL315" s="15"/>
      <c r="AM315" s="15"/>
      <c r="AN315" s="15"/>
    </row>
    <row r="316" spans="2:40" x14ac:dyDescent="0.25">
      <c r="B316" s="174">
        <f t="shared" si="55"/>
        <v>257</v>
      </c>
      <c r="C316" s="16">
        <v>20200601</v>
      </c>
      <c r="D316" s="15" t="s">
        <v>3</v>
      </c>
      <c r="E316" s="80" t="s">
        <v>600</v>
      </c>
      <c r="F316" s="169" t="s">
        <v>1050</v>
      </c>
      <c r="G316" s="80">
        <v>1465424</v>
      </c>
      <c r="H316" s="52" t="s">
        <v>61</v>
      </c>
      <c r="I316" s="80" t="s">
        <v>227</v>
      </c>
      <c r="J316" s="52" t="s">
        <v>61</v>
      </c>
      <c r="K316" s="15" t="s">
        <v>146</v>
      </c>
      <c r="L316" s="15" t="s">
        <v>150</v>
      </c>
      <c r="M316" s="15" t="s">
        <v>614</v>
      </c>
      <c r="N316" s="15" t="s">
        <v>609</v>
      </c>
      <c r="O316" s="17" t="s">
        <v>61</v>
      </c>
      <c r="P316" s="17" t="s">
        <v>1014</v>
      </c>
      <c r="Q316" s="18"/>
      <c r="R316" s="52" t="s">
        <v>61</v>
      </c>
      <c r="S316" s="15" t="s">
        <v>68</v>
      </c>
      <c r="T316" s="15"/>
      <c r="U316" s="15"/>
      <c r="V316" s="80">
        <v>128</v>
      </c>
      <c r="W316" s="15">
        <f t="shared" si="61"/>
        <v>128</v>
      </c>
      <c r="X316" s="15">
        <f t="shared" si="64"/>
        <v>128</v>
      </c>
      <c r="Y316" s="15">
        <f>ROUNDDOWN(W316/HLOOKUP(D316,Table!$C$3:$D$4,2,0)*8,2)</f>
        <v>2.27</v>
      </c>
      <c r="Z316" s="15">
        <v>2</v>
      </c>
      <c r="AA316" s="15" t="s">
        <v>74</v>
      </c>
      <c r="AB316" s="19">
        <v>43987</v>
      </c>
      <c r="AC316" s="19">
        <v>43983</v>
      </c>
      <c r="AD316" s="99">
        <v>43986</v>
      </c>
      <c r="AE316" s="19">
        <v>43985</v>
      </c>
      <c r="AF316" s="19">
        <v>43985</v>
      </c>
      <c r="AG316" s="19" t="s">
        <v>176</v>
      </c>
      <c r="AH316" s="31">
        <v>1</v>
      </c>
      <c r="AI316" s="31">
        <v>1</v>
      </c>
      <c r="AJ316" s="31">
        <v>1</v>
      </c>
      <c r="AK316" s="19" t="s">
        <v>150</v>
      </c>
      <c r="AL316" s="15"/>
      <c r="AM316" s="15"/>
      <c r="AN316" s="15"/>
    </row>
    <row r="317" spans="2:40" ht="18.75" customHeight="1" x14ac:dyDescent="0.25">
      <c r="B317" s="174">
        <f t="shared" si="55"/>
        <v>258</v>
      </c>
      <c r="C317" s="16">
        <v>20200601</v>
      </c>
      <c r="D317" s="15" t="s">
        <v>3</v>
      </c>
      <c r="E317" s="80" t="s">
        <v>600</v>
      </c>
      <c r="F317" s="169" t="s">
        <v>1051</v>
      </c>
      <c r="G317" s="80">
        <v>1465424</v>
      </c>
      <c r="H317" s="52" t="s">
        <v>61</v>
      </c>
      <c r="I317" s="80" t="s">
        <v>992</v>
      </c>
      <c r="J317" s="52" t="s">
        <v>61</v>
      </c>
      <c r="K317" s="15" t="s">
        <v>146</v>
      </c>
      <c r="L317" s="15" t="s">
        <v>150</v>
      </c>
      <c r="M317" s="15" t="s">
        <v>614</v>
      </c>
      <c r="N317" s="15" t="s">
        <v>609</v>
      </c>
      <c r="O317" s="17" t="s">
        <v>61</v>
      </c>
      <c r="P317" s="17" t="s">
        <v>1014</v>
      </c>
      <c r="Q317" s="18"/>
      <c r="R317" s="52" t="s">
        <v>61</v>
      </c>
      <c r="S317" s="15" t="s">
        <v>68</v>
      </c>
      <c r="T317" s="15"/>
      <c r="U317" s="15"/>
      <c r="V317" s="80">
        <v>726</v>
      </c>
      <c r="W317" s="15">
        <f t="shared" si="61"/>
        <v>726</v>
      </c>
      <c r="X317" s="15">
        <f t="shared" si="64"/>
        <v>726</v>
      </c>
      <c r="Y317" s="15">
        <f>ROUNDDOWN(W317/HLOOKUP(D317,Table!$C$3:$D$4,2,0)*8,2)</f>
        <v>12.9</v>
      </c>
      <c r="Z317" s="15">
        <v>12</v>
      </c>
      <c r="AA317" s="15" t="s">
        <v>74</v>
      </c>
      <c r="AB317" s="19">
        <v>43987</v>
      </c>
      <c r="AC317" s="19">
        <v>43983</v>
      </c>
      <c r="AD317" s="99">
        <v>43986</v>
      </c>
      <c r="AE317" s="19">
        <v>43984</v>
      </c>
      <c r="AF317" s="19">
        <v>43984</v>
      </c>
      <c r="AG317" s="19" t="s">
        <v>177</v>
      </c>
      <c r="AH317" s="31">
        <v>1</v>
      </c>
      <c r="AI317" s="31">
        <v>1</v>
      </c>
      <c r="AJ317" s="31">
        <v>0.8</v>
      </c>
      <c r="AK317" s="19" t="s">
        <v>139</v>
      </c>
      <c r="AL317" s="192" t="s">
        <v>1105</v>
      </c>
      <c r="AM317" s="15"/>
      <c r="AN317" s="15" t="s">
        <v>1110</v>
      </c>
    </row>
    <row r="318" spans="2:40" x14ac:dyDescent="0.25">
      <c r="B318" s="174">
        <f t="shared" ref="B318:B381" si="65">B317+1</f>
        <v>259</v>
      </c>
      <c r="C318" s="16">
        <v>20200601</v>
      </c>
      <c r="D318" s="15" t="s">
        <v>3</v>
      </c>
      <c r="E318" s="80" t="s">
        <v>600</v>
      </c>
      <c r="F318" s="169" t="s">
        <v>1052</v>
      </c>
      <c r="G318" s="80">
        <v>1465424</v>
      </c>
      <c r="H318" s="52" t="s">
        <v>61</v>
      </c>
      <c r="I318" s="80" t="s">
        <v>993</v>
      </c>
      <c r="J318" s="52" t="s">
        <v>61</v>
      </c>
      <c r="K318" s="15" t="s">
        <v>146</v>
      </c>
      <c r="L318" s="15" t="s">
        <v>150</v>
      </c>
      <c r="M318" s="15" t="s">
        <v>614</v>
      </c>
      <c r="N318" s="15" t="s">
        <v>609</v>
      </c>
      <c r="O318" s="17" t="s">
        <v>61</v>
      </c>
      <c r="P318" s="17" t="s">
        <v>1014</v>
      </c>
      <c r="Q318" s="18"/>
      <c r="R318" s="52" t="s">
        <v>61</v>
      </c>
      <c r="S318" s="15" t="s">
        <v>70</v>
      </c>
      <c r="T318" s="15"/>
      <c r="U318" s="15"/>
      <c r="V318" s="80">
        <v>367</v>
      </c>
      <c r="W318" s="15">
        <f t="shared" si="61"/>
        <v>367</v>
      </c>
      <c r="X318" s="15">
        <f t="shared" si="64"/>
        <v>367</v>
      </c>
      <c r="Y318" s="15">
        <f>ROUNDDOWN(W318/HLOOKUP(D318,Table!$C$3:$D$4,2,0)*8,2)</f>
        <v>6.52</v>
      </c>
      <c r="Z318" s="15">
        <v>1</v>
      </c>
      <c r="AA318" s="15" t="s">
        <v>74</v>
      </c>
      <c r="AB318" s="19">
        <v>43987</v>
      </c>
      <c r="AC318" s="19">
        <v>43983</v>
      </c>
      <c r="AD318" s="99">
        <v>43986</v>
      </c>
      <c r="AE318" s="19">
        <v>43983</v>
      </c>
      <c r="AF318" s="19">
        <v>43983</v>
      </c>
      <c r="AG318" s="19" t="s">
        <v>176</v>
      </c>
      <c r="AH318" s="31">
        <v>1</v>
      </c>
      <c r="AI318" s="31">
        <v>1</v>
      </c>
      <c r="AJ318" s="31">
        <v>1</v>
      </c>
      <c r="AK318" s="19" t="s">
        <v>150</v>
      </c>
      <c r="AL318" s="168" t="s">
        <v>61</v>
      </c>
      <c r="AM318" s="168" t="s">
        <v>61</v>
      </c>
      <c r="AN318" s="168" t="s">
        <v>61</v>
      </c>
    </row>
    <row r="319" spans="2:40" x14ac:dyDescent="0.25">
      <c r="B319" s="174">
        <f t="shared" si="65"/>
        <v>260</v>
      </c>
      <c r="C319" s="16">
        <v>20200601</v>
      </c>
      <c r="D319" s="15" t="s">
        <v>3</v>
      </c>
      <c r="E319" s="80" t="s">
        <v>600</v>
      </c>
      <c r="F319" s="169" t="s">
        <v>1053</v>
      </c>
      <c r="G319" s="80">
        <v>1465424</v>
      </c>
      <c r="H319" s="52" t="s">
        <v>61</v>
      </c>
      <c r="I319" s="80" t="s">
        <v>994</v>
      </c>
      <c r="J319" s="52" t="s">
        <v>61</v>
      </c>
      <c r="K319" s="15" t="s">
        <v>146</v>
      </c>
      <c r="L319" s="15" t="s">
        <v>150</v>
      </c>
      <c r="M319" s="15" t="s">
        <v>614</v>
      </c>
      <c r="N319" s="15" t="s">
        <v>609</v>
      </c>
      <c r="O319" s="17" t="s">
        <v>61</v>
      </c>
      <c r="P319" s="17" t="s">
        <v>1014</v>
      </c>
      <c r="Q319" s="18"/>
      <c r="R319" s="52" t="s">
        <v>61</v>
      </c>
      <c r="S319" s="15" t="s">
        <v>70</v>
      </c>
      <c r="T319" s="15"/>
      <c r="U319" s="15"/>
      <c r="V319" s="80">
        <v>744</v>
      </c>
      <c r="W319" s="15">
        <f t="shared" si="61"/>
        <v>744</v>
      </c>
      <c r="X319" s="15">
        <f t="shared" si="64"/>
        <v>744</v>
      </c>
      <c r="Y319" s="15">
        <f>ROUNDDOWN(W319/HLOOKUP(D319,Table!$C$3:$D$4,2,0)*8,2)</f>
        <v>13.22</v>
      </c>
      <c r="Z319" s="15">
        <v>2</v>
      </c>
      <c r="AA319" s="15" t="s">
        <v>74</v>
      </c>
      <c r="AB319" s="19">
        <v>43987</v>
      </c>
      <c r="AC319" s="19">
        <v>43983</v>
      </c>
      <c r="AD319" s="99">
        <v>43986</v>
      </c>
      <c r="AE319" s="19">
        <v>43984</v>
      </c>
      <c r="AF319" s="19">
        <v>43984</v>
      </c>
      <c r="AG319" s="19" t="s">
        <v>176</v>
      </c>
      <c r="AH319" s="31">
        <v>1</v>
      </c>
      <c r="AI319" s="31">
        <v>1</v>
      </c>
      <c r="AJ319" s="31">
        <v>1</v>
      </c>
      <c r="AK319" s="19" t="s">
        <v>150</v>
      </c>
      <c r="AL319" s="191" t="s">
        <v>61</v>
      </c>
      <c r="AM319" s="191" t="s">
        <v>61</v>
      </c>
      <c r="AN319" s="191" t="s">
        <v>61</v>
      </c>
    </row>
    <row r="320" spans="2:40" x14ac:dyDescent="0.25">
      <c r="B320" s="174">
        <f t="shared" si="65"/>
        <v>261</v>
      </c>
      <c r="C320" s="16">
        <v>20200601</v>
      </c>
      <c r="D320" s="15" t="s">
        <v>3</v>
      </c>
      <c r="E320" s="80" t="s">
        <v>600</v>
      </c>
      <c r="F320" s="169" t="s">
        <v>1054</v>
      </c>
      <c r="G320" s="80">
        <v>1465424</v>
      </c>
      <c r="H320" s="52" t="s">
        <v>61</v>
      </c>
      <c r="I320" s="80" t="s">
        <v>995</v>
      </c>
      <c r="J320" s="52" t="s">
        <v>61</v>
      </c>
      <c r="K320" s="15" t="s">
        <v>146</v>
      </c>
      <c r="L320" s="15" t="s">
        <v>150</v>
      </c>
      <c r="M320" s="15" t="s">
        <v>614</v>
      </c>
      <c r="N320" s="15" t="s">
        <v>609</v>
      </c>
      <c r="O320" s="17" t="s">
        <v>61</v>
      </c>
      <c r="P320" s="17" t="s">
        <v>1014</v>
      </c>
      <c r="Q320" s="18"/>
      <c r="R320" s="52" t="s">
        <v>61</v>
      </c>
      <c r="S320" s="15" t="s">
        <v>70</v>
      </c>
      <c r="T320" s="15"/>
      <c r="U320" s="15"/>
      <c r="V320" s="80">
        <v>90</v>
      </c>
      <c r="W320" s="15">
        <f t="shared" si="61"/>
        <v>90</v>
      </c>
      <c r="X320" s="15">
        <f t="shared" si="64"/>
        <v>90</v>
      </c>
      <c r="Y320" s="15">
        <f>ROUNDDOWN(W320/HLOOKUP(D320,Table!$C$3:$D$4,2,0)*8,2)</f>
        <v>1.6</v>
      </c>
      <c r="Z320" s="15">
        <v>1</v>
      </c>
      <c r="AA320" s="15" t="s">
        <v>74</v>
      </c>
      <c r="AB320" s="19">
        <v>43987</v>
      </c>
      <c r="AC320" s="19">
        <v>43983</v>
      </c>
      <c r="AD320" s="99">
        <v>43986</v>
      </c>
      <c r="AE320" s="19">
        <v>43984</v>
      </c>
      <c r="AF320" s="19">
        <v>43984</v>
      </c>
      <c r="AG320" s="19" t="s">
        <v>176</v>
      </c>
      <c r="AH320" s="31">
        <v>1</v>
      </c>
      <c r="AI320" s="31">
        <v>1</v>
      </c>
      <c r="AJ320" s="31">
        <v>1</v>
      </c>
      <c r="AK320" s="19" t="s">
        <v>150</v>
      </c>
      <c r="AL320" s="191" t="s">
        <v>61</v>
      </c>
      <c r="AM320" s="191" t="s">
        <v>61</v>
      </c>
      <c r="AN320" s="191" t="s">
        <v>61</v>
      </c>
    </row>
    <row r="321" spans="1:40" x14ac:dyDescent="0.25">
      <c r="B321" s="174">
        <f t="shared" si="65"/>
        <v>262</v>
      </c>
      <c r="C321" s="16">
        <v>20200601</v>
      </c>
      <c r="D321" s="15" t="s">
        <v>3</v>
      </c>
      <c r="E321" s="80" t="s">
        <v>600</v>
      </c>
      <c r="F321" s="169" t="s">
        <v>1055</v>
      </c>
      <c r="G321" s="80">
        <v>1465424</v>
      </c>
      <c r="H321" s="52" t="s">
        <v>61</v>
      </c>
      <c r="I321" s="80" t="s">
        <v>996</v>
      </c>
      <c r="J321" s="52" t="s">
        <v>61</v>
      </c>
      <c r="K321" s="15" t="s">
        <v>146</v>
      </c>
      <c r="L321" s="15" t="s">
        <v>150</v>
      </c>
      <c r="M321" s="15" t="s">
        <v>614</v>
      </c>
      <c r="N321" s="15" t="s">
        <v>609</v>
      </c>
      <c r="O321" s="17" t="s">
        <v>61</v>
      </c>
      <c r="P321" s="17" t="s">
        <v>1014</v>
      </c>
      <c r="Q321" s="18"/>
      <c r="R321" s="52" t="s">
        <v>61</v>
      </c>
      <c r="S321" s="15" t="s">
        <v>70</v>
      </c>
      <c r="T321" s="15"/>
      <c r="U321" s="15"/>
      <c r="V321" s="80">
        <v>575</v>
      </c>
      <c r="W321" s="15">
        <f t="shared" si="61"/>
        <v>575</v>
      </c>
      <c r="X321" s="15">
        <f t="shared" si="64"/>
        <v>575</v>
      </c>
      <c r="Y321" s="15">
        <f>ROUNDDOWN(W321/HLOOKUP(D321,Table!$C$3:$D$4,2,0)*8,2)</f>
        <v>10.220000000000001</v>
      </c>
      <c r="Z321" s="15">
        <v>2</v>
      </c>
      <c r="AA321" s="15" t="s">
        <v>74</v>
      </c>
      <c r="AB321" s="19">
        <v>43987</v>
      </c>
      <c r="AC321" s="19">
        <v>43983</v>
      </c>
      <c r="AD321" s="99">
        <v>43986</v>
      </c>
      <c r="AE321" s="19">
        <v>43984</v>
      </c>
      <c r="AF321" s="19">
        <v>43984</v>
      </c>
      <c r="AG321" s="19" t="s">
        <v>176</v>
      </c>
      <c r="AH321" s="31">
        <v>1</v>
      </c>
      <c r="AI321" s="31">
        <v>1</v>
      </c>
      <c r="AJ321" s="31">
        <v>1</v>
      </c>
      <c r="AK321" s="19" t="s">
        <v>150</v>
      </c>
      <c r="AL321" s="191" t="s">
        <v>61</v>
      </c>
      <c r="AM321" s="191" t="s">
        <v>61</v>
      </c>
      <c r="AN321" s="191" t="s">
        <v>61</v>
      </c>
    </row>
    <row r="322" spans="1:40" x14ac:dyDescent="0.25">
      <c r="B322" s="174">
        <f t="shared" si="65"/>
        <v>263</v>
      </c>
      <c r="C322" s="16">
        <v>20200601</v>
      </c>
      <c r="D322" s="15" t="s">
        <v>3</v>
      </c>
      <c r="E322" s="80" t="s">
        <v>600</v>
      </c>
      <c r="F322" s="169" t="s">
        <v>1056</v>
      </c>
      <c r="G322" s="80">
        <v>1465424</v>
      </c>
      <c r="H322" s="52" t="s">
        <v>61</v>
      </c>
      <c r="I322" s="80" t="s">
        <v>201</v>
      </c>
      <c r="J322" s="52" t="s">
        <v>61</v>
      </c>
      <c r="K322" s="15" t="s">
        <v>146</v>
      </c>
      <c r="L322" s="15" t="s">
        <v>150</v>
      </c>
      <c r="M322" s="15" t="s">
        <v>614</v>
      </c>
      <c r="N322" s="15" t="s">
        <v>609</v>
      </c>
      <c r="O322" s="17" t="s">
        <v>61</v>
      </c>
      <c r="P322" s="17" t="s">
        <v>1014</v>
      </c>
      <c r="Q322" s="18"/>
      <c r="R322" s="52" t="s">
        <v>61</v>
      </c>
      <c r="S322" s="15" t="s">
        <v>67</v>
      </c>
      <c r="T322" s="15"/>
      <c r="U322" s="15"/>
      <c r="V322" s="80">
        <v>261</v>
      </c>
      <c r="W322" s="15">
        <f t="shared" si="61"/>
        <v>261</v>
      </c>
      <c r="X322" s="15">
        <f>W322</f>
        <v>261</v>
      </c>
      <c r="Y322" s="15">
        <f>ROUNDDOWN(W322/HLOOKUP(D322,Table!$C$3:$D$4,2,0)*8,2)</f>
        <v>4.6399999999999997</v>
      </c>
      <c r="Z322" s="15">
        <v>2</v>
      </c>
      <c r="AA322" s="15" t="s">
        <v>74</v>
      </c>
      <c r="AB322" s="19">
        <v>43987</v>
      </c>
      <c r="AC322" s="19">
        <v>43983</v>
      </c>
      <c r="AD322" s="99">
        <v>43986</v>
      </c>
      <c r="AE322" s="19">
        <v>43986</v>
      </c>
      <c r="AF322" s="19">
        <v>43986</v>
      </c>
      <c r="AG322" s="19" t="s">
        <v>176</v>
      </c>
      <c r="AH322" s="31">
        <v>1</v>
      </c>
      <c r="AI322" s="31">
        <v>1</v>
      </c>
      <c r="AJ322" s="31">
        <v>1</v>
      </c>
      <c r="AK322" s="19" t="s">
        <v>150</v>
      </c>
      <c r="AL322" s="17" t="s">
        <v>61</v>
      </c>
      <c r="AM322" s="17" t="s">
        <v>61</v>
      </c>
      <c r="AN322" s="17" t="s">
        <v>61</v>
      </c>
    </row>
    <row r="323" spans="1:40" x14ac:dyDescent="0.25">
      <c r="B323" s="174">
        <f t="shared" si="65"/>
        <v>264</v>
      </c>
      <c r="C323" s="16">
        <v>20200601</v>
      </c>
      <c r="D323" s="15" t="s">
        <v>3</v>
      </c>
      <c r="E323" s="80" t="s">
        <v>600</v>
      </c>
      <c r="F323" s="169" t="s">
        <v>1057</v>
      </c>
      <c r="G323" s="80">
        <v>1465424</v>
      </c>
      <c r="H323" s="52" t="s">
        <v>61</v>
      </c>
      <c r="I323" s="141" t="s">
        <v>603</v>
      </c>
      <c r="J323" s="52" t="s">
        <v>61</v>
      </c>
      <c r="K323" s="15" t="s">
        <v>146</v>
      </c>
      <c r="L323" s="15" t="s">
        <v>150</v>
      </c>
      <c r="M323" s="15" t="s">
        <v>614</v>
      </c>
      <c r="N323" s="15" t="s">
        <v>609</v>
      </c>
      <c r="O323" s="17" t="s">
        <v>61</v>
      </c>
      <c r="P323" s="17" t="s">
        <v>1014</v>
      </c>
      <c r="Q323" s="18"/>
      <c r="R323" s="52" t="s">
        <v>61</v>
      </c>
      <c r="S323" s="15" t="s">
        <v>6</v>
      </c>
      <c r="T323" s="15"/>
      <c r="U323" s="15"/>
      <c r="V323" s="80">
        <v>45</v>
      </c>
      <c r="W323" s="15">
        <f t="shared" si="61"/>
        <v>45</v>
      </c>
      <c r="X323" s="15">
        <f t="shared" ref="X323:X329" si="66">W323</f>
        <v>45</v>
      </c>
      <c r="Y323" s="15">
        <f>ROUNDDOWN(W323/HLOOKUP(D323,Table!$C$3:$D$4,2,0)*8,2)</f>
        <v>0.8</v>
      </c>
      <c r="Z323" s="15">
        <v>1</v>
      </c>
      <c r="AA323" s="15" t="s">
        <v>74</v>
      </c>
      <c r="AB323" s="19">
        <v>43987</v>
      </c>
      <c r="AC323" s="19">
        <v>43983</v>
      </c>
      <c r="AD323" s="99">
        <v>43986</v>
      </c>
      <c r="AE323" s="19">
        <v>43984</v>
      </c>
      <c r="AF323" s="19">
        <v>43984</v>
      </c>
      <c r="AG323" s="19" t="s">
        <v>176</v>
      </c>
      <c r="AH323" s="31">
        <v>1</v>
      </c>
      <c r="AI323" s="31">
        <v>1</v>
      </c>
      <c r="AJ323" s="31">
        <v>1</v>
      </c>
      <c r="AK323" s="19" t="s">
        <v>150</v>
      </c>
      <c r="AL323" s="15"/>
      <c r="AM323" s="15"/>
      <c r="AN323" s="15"/>
    </row>
    <row r="324" spans="1:40" x14ac:dyDescent="0.25">
      <c r="B324" s="174">
        <f t="shared" si="65"/>
        <v>265</v>
      </c>
      <c r="C324" s="16">
        <v>20200601</v>
      </c>
      <c r="D324" s="15" t="s">
        <v>3</v>
      </c>
      <c r="E324" s="80" t="s">
        <v>600</v>
      </c>
      <c r="F324" s="169" t="s">
        <v>1051</v>
      </c>
      <c r="G324" s="80">
        <v>1476796</v>
      </c>
      <c r="H324" s="52" t="s">
        <v>61</v>
      </c>
      <c r="I324" s="141" t="s">
        <v>992</v>
      </c>
      <c r="J324" s="52" t="s">
        <v>61</v>
      </c>
      <c r="K324" s="15" t="s">
        <v>146</v>
      </c>
      <c r="L324" s="80" t="s">
        <v>612</v>
      </c>
      <c r="M324" s="15" t="s">
        <v>614</v>
      </c>
      <c r="N324" s="15" t="s">
        <v>609</v>
      </c>
      <c r="O324" s="17" t="s">
        <v>61</v>
      </c>
      <c r="P324" s="17" t="s">
        <v>1014</v>
      </c>
      <c r="Q324" s="18"/>
      <c r="R324" s="52" t="s">
        <v>61</v>
      </c>
      <c r="S324" s="15" t="s">
        <v>6</v>
      </c>
      <c r="T324" s="15"/>
      <c r="U324" s="15"/>
      <c r="V324" s="80">
        <v>726</v>
      </c>
      <c r="W324" s="15">
        <f t="shared" si="61"/>
        <v>726</v>
      </c>
      <c r="X324" s="15">
        <f t="shared" si="66"/>
        <v>726</v>
      </c>
      <c r="Y324" s="15">
        <f>ROUNDDOWN(W324/HLOOKUP(D324,Table!$C$3:$D$4,2,0)*8,2)</f>
        <v>12.9</v>
      </c>
      <c r="Z324" s="15">
        <v>2</v>
      </c>
      <c r="AA324" s="15" t="s">
        <v>74</v>
      </c>
      <c r="AB324" s="19">
        <v>43987</v>
      </c>
      <c r="AC324" s="19">
        <v>43983</v>
      </c>
      <c r="AD324" s="99">
        <v>43986</v>
      </c>
      <c r="AE324" s="19">
        <v>43984</v>
      </c>
      <c r="AF324" s="19">
        <v>43984</v>
      </c>
      <c r="AG324" s="19" t="s">
        <v>177</v>
      </c>
      <c r="AH324" s="31">
        <v>1</v>
      </c>
      <c r="AI324" s="31">
        <v>1</v>
      </c>
      <c r="AJ324" s="31">
        <v>0.8</v>
      </c>
      <c r="AK324" s="19" t="s">
        <v>139</v>
      </c>
      <c r="AL324" s="15" t="s">
        <v>1106</v>
      </c>
      <c r="AM324" s="15"/>
      <c r="AN324" s="15" t="s">
        <v>1110</v>
      </c>
    </row>
    <row r="325" spans="1:40" x14ac:dyDescent="0.25">
      <c r="B325" s="174">
        <f t="shared" si="65"/>
        <v>266</v>
      </c>
      <c r="C325" s="16">
        <v>20200601</v>
      </c>
      <c r="D325" s="15" t="s">
        <v>3</v>
      </c>
      <c r="E325" s="80" t="s">
        <v>955</v>
      </c>
      <c r="F325" s="169" t="s">
        <v>1058</v>
      </c>
      <c r="G325" s="80">
        <v>1495558</v>
      </c>
      <c r="H325" s="52" t="s">
        <v>61</v>
      </c>
      <c r="I325" s="141" t="s">
        <v>159</v>
      </c>
      <c r="J325" s="52" t="s">
        <v>61</v>
      </c>
      <c r="K325" s="15" t="s">
        <v>146</v>
      </c>
      <c r="L325" s="80" t="s">
        <v>1107</v>
      </c>
      <c r="M325" s="80" t="s">
        <v>1016</v>
      </c>
      <c r="N325" s="15" t="s">
        <v>609</v>
      </c>
      <c r="O325" s="17" t="s">
        <v>61</v>
      </c>
      <c r="P325" s="77" t="s">
        <v>1015</v>
      </c>
      <c r="Q325" s="18"/>
      <c r="R325" s="52" t="s">
        <v>61</v>
      </c>
      <c r="S325" s="15" t="s">
        <v>6</v>
      </c>
      <c r="T325" s="15"/>
      <c r="U325" s="15"/>
      <c r="V325" s="80">
        <v>88</v>
      </c>
      <c r="W325" s="15">
        <f t="shared" si="61"/>
        <v>88</v>
      </c>
      <c r="X325" s="15">
        <f t="shared" si="66"/>
        <v>88</v>
      </c>
      <c r="Y325" s="15">
        <f>ROUNDDOWN(W325/HLOOKUP(D325,Table!$C$3:$D$4,2,0)*8,2)</f>
        <v>1.56</v>
      </c>
      <c r="Z325" s="15">
        <v>0.5</v>
      </c>
      <c r="AA325" s="15" t="s">
        <v>74</v>
      </c>
      <c r="AB325" s="19">
        <v>43990</v>
      </c>
      <c r="AC325" s="19">
        <v>43983</v>
      </c>
      <c r="AD325" s="172">
        <v>43994</v>
      </c>
      <c r="AE325" s="19">
        <v>43984</v>
      </c>
      <c r="AF325" s="19">
        <v>43984</v>
      </c>
      <c r="AG325" s="19" t="s">
        <v>176</v>
      </c>
      <c r="AH325" s="31">
        <v>1</v>
      </c>
      <c r="AI325" s="31">
        <v>1</v>
      </c>
      <c r="AJ325" s="31">
        <v>1</v>
      </c>
      <c r="AK325" s="19" t="s">
        <v>150</v>
      </c>
      <c r="AL325" s="15"/>
      <c r="AM325" s="15"/>
      <c r="AN325" s="15"/>
    </row>
    <row r="326" spans="1:40" x14ac:dyDescent="0.25">
      <c r="B326" s="174">
        <f t="shared" si="65"/>
        <v>267</v>
      </c>
      <c r="C326" s="16">
        <v>20200601</v>
      </c>
      <c r="D326" s="15" t="s">
        <v>3</v>
      </c>
      <c r="E326" s="80" t="s">
        <v>955</v>
      </c>
      <c r="F326" s="169" t="s">
        <v>1059</v>
      </c>
      <c r="G326" s="80">
        <v>1495558</v>
      </c>
      <c r="H326" s="52" t="s">
        <v>61</v>
      </c>
      <c r="I326" s="141" t="s">
        <v>153</v>
      </c>
      <c r="J326" s="52" t="s">
        <v>61</v>
      </c>
      <c r="K326" s="15" t="s">
        <v>146</v>
      </c>
      <c r="L326" s="15" t="s">
        <v>1107</v>
      </c>
      <c r="M326" s="15" t="s">
        <v>1016</v>
      </c>
      <c r="N326" s="15" t="s">
        <v>609</v>
      </c>
      <c r="O326" s="17" t="s">
        <v>61</v>
      </c>
      <c r="P326" s="17" t="s">
        <v>1015</v>
      </c>
      <c r="Q326" s="18"/>
      <c r="R326" s="52" t="s">
        <v>61</v>
      </c>
      <c r="S326" s="15" t="s">
        <v>6</v>
      </c>
      <c r="T326" s="15"/>
      <c r="U326" s="15"/>
      <c r="V326" s="80">
        <v>42</v>
      </c>
      <c r="W326" s="15">
        <f t="shared" si="61"/>
        <v>42</v>
      </c>
      <c r="X326" s="15">
        <f t="shared" si="66"/>
        <v>42</v>
      </c>
      <c r="Y326" s="15">
        <f>ROUNDDOWN(W326/HLOOKUP(D326,Table!$C$3:$D$4,2,0)*8,2)</f>
        <v>0.74</v>
      </c>
      <c r="Z326" s="15">
        <v>0.5</v>
      </c>
      <c r="AA326" s="15" t="s">
        <v>74</v>
      </c>
      <c r="AB326" s="19">
        <v>43990</v>
      </c>
      <c r="AC326" s="19">
        <v>43983</v>
      </c>
      <c r="AD326" s="172">
        <v>43994</v>
      </c>
      <c r="AE326" s="19">
        <v>43984</v>
      </c>
      <c r="AF326" s="19">
        <v>43984</v>
      </c>
      <c r="AG326" s="19" t="s">
        <v>176</v>
      </c>
      <c r="AH326" s="31">
        <v>1</v>
      </c>
      <c r="AI326" s="31">
        <v>1</v>
      </c>
      <c r="AJ326" s="31">
        <v>1</v>
      </c>
      <c r="AK326" s="19" t="s">
        <v>150</v>
      </c>
      <c r="AL326" s="15"/>
      <c r="AM326" s="15"/>
      <c r="AN326" s="15"/>
    </row>
    <row r="327" spans="1:40" x14ac:dyDescent="0.25">
      <c r="B327" s="174">
        <f t="shared" si="65"/>
        <v>268</v>
      </c>
      <c r="C327" s="16">
        <v>20200601</v>
      </c>
      <c r="D327" s="15" t="s">
        <v>3</v>
      </c>
      <c r="E327" s="80" t="s">
        <v>955</v>
      </c>
      <c r="F327" s="169" t="s">
        <v>1060</v>
      </c>
      <c r="G327" s="80">
        <v>1495558</v>
      </c>
      <c r="H327" s="52" t="s">
        <v>61</v>
      </c>
      <c r="I327" s="141" t="s">
        <v>159</v>
      </c>
      <c r="J327" s="52" t="s">
        <v>61</v>
      </c>
      <c r="K327" s="15" t="s">
        <v>146</v>
      </c>
      <c r="L327" s="15" t="s">
        <v>1108</v>
      </c>
      <c r="M327" s="15" t="s">
        <v>1016</v>
      </c>
      <c r="N327" s="15" t="s">
        <v>609</v>
      </c>
      <c r="O327" s="17" t="s">
        <v>61</v>
      </c>
      <c r="P327" s="17" t="s">
        <v>1015</v>
      </c>
      <c r="Q327" s="18"/>
      <c r="R327" s="52" t="s">
        <v>61</v>
      </c>
      <c r="S327" s="15" t="s">
        <v>6</v>
      </c>
      <c r="T327" s="15"/>
      <c r="U327" s="15"/>
      <c r="V327" s="80">
        <v>88</v>
      </c>
      <c r="W327" s="15">
        <f t="shared" si="61"/>
        <v>88</v>
      </c>
      <c r="X327" s="15">
        <f t="shared" si="66"/>
        <v>88</v>
      </c>
      <c r="Y327" s="15">
        <f>ROUNDDOWN(W327/HLOOKUP(D327,Table!$C$3:$D$4,2,0)*8,2)</f>
        <v>1.56</v>
      </c>
      <c r="Z327" s="15">
        <v>0.5</v>
      </c>
      <c r="AA327" s="15" t="s">
        <v>74</v>
      </c>
      <c r="AB327" s="19">
        <v>43990</v>
      </c>
      <c r="AC327" s="19">
        <v>43983</v>
      </c>
      <c r="AD327" s="172">
        <v>43994</v>
      </c>
      <c r="AE327" s="19">
        <v>43984</v>
      </c>
      <c r="AF327" s="19">
        <v>43984</v>
      </c>
      <c r="AG327" s="19" t="s">
        <v>176</v>
      </c>
      <c r="AH327" s="31">
        <v>1</v>
      </c>
      <c r="AI327" s="31">
        <v>1</v>
      </c>
      <c r="AJ327" s="31">
        <v>1</v>
      </c>
      <c r="AK327" s="19" t="s">
        <v>150</v>
      </c>
      <c r="AL327" s="15"/>
      <c r="AM327" s="15"/>
      <c r="AN327" s="15"/>
    </row>
    <row r="328" spans="1:40" x14ac:dyDescent="0.25">
      <c r="B328" s="174">
        <f t="shared" si="65"/>
        <v>269</v>
      </c>
      <c r="C328" s="16">
        <v>20200601</v>
      </c>
      <c r="D328" s="15" t="s">
        <v>3</v>
      </c>
      <c r="E328" s="80" t="s">
        <v>955</v>
      </c>
      <c r="F328" s="169" t="s">
        <v>1061</v>
      </c>
      <c r="G328" s="80">
        <v>1495558</v>
      </c>
      <c r="H328" s="52" t="s">
        <v>61</v>
      </c>
      <c r="I328" s="141" t="s">
        <v>153</v>
      </c>
      <c r="J328" s="52" t="s">
        <v>61</v>
      </c>
      <c r="K328" s="15" t="s">
        <v>146</v>
      </c>
      <c r="L328" s="15" t="s">
        <v>1108</v>
      </c>
      <c r="M328" s="15" t="s">
        <v>1016</v>
      </c>
      <c r="N328" s="15" t="s">
        <v>609</v>
      </c>
      <c r="O328" s="17" t="s">
        <v>61</v>
      </c>
      <c r="P328" s="77" t="s">
        <v>1015</v>
      </c>
      <c r="Q328" s="18"/>
      <c r="R328" s="52" t="s">
        <v>61</v>
      </c>
      <c r="S328" s="15" t="s">
        <v>6</v>
      </c>
      <c r="T328" s="15"/>
      <c r="U328" s="15"/>
      <c r="V328" s="80">
        <v>42</v>
      </c>
      <c r="W328" s="15">
        <f t="shared" si="61"/>
        <v>42</v>
      </c>
      <c r="X328" s="15">
        <f t="shared" si="66"/>
        <v>42</v>
      </c>
      <c r="Y328" s="15">
        <f>ROUNDDOWN(W328/HLOOKUP(D328,Table!$C$3:$D$4,2,0)*8,2)</f>
        <v>0.74</v>
      </c>
      <c r="Z328" s="15">
        <v>0.5</v>
      </c>
      <c r="AA328" s="15" t="s">
        <v>74</v>
      </c>
      <c r="AB328" s="19">
        <v>43990</v>
      </c>
      <c r="AC328" s="19">
        <v>43983</v>
      </c>
      <c r="AD328" s="172">
        <v>43994</v>
      </c>
      <c r="AE328" s="19">
        <v>43984</v>
      </c>
      <c r="AF328" s="19">
        <v>43984</v>
      </c>
      <c r="AG328" s="19" t="s">
        <v>176</v>
      </c>
      <c r="AH328" s="31">
        <v>1</v>
      </c>
      <c r="AI328" s="31">
        <v>1</v>
      </c>
      <c r="AJ328" s="31">
        <v>1</v>
      </c>
      <c r="AK328" s="19" t="s">
        <v>150</v>
      </c>
      <c r="AL328" s="15"/>
      <c r="AM328" s="15"/>
      <c r="AN328" s="15"/>
    </row>
    <row r="329" spans="1:40" x14ac:dyDescent="0.25">
      <c r="B329" s="174">
        <f t="shared" si="65"/>
        <v>270</v>
      </c>
      <c r="C329" s="16">
        <v>20200601</v>
      </c>
      <c r="D329" s="15" t="s">
        <v>3</v>
      </c>
      <c r="E329" s="80" t="s">
        <v>956</v>
      </c>
      <c r="F329" s="169" t="s">
        <v>1051</v>
      </c>
      <c r="G329" s="80">
        <v>1495747</v>
      </c>
      <c r="H329" s="52" t="s">
        <v>61</v>
      </c>
      <c r="I329" s="141" t="s">
        <v>992</v>
      </c>
      <c r="J329" s="52" t="s">
        <v>61</v>
      </c>
      <c r="K329" s="15" t="s">
        <v>146</v>
      </c>
      <c r="L329" s="80" t="s">
        <v>1018</v>
      </c>
      <c r="M329" s="80" t="s">
        <v>1017</v>
      </c>
      <c r="N329" s="15" t="s">
        <v>609</v>
      </c>
      <c r="O329" s="17" t="s">
        <v>61</v>
      </c>
      <c r="P329" s="77" t="s">
        <v>1014</v>
      </c>
      <c r="Q329" s="18"/>
      <c r="R329" s="52" t="s">
        <v>61</v>
      </c>
      <c r="S329" s="15" t="s">
        <v>6</v>
      </c>
      <c r="T329" s="15"/>
      <c r="U329" s="15"/>
      <c r="V329" s="80">
        <v>726</v>
      </c>
      <c r="W329" s="15">
        <f t="shared" si="61"/>
        <v>726</v>
      </c>
      <c r="X329" s="15">
        <f t="shared" si="66"/>
        <v>726</v>
      </c>
      <c r="Y329" s="15">
        <f>ROUNDDOWN(W329/HLOOKUP(D329,Table!$C$3:$D$4,2,0)*8,2)</f>
        <v>12.9</v>
      </c>
      <c r="Z329" s="15">
        <v>0.5</v>
      </c>
      <c r="AA329" s="15" t="s">
        <v>74</v>
      </c>
      <c r="AB329" s="19">
        <v>43990</v>
      </c>
      <c r="AC329" s="19">
        <v>43983</v>
      </c>
      <c r="AD329" s="172">
        <v>43994</v>
      </c>
      <c r="AE329" s="19">
        <v>43984</v>
      </c>
      <c r="AF329" s="19">
        <v>43984</v>
      </c>
      <c r="AG329" s="19" t="s">
        <v>177</v>
      </c>
      <c r="AH329" s="31">
        <v>1</v>
      </c>
      <c r="AI329" s="31">
        <v>1</v>
      </c>
      <c r="AJ329" s="31">
        <v>0.8</v>
      </c>
      <c r="AK329" s="19" t="s">
        <v>139</v>
      </c>
      <c r="AL329" s="15" t="s">
        <v>1106</v>
      </c>
      <c r="AM329" s="15"/>
      <c r="AN329" s="15" t="s">
        <v>1110</v>
      </c>
    </row>
    <row r="330" spans="1:40" x14ac:dyDescent="0.25">
      <c r="B330" s="174">
        <f t="shared" si="65"/>
        <v>271</v>
      </c>
      <c r="C330" s="16">
        <v>20200601</v>
      </c>
      <c r="D330" s="15" t="s">
        <v>3</v>
      </c>
      <c r="E330" s="80" t="s">
        <v>441</v>
      </c>
      <c r="F330" s="199" t="s">
        <v>1062</v>
      </c>
      <c r="G330" s="80">
        <v>1493621</v>
      </c>
      <c r="H330" s="52" t="s">
        <v>61</v>
      </c>
      <c r="I330" s="80" t="s">
        <v>201</v>
      </c>
      <c r="J330" s="52" t="s">
        <v>61</v>
      </c>
      <c r="K330" s="15" t="s">
        <v>146</v>
      </c>
      <c r="L330" s="80" t="s">
        <v>451</v>
      </c>
      <c r="M330" s="80" t="s">
        <v>433</v>
      </c>
      <c r="N330" s="185" t="s">
        <v>608</v>
      </c>
      <c r="O330" s="17" t="s">
        <v>61</v>
      </c>
      <c r="P330" s="77" t="s">
        <v>448</v>
      </c>
      <c r="Q330" s="18"/>
      <c r="R330" s="52" t="s">
        <v>61</v>
      </c>
      <c r="S330" s="15" t="s">
        <v>67</v>
      </c>
      <c r="T330" s="15"/>
      <c r="U330" s="15"/>
      <c r="V330" s="80">
        <v>261</v>
      </c>
      <c r="W330" s="84">
        <v>291</v>
      </c>
      <c r="X330" s="15">
        <v>291</v>
      </c>
      <c r="Y330" s="15">
        <f>ROUNDDOWN(W330/HLOOKUP(D330,Table!$C$3:$D$4,2,0)*8,2)</f>
        <v>5.17</v>
      </c>
      <c r="Z330" s="15">
        <v>1</v>
      </c>
      <c r="AA330" s="15" t="s">
        <v>74</v>
      </c>
      <c r="AB330" s="99">
        <v>43985</v>
      </c>
      <c r="AC330" s="19">
        <v>43983</v>
      </c>
      <c r="AD330" s="99">
        <v>43985</v>
      </c>
      <c r="AE330" s="19">
        <v>43985</v>
      </c>
      <c r="AF330" s="19">
        <v>43985</v>
      </c>
      <c r="AG330" s="19" t="s">
        <v>176</v>
      </c>
      <c r="AH330" s="31">
        <v>1</v>
      </c>
      <c r="AI330" s="31">
        <v>1</v>
      </c>
      <c r="AJ330" s="31">
        <v>1</v>
      </c>
      <c r="AK330" s="19" t="s">
        <v>150</v>
      </c>
      <c r="AL330" s="197" t="s">
        <v>61</v>
      </c>
      <c r="AM330" s="197" t="s">
        <v>61</v>
      </c>
      <c r="AN330" s="15" t="s">
        <v>1023</v>
      </c>
    </row>
    <row r="331" spans="1:40" x14ac:dyDescent="0.25">
      <c r="B331" s="174">
        <f t="shared" si="65"/>
        <v>272</v>
      </c>
      <c r="C331" s="16">
        <v>20200601</v>
      </c>
      <c r="D331" s="15" t="s">
        <v>2</v>
      </c>
      <c r="E331" s="80" t="s">
        <v>412</v>
      </c>
      <c r="F331" s="77" t="s">
        <v>61</v>
      </c>
      <c r="G331" s="80">
        <v>1496047</v>
      </c>
      <c r="H331" s="52" t="s">
        <v>61</v>
      </c>
      <c r="I331" s="80" t="s">
        <v>997</v>
      </c>
      <c r="J331" s="52" t="s">
        <v>61</v>
      </c>
      <c r="K331" s="15" t="s">
        <v>146</v>
      </c>
      <c r="L331" s="15" t="s">
        <v>150</v>
      </c>
      <c r="M331" s="80" t="s">
        <v>433</v>
      </c>
      <c r="N331" s="80">
        <v>1496047</v>
      </c>
      <c r="O331" s="77" t="s">
        <v>942</v>
      </c>
      <c r="P331" s="77" t="s">
        <v>1019</v>
      </c>
      <c r="Q331" s="18"/>
      <c r="R331" s="52" t="s">
        <v>61</v>
      </c>
      <c r="S331" s="15" t="s">
        <v>69</v>
      </c>
      <c r="T331" s="15"/>
      <c r="U331" s="15"/>
      <c r="V331" s="80">
        <v>16</v>
      </c>
      <c r="W331" s="15">
        <f t="shared" si="61"/>
        <v>16</v>
      </c>
      <c r="X331" s="15">
        <f t="shared" ref="X331:X338" si="67">W331</f>
        <v>16</v>
      </c>
      <c r="Y331" s="15">
        <f>ROUNDDOWN(W331/HLOOKUP(D331,Table!$C$3:$D$4,2,0)*8,2)</f>
        <v>0.98</v>
      </c>
      <c r="Z331" s="15">
        <v>0.9</v>
      </c>
      <c r="AA331" s="15" t="s">
        <v>74</v>
      </c>
      <c r="AB331" s="99">
        <v>43985</v>
      </c>
      <c r="AC331" s="19">
        <v>43983</v>
      </c>
      <c r="AD331" s="99">
        <v>43985</v>
      </c>
      <c r="AE331" s="19">
        <v>43985</v>
      </c>
      <c r="AF331" s="19">
        <v>43985</v>
      </c>
      <c r="AG331" s="19" t="s">
        <v>177</v>
      </c>
      <c r="AH331" s="31">
        <v>0.88900000000000001</v>
      </c>
      <c r="AI331" s="31">
        <v>0.88900000000000001</v>
      </c>
      <c r="AJ331" s="31">
        <v>0.83299999999999996</v>
      </c>
      <c r="AK331" s="19" t="s">
        <v>139</v>
      </c>
      <c r="AL331" s="15" t="s">
        <v>1175</v>
      </c>
      <c r="AM331" s="15"/>
      <c r="AN331" s="15" t="s">
        <v>1110</v>
      </c>
    </row>
    <row r="332" spans="1:40" x14ac:dyDescent="0.25">
      <c r="B332" s="174">
        <f t="shared" si="65"/>
        <v>273</v>
      </c>
      <c r="C332" s="16">
        <v>20200601</v>
      </c>
      <c r="D332" s="15" t="s">
        <v>2</v>
      </c>
      <c r="E332" s="80" t="s">
        <v>954</v>
      </c>
      <c r="F332" s="77" t="s">
        <v>61</v>
      </c>
      <c r="G332" s="80">
        <v>1495862</v>
      </c>
      <c r="H332" s="52" t="s">
        <v>61</v>
      </c>
      <c r="I332" s="80" t="s">
        <v>998</v>
      </c>
      <c r="J332" s="52" t="s">
        <v>61</v>
      </c>
      <c r="K332" s="15" t="s">
        <v>146</v>
      </c>
      <c r="L332" s="15" t="s">
        <v>150</v>
      </c>
      <c r="M332" s="80" t="s">
        <v>1011</v>
      </c>
      <c r="N332" s="80">
        <v>1495862</v>
      </c>
      <c r="O332" s="77" t="s">
        <v>1022</v>
      </c>
      <c r="P332" s="77" t="s">
        <v>1020</v>
      </c>
      <c r="Q332" s="18"/>
      <c r="R332" s="52" t="s">
        <v>61</v>
      </c>
      <c r="S332" s="15" t="s">
        <v>6</v>
      </c>
      <c r="T332" s="15"/>
      <c r="U332" s="15"/>
      <c r="V332" s="80">
        <v>31</v>
      </c>
      <c r="W332" s="15">
        <f t="shared" ref="W332:W362" si="68">V332</f>
        <v>31</v>
      </c>
      <c r="X332" s="15">
        <f t="shared" si="67"/>
        <v>31</v>
      </c>
      <c r="Y332" s="15">
        <f>ROUNDDOWN(W332/HLOOKUP(D332,Table!$C$3:$D$4,2,0)*8,2)</f>
        <v>1.9</v>
      </c>
      <c r="Z332" s="15">
        <v>1</v>
      </c>
      <c r="AA332" s="15" t="s">
        <v>74</v>
      </c>
      <c r="AB332" s="19">
        <v>43985</v>
      </c>
      <c r="AC332" s="19">
        <v>43983</v>
      </c>
      <c r="AD332" s="99">
        <v>43985</v>
      </c>
      <c r="AE332" s="19">
        <v>43985</v>
      </c>
      <c r="AF332" s="19">
        <v>43985</v>
      </c>
      <c r="AG332" s="19" t="s">
        <v>176</v>
      </c>
      <c r="AH332" s="31">
        <v>1</v>
      </c>
      <c r="AI332" s="31">
        <v>1</v>
      </c>
      <c r="AJ332" s="31">
        <v>1</v>
      </c>
      <c r="AK332" s="19" t="s">
        <v>150</v>
      </c>
      <c r="AL332" s="15"/>
      <c r="AM332" s="15"/>
      <c r="AN332" s="15"/>
    </row>
    <row r="333" spans="1:40" x14ac:dyDescent="0.25">
      <c r="B333" s="174">
        <f t="shared" si="65"/>
        <v>274</v>
      </c>
      <c r="C333" s="16">
        <v>20200601</v>
      </c>
      <c r="D333" s="15" t="s">
        <v>3</v>
      </c>
      <c r="E333" s="80" t="s">
        <v>952</v>
      </c>
      <c r="F333" s="184" t="s">
        <v>1063</v>
      </c>
      <c r="G333" s="80">
        <v>1493558</v>
      </c>
      <c r="H333" s="52" t="s">
        <v>61</v>
      </c>
      <c r="I333" s="80" t="s">
        <v>999</v>
      </c>
      <c r="J333" s="52" t="s">
        <v>61</v>
      </c>
      <c r="K333" s="15" t="s">
        <v>146</v>
      </c>
      <c r="L333" s="80" t="s">
        <v>1008</v>
      </c>
      <c r="M333" s="80" t="s">
        <v>1007</v>
      </c>
      <c r="N333" s="80" t="s">
        <v>1006</v>
      </c>
      <c r="O333" s="17" t="s">
        <v>61</v>
      </c>
      <c r="P333" s="77" t="s">
        <v>1021</v>
      </c>
      <c r="Q333" s="18"/>
      <c r="R333" s="52" t="s">
        <v>61</v>
      </c>
      <c r="S333" s="15" t="s">
        <v>69</v>
      </c>
      <c r="T333" s="15"/>
      <c r="U333" s="15"/>
      <c r="V333" s="80">
        <v>8</v>
      </c>
      <c r="W333" s="15">
        <f t="shared" si="68"/>
        <v>8</v>
      </c>
      <c r="X333" s="15">
        <f t="shared" si="67"/>
        <v>8</v>
      </c>
      <c r="Y333" s="15">
        <f>ROUNDDOWN(W333/HLOOKUP(D333,Table!$C$3:$D$4,2,0)*8,2)</f>
        <v>0.14000000000000001</v>
      </c>
      <c r="Z333" s="15">
        <v>0.1</v>
      </c>
      <c r="AA333" s="15" t="s">
        <v>74</v>
      </c>
      <c r="AB333" s="19">
        <v>43987</v>
      </c>
      <c r="AC333" s="19">
        <v>43983</v>
      </c>
      <c r="AD333" s="99">
        <v>43986</v>
      </c>
      <c r="AE333" s="19">
        <v>43984</v>
      </c>
      <c r="AF333" s="19">
        <v>43984</v>
      </c>
      <c r="AG333" s="19" t="s">
        <v>176</v>
      </c>
      <c r="AH333" s="31">
        <v>1</v>
      </c>
      <c r="AI333" s="31">
        <v>1</v>
      </c>
      <c r="AJ333" s="31">
        <v>1</v>
      </c>
      <c r="AK333" s="19" t="s">
        <v>150</v>
      </c>
      <c r="AL333" s="15"/>
      <c r="AM333" s="15"/>
      <c r="AN333" s="15" t="s">
        <v>1031</v>
      </c>
    </row>
    <row r="334" spans="1:40" x14ac:dyDescent="0.25">
      <c r="B334" s="174">
        <f t="shared" si="65"/>
        <v>275</v>
      </c>
      <c r="C334" s="16">
        <v>20200601</v>
      </c>
      <c r="D334" s="15" t="s">
        <v>3</v>
      </c>
      <c r="E334" s="80" t="s">
        <v>952</v>
      </c>
      <c r="F334" s="184" t="s">
        <v>1064</v>
      </c>
      <c r="G334" s="80">
        <v>1493558</v>
      </c>
      <c r="H334" s="52" t="s">
        <v>61</v>
      </c>
      <c r="I334" s="80" t="s">
        <v>1000</v>
      </c>
      <c r="J334" s="52" t="s">
        <v>61</v>
      </c>
      <c r="K334" s="15" t="s">
        <v>146</v>
      </c>
      <c r="L334" s="15" t="s">
        <v>1008</v>
      </c>
      <c r="M334" s="15" t="s">
        <v>1007</v>
      </c>
      <c r="N334" s="15" t="s">
        <v>1006</v>
      </c>
      <c r="O334" s="17" t="s">
        <v>61</v>
      </c>
      <c r="P334" s="17" t="s">
        <v>1021</v>
      </c>
      <c r="Q334" s="18"/>
      <c r="R334" s="52" t="s">
        <v>61</v>
      </c>
      <c r="S334" s="15" t="s">
        <v>69</v>
      </c>
      <c r="T334" s="15"/>
      <c r="U334" s="15"/>
      <c r="V334" s="80">
        <v>80</v>
      </c>
      <c r="W334" s="15">
        <f t="shared" si="68"/>
        <v>80</v>
      </c>
      <c r="X334" s="15">
        <f t="shared" si="67"/>
        <v>80</v>
      </c>
      <c r="Y334" s="15">
        <f>ROUNDDOWN(W334/HLOOKUP(D334,Table!$C$3:$D$4,2,0)*8,2)</f>
        <v>1.42</v>
      </c>
      <c r="Z334" s="15">
        <v>1</v>
      </c>
      <c r="AA334" s="15" t="s">
        <v>74</v>
      </c>
      <c r="AB334" s="19">
        <v>43987</v>
      </c>
      <c r="AC334" s="19">
        <v>43983</v>
      </c>
      <c r="AD334" s="99">
        <v>43986</v>
      </c>
      <c r="AE334" s="19">
        <v>43984</v>
      </c>
      <c r="AF334" s="19">
        <v>43984</v>
      </c>
      <c r="AG334" s="19" t="s">
        <v>176</v>
      </c>
      <c r="AH334" s="31">
        <v>1</v>
      </c>
      <c r="AI334" s="31">
        <v>1</v>
      </c>
      <c r="AJ334" s="31">
        <v>1</v>
      </c>
      <c r="AK334" s="19" t="s">
        <v>150</v>
      </c>
      <c r="AL334" s="15"/>
      <c r="AM334" s="15"/>
      <c r="AN334" s="15" t="s">
        <v>1031</v>
      </c>
    </row>
    <row r="335" spans="1:40" x14ac:dyDescent="0.25">
      <c r="B335" s="174">
        <f t="shared" si="65"/>
        <v>276</v>
      </c>
      <c r="C335" s="16">
        <v>20200601</v>
      </c>
      <c r="D335" s="15" t="s">
        <v>3</v>
      </c>
      <c r="E335" s="80" t="s">
        <v>952</v>
      </c>
      <c r="F335" s="184" t="s">
        <v>1065</v>
      </c>
      <c r="G335" s="80">
        <v>1493558</v>
      </c>
      <c r="H335" s="52" t="s">
        <v>61</v>
      </c>
      <c r="I335" s="80" t="s">
        <v>1001</v>
      </c>
      <c r="J335" s="52" t="s">
        <v>61</v>
      </c>
      <c r="K335" s="15" t="s">
        <v>146</v>
      </c>
      <c r="L335" s="15" t="s">
        <v>1008</v>
      </c>
      <c r="M335" s="15" t="s">
        <v>1007</v>
      </c>
      <c r="N335" s="15" t="s">
        <v>1006</v>
      </c>
      <c r="O335" s="17" t="s">
        <v>61</v>
      </c>
      <c r="P335" s="77" t="s">
        <v>1021</v>
      </c>
      <c r="Q335" s="18"/>
      <c r="R335" s="52" t="s">
        <v>61</v>
      </c>
      <c r="S335" s="15" t="s">
        <v>69</v>
      </c>
      <c r="T335" s="15"/>
      <c r="U335" s="15"/>
      <c r="V335" s="80">
        <v>22</v>
      </c>
      <c r="W335" s="15">
        <f t="shared" si="68"/>
        <v>22</v>
      </c>
      <c r="X335" s="15">
        <f t="shared" si="67"/>
        <v>22</v>
      </c>
      <c r="Y335" s="15">
        <f>ROUNDDOWN(W335/HLOOKUP(D335,Table!$C$3:$D$4,2,0)*8,2)</f>
        <v>0.39</v>
      </c>
      <c r="Z335" s="15">
        <v>0.3</v>
      </c>
      <c r="AA335" s="15" t="s">
        <v>74</v>
      </c>
      <c r="AB335" s="19">
        <v>43987</v>
      </c>
      <c r="AC335" s="19">
        <v>43983</v>
      </c>
      <c r="AD335" s="99">
        <v>43986</v>
      </c>
      <c r="AE335" s="19">
        <v>43984</v>
      </c>
      <c r="AF335" s="19">
        <v>43984</v>
      </c>
      <c r="AG335" s="19" t="s">
        <v>176</v>
      </c>
      <c r="AH335" s="31">
        <v>1</v>
      </c>
      <c r="AI335" s="31">
        <v>1</v>
      </c>
      <c r="AJ335" s="31">
        <v>1</v>
      </c>
      <c r="AK335" s="19" t="s">
        <v>150</v>
      </c>
      <c r="AL335" s="15"/>
      <c r="AM335" s="15"/>
      <c r="AN335" s="15" t="s">
        <v>1031</v>
      </c>
    </row>
    <row r="336" spans="1:40" x14ac:dyDescent="0.25">
      <c r="B336" s="175">
        <f t="shared" si="65"/>
        <v>277</v>
      </c>
      <c r="C336" s="16">
        <v>20200601</v>
      </c>
      <c r="D336" s="15" t="s">
        <v>3</v>
      </c>
      <c r="E336" s="80" t="s">
        <v>479</v>
      </c>
      <c r="F336" s="169" t="s">
        <v>1066</v>
      </c>
      <c r="G336" s="80">
        <v>1484917</v>
      </c>
      <c r="H336" s="52" t="s">
        <v>61</v>
      </c>
      <c r="I336" s="80" t="s">
        <v>957</v>
      </c>
      <c r="J336" s="52" t="s">
        <v>61</v>
      </c>
      <c r="K336" s="15" t="s">
        <v>184</v>
      </c>
      <c r="L336" s="80" t="s">
        <v>526</v>
      </c>
      <c r="M336" s="80" t="s">
        <v>527</v>
      </c>
      <c r="N336" s="80" t="s">
        <v>528</v>
      </c>
      <c r="O336" s="17" t="s">
        <v>61</v>
      </c>
      <c r="P336" s="77" t="s">
        <v>529</v>
      </c>
      <c r="Q336" s="18"/>
      <c r="R336" s="52" t="s">
        <v>61</v>
      </c>
      <c r="S336" s="15" t="s">
        <v>69</v>
      </c>
      <c r="T336" s="15"/>
      <c r="U336" s="15"/>
      <c r="V336" s="80">
        <v>80</v>
      </c>
      <c r="W336" s="15">
        <f t="shared" si="68"/>
        <v>80</v>
      </c>
      <c r="X336" s="15">
        <f t="shared" si="67"/>
        <v>80</v>
      </c>
      <c r="Y336" s="15">
        <f>ROUNDDOWN(W336/HLOOKUP(D336,Table!$C$3:$D$4,2,0)*8,2)</f>
        <v>1.42</v>
      </c>
      <c r="Z336" s="15">
        <v>1</v>
      </c>
      <c r="AA336" s="15" t="s">
        <v>21</v>
      </c>
      <c r="AB336" s="19">
        <v>44001</v>
      </c>
      <c r="AC336" s="19">
        <v>43983</v>
      </c>
      <c r="AD336" s="99">
        <v>44001</v>
      </c>
      <c r="AE336" s="19">
        <v>43984</v>
      </c>
      <c r="AF336" s="19">
        <v>43984</v>
      </c>
      <c r="AG336" s="19" t="s">
        <v>176</v>
      </c>
      <c r="AH336" s="31">
        <v>1</v>
      </c>
      <c r="AI336" s="31">
        <v>1</v>
      </c>
      <c r="AJ336" s="31">
        <v>1</v>
      </c>
      <c r="AK336" s="19" t="s">
        <v>150</v>
      </c>
      <c r="AL336" s="17" t="s">
        <v>61</v>
      </c>
      <c r="AM336" s="17" t="s">
        <v>61</v>
      </c>
      <c r="AN336" s="176" t="s">
        <v>530</v>
      </c>
    </row>
    <row r="337" spans="2:40" x14ac:dyDescent="0.25">
      <c r="B337" s="175">
        <f t="shared" si="65"/>
        <v>278</v>
      </c>
      <c r="C337" s="16">
        <v>20200601</v>
      </c>
      <c r="D337" s="15" t="s">
        <v>3</v>
      </c>
      <c r="E337" s="80" t="s">
        <v>479</v>
      </c>
      <c r="F337" s="169" t="s">
        <v>1067</v>
      </c>
      <c r="G337" s="80">
        <v>1484917</v>
      </c>
      <c r="H337" s="52" t="s">
        <v>61</v>
      </c>
      <c r="I337" s="80" t="s">
        <v>958</v>
      </c>
      <c r="J337" s="52" t="s">
        <v>61</v>
      </c>
      <c r="K337" s="15" t="s">
        <v>184</v>
      </c>
      <c r="L337" s="15" t="s">
        <v>526</v>
      </c>
      <c r="M337" s="15" t="s">
        <v>527</v>
      </c>
      <c r="N337" s="15" t="s">
        <v>528</v>
      </c>
      <c r="O337" s="17" t="s">
        <v>61</v>
      </c>
      <c r="P337" s="17" t="s">
        <v>529</v>
      </c>
      <c r="Q337" s="18"/>
      <c r="R337" s="52" t="s">
        <v>61</v>
      </c>
      <c r="S337" s="15" t="s">
        <v>69</v>
      </c>
      <c r="T337" s="15"/>
      <c r="U337" s="15"/>
      <c r="V337" s="80">
        <v>144</v>
      </c>
      <c r="W337" s="15">
        <f t="shared" si="68"/>
        <v>144</v>
      </c>
      <c r="X337" s="15">
        <f t="shared" si="67"/>
        <v>144</v>
      </c>
      <c r="Y337" s="15">
        <f>ROUNDDOWN(W337/HLOOKUP(D337,Table!$C$3:$D$4,2,0)*8,2)</f>
        <v>2.56</v>
      </c>
      <c r="Z337" s="15">
        <v>2</v>
      </c>
      <c r="AA337" s="15" t="s">
        <v>21</v>
      </c>
      <c r="AB337" s="19">
        <v>44001</v>
      </c>
      <c r="AC337" s="19">
        <v>43983</v>
      </c>
      <c r="AD337" s="99">
        <v>44001</v>
      </c>
      <c r="AE337" s="19">
        <v>43985</v>
      </c>
      <c r="AF337" s="19">
        <v>43985</v>
      </c>
      <c r="AG337" s="19" t="s">
        <v>176</v>
      </c>
      <c r="AH337" s="31">
        <v>1</v>
      </c>
      <c r="AI337" s="31">
        <v>1</v>
      </c>
      <c r="AJ337" s="31">
        <v>1</v>
      </c>
      <c r="AK337" s="19" t="s">
        <v>150</v>
      </c>
      <c r="AL337" s="17" t="s">
        <v>61</v>
      </c>
      <c r="AM337" s="17" t="s">
        <v>61</v>
      </c>
      <c r="AN337" s="177" t="s">
        <v>530</v>
      </c>
    </row>
    <row r="338" spans="2:40" x14ac:dyDescent="0.25">
      <c r="B338" s="175">
        <f t="shared" si="65"/>
        <v>279</v>
      </c>
      <c r="C338" s="16">
        <v>20200601</v>
      </c>
      <c r="D338" s="15" t="s">
        <v>3</v>
      </c>
      <c r="E338" s="80" t="s">
        <v>479</v>
      </c>
      <c r="F338" s="169" t="s">
        <v>1068</v>
      </c>
      <c r="G338" s="80">
        <v>1484917</v>
      </c>
      <c r="H338" s="52" t="s">
        <v>61</v>
      </c>
      <c r="I338" s="80" t="s">
        <v>959</v>
      </c>
      <c r="J338" s="52" t="s">
        <v>61</v>
      </c>
      <c r="K338" s="15" t="s">
        <v>184</v>
      </c>
      <c r="L338" s="15" t="s">
        <v>526</v>
      </c>
      <c r="M338" s="15" t="s">
        <v>527</v>
      </c>
      <c r="N338" s="15" t="s">
        <v>528</v>
      </c>
      <c r="O338" s="17" t="s">
        <v>61</v>
      </c>
      <c r="P338" s="17" t="s">
        <v>529</v>
      </c>
      <c r="Q338" s="18"/>
      <c r="R338" s="52" t="s">
        <v>61</v>
      </c>
      <c r="S338" s="15" t="s">
        <v>69</v>
      </c>
      <c r="T338" s="15"/>
      <c r="U338" s="15"/>
      <c r="V338" s="80">
        <v>22</v>
      </c>
      <c r="W338" s="15">
        <f t="shared" si="68"/>
        <v>22</v>
      </c>
      <c r="X338" s="15">
        <f t="shared" si="67"/>
        <v>22</v>
      </c>
      <c r="Y338" s="15">
        <f>ROUNDDOWN(W338/HLOOKUP(D338,Table!$C$3:$D$4,2,0)*8,2)</f>
        <v>0.39</v>
      </c>
      <c r="Z338" s="15">
        <v>0.3</v>
      </c>
      <c r="AA338" s="15" t="s">
        <v>21</v>
      </c>
      <c r="AB338" s="19">
        <v>44001</v>
      </c>
      <c r="AC338" s="19">
        <v>43983</v>
      </c>
      <c r="AD338" s="99">
        <v>44001</v>
      </c>
      <c r="AE338" s="19">
        <v>43985</v>
      </c>
      <c r="AF338" s="19">
        <v>43985</v>
      </c>
      <c r="AG338" s="19" t="s">
        <v>176</v>
      </c>
      <c r="AH338" s="31">
        <v>1</v>
      </c>
      <c r="AI338" s="31">
        <v>1</v>
      </c>
      <c r="AJ338" s="31">
        <v>1</v>
      </c>
      <c r="AK338" s="19" t="s">
        <v>150</v>
      </c>
      <c r="AL338" s="17" t="s">
        <v>61</v>
      </c>
      <c r="AM338" s="17" t="s">
        <v>61</v>
      </c>
      <c r="AN338" s="177" t="s">
        <v>530</v>
      </c>
    </row>
    <row r="339" spans="2:40" x14ac:dyDescent="0.25">
      <c r="B339" s="175">
        <f t="shared" si="65"/>
        <v>280</v>
      </c>
      <c r="C339" s="16">
        <v>20200601</v>
      </c>
      <c r="D339" s="15" t="s">
        <v>3</v>
      </c>
      <c r="E339" s="80" t="s">
        <v>479</v>
      </c>
      <c r="F339" s="169" t="s">
        <v>1069</v>
      </c>
      <c r="G339" s="80">
        <v>1484917</v>
      </c>
      <c r="H339" s="52" t="s">
        <v>61</v>
      </c>
      <c r="I339" s="80" t="s">
        <v>960</v>
      </c>
      <c r="J339" s="52" t="s">
        <v>61</v>
      </c>
      <c r="K339" s="15" t="s">
        <v>184</v>
      </c>
      <c r="L339" s="15" t="s">
        <v>526</v>
      </c>
      <c r="M339" s="15" t="s">
        <v>527</v>
      </c>
      <c r="N339" s="15" t="s">
        <v>528</v>
      </c>
      <c r="O339" s="17" t="s">
        <v>61</v>
      </c>
      <c r="P339" s="17" t="s">
        <v>529</v>
      </c>
      <c r="Q339" s="18"/>
      <c r="R339" s="52" t="s">
        <v>61</v>
      </c>
      <c r="S339" s="15" t="s">
        <v>68</v>
      </c>
      <c r="T339" s="15"/>
      <c r="U339" s="15"/>
      <c r="V339" s="80">
        <v>1083</v>
      </c>
      <c r="W339" s="15">
        <f t="shared" si="68"/>
        <v>1083</v>
      </c>
      <c r="X339" s="15">
        <f>W339</f>
        <v>1083</v>
      </c>
      <c r="Y339" s="15">
        <f>ROUNDDOWN(W339/HLOOKUP(D339,Table!$C$3:$D$4,2,0)*8,2)</f>
        <v>19.25</v>
      </c>
      <c r="Z339" s="15">
        <v>19</v>
      </c>
      <c r="AA339" s="15" t="s">
        <v>21</v>
      </c>
      <c r="AB339" s="19">
        <v>44001</v>
      </c>
      <c r="AC339" s="19">
        <v>43983</v>
      </c>
      <c r="AD339" s="99">
        <v>44001</v>
      </c>
      <c r="AE339" s="19">
        <v>43986</v>
      </c>
      <c r="AF339" s="19">
        <v>43986</v>
      </c>
      <c r="AG339" s="19" t="s">
        <v>176</v>
      </c>
      <c r="AH339" s="31">
        <v>1</v>
      </c>
      <c r="AI339" s="31">
        <v>1</v>
      </c>
      <c r="AJ339" s="31">
        <v>1</v>
      </c>
      <c r="AK339" s="19" t="s">
        <v>150</v>
      </c>
      <c r="AL339" s="17" t="s">
        <v>61</v>
      </c>
      <c r="AM339" s="17" t="s">
        <v>61</v>
      </c>
      <c r="AN339" s="177" t="s">
        <v>1240</v>
      </c>
    </row>
    <row r="340" spans="2:40" x14ac:dyDescent="0.25">
      <c r="B340" s="175">
        <f t="shared" si="65"/>
        <v>281</v>
      </c>
      <c r="C340" s="16">
        <v>20200601</v>
      </c>
      <c r="D340" s="15" t="s">
        <v>3</v>
      </c>
      <c r="E340" s="80" t="s">
        <v>479</v>
      </c>
      <c r="F340" s="169" t="s">
        <v>1070</v>
      </c>
      <c r="G340" s="80">
        <v>1484917</v>
      </c>
      <c r="H340" s="52" t="s">
        <v>61</v>
      </c>
      <c r="I340" s="80" t="s">
        <v>961</v>
      </c>
      <c r="J340" s="52" t="s">
        <v>61</v>
      </c>
      <c r="K340" s="15" t="s">
        <v>184</v>
      </c>
      <c r="L340" s="15" t="s">
        <v>526</v>
      </c>
      <c r="M340" s="15" t="s">
        <v>527</v>
      </c>
      <c r="N340" s="15" t="s">
        <v>528</v>
      </c>
      <c r="O340" s="17" t="s">
        <v>61</v>
      </c>
      <c r="P340" s="17" t="s">
        <v>529</v>
      </c>
      <c r="Q340" s="18"/>
      <c r="R340" s="52" t="s">
        <v>61</v>
      </c>
      <c r="S340" s="15" t="s">
        <v>68</v>
      </c>
      <c r="T340" s="15"/>
      <c r="U340" s="15"/>
      <c r="V340" s="80">
        <v>9</v>
      </c>
      <c r="W340" s="15">
        <f t="shared" si="68"/>
        <v>9</v>
      </c>
      <c r="X340" s="15">
        <f>W340</f>
        <v>9</v>
      </c>
      <c r="Y340" s="15">
        <f>ROUNDDOWN(W340/HLOOKUP(D340,Table!$C$3:$D$4,2,0)*8,2)</f>
        <v>0.16</v>
      </c>
      <c r="Z340" s="15">
        <v>0.1</v>
      </c>
      <c r="AA340" s="15" t="s">
        <v>21</v>
      </c>
      <c r="AB340" s="19">
        <v>44001</v>
      </c>
      <c r="AC340" s="19">
        <v>43983</v>
      </c>
      <c r="AD340" s="99">
        <v>44001</v>
      </c>
      <c r="AE340" s="19">
        <v>43986</v>
      </c>
      <c r="AF340" s="19">
        <v>43986</v>
      </c>
      <c r="AG340" s="19" t="s">
        <v>176</v>
      </c>
      <c r="AH340" s="31">
        <v>1</v>
      </c>
      <c r="AI340" s="31">
        <v>1</v>
      </c>
      <c r="AJ340" s="31">
        <v>1</v>
      </c>
      <c r="AK340" s="19" t="s">
        <v>150</v>
      </c>
      <c r="AL340" s="17" t="s">
        <v>61</v>
      </c>
      <c r="AM340" s="17" t="s">
        <v>61</v>
      </c>
      <c r="AN340" s="177" t="s">
        <v>530</v>
      </c>
    </row>
    <row r="341" spans="2:40" x14ac:dyDescent="0.25">
      <c r="B341" s="175">
        <f t="shared" si="65"/>
        <v>282</v>
      </c>
      <c r="C341" s="16">
        <v>20200601</v>
      </c>
      <c r="D341" s="15" t="s">
        <v>3</v>
      </c>
      <c r="E341" s="80" t="s">
        <v>479</v>
      </c>
      <c r="F341" s="169" t="s">
        <v>1071</v>
      </c>
      <c r="G341" s="80">
        <v>1484917</v>
      </c>
      <c r="H341" s="52" t="s">
        <v>61</v>
      </c>
      <c r="I341" s="80" t="s">
        <v>962</v>
      </c>
      <c r="J341" s="52" t="s">
        <v>61</v>
      </c>
      <c r="K341" s="15" t="s">
        <v>184</v>
      </c>
      <c r="L341" s="15" t="s">
        <v>526</v>
      </c>
      <c r="M341" s="15" t="s">
        <v>527</v>
      </c>
      <c r="N341" s="15" t="s">
        <v>528</v>
      </c>
      <c r="O341" s="17" t="s">
        <v>61</v>
      </c>
      <c r="P341" s="17" t="s">
        <v>529</v>
      </c>
      <c r="Q341" s="18"/>
      <c r="R341" s="52" t="s">
        <v>61</v>
      </c>
      <c r="S341" s="15" t="s">
        <v>68</v>
      </c>
      <c r="T341" s="15"/>
      <c r="U341" s="15"/>
      <c r="V341" s="80">
        <v>20</v>
      </c>
      <c r="W341" s="15">
        <f t="shared" si="68"/>
        <v>20</v>
      </c>
      <c r="X341" s="15">
        <f>W341</f>
        <v>20</v>
      </c>
      <c r="Y341" s="15">
        <f>ROUNDDOWN(W341/HLOOKUP(D341,Table!$C$3:$D$4,2,0)*8,2)</f>
        <v>0.35</v>
      </c>
      <c r="Z341" s="15">
        <v>0.3</v>
      </c>
      <c r="AA341" s="15" t="s">
        <v>21</v>
      </c>
      <c r="AB341" s="19">
        <v>44001</v>
      </c>
      <c r="AC341" s="19">
        <v>43983</v>
      </c>
      <c r="AD341" s="99">
        <v>44001</v>
      </c>
      <c r="AE341" s="19">
        <v>43986</v>
      </c>
      <c r="AF341" s="19">
        <v>43986</v>
      </c>
      <c r="AG341" s="19" t="s">
        <v>176</v>
      </c>
      <c r="AH341" s="31">
        <v>1</v>
      </c>
      <c r="AI341" s="31">
        <v>1</v>
      </c>
      <c r="AJ341" s="31">
        <v>1</v>
      </c>
      <c r="AK341" s="19" t="s">
        <v>150</v>
      </c>
      <c r="AL341" s="17" t="s">
        <v>61</v>
      </c>
      <c r="AM341" s="17" t="s">
        <v>61</v>
      </c>
      <c r="AN341" s="177" t="s">
        <v>530</v>
      </c>
    </row>
    <row r="342" spans="2:40" x14ac:dyDescent="0.25">
      <c r="B342" s="175">
        <f t="shared" si="65"/>
        <v>283</v>
      </c>
      <c r="C342" s="16">
        <v>20200601</v>
      </c>
      <c r="D342" s="15" t="s">
        <v>3</v>
      </c>
      <c r="E342" s="80" t="s">
        <v>479</v>
      </c>
      <c r="F342" s="169" t="s">
        <v>1072</v>
      </c>
      <c r="G342" s="80">
        <v>1484917</v>
      </c>
      <c r="H342" s="52" t="s">
        <v>61</v>
      </c>
      <c r="I342" s="80" t="s">
        <v>963</v>
      </c>
      <c r="J342" s="52" t="s">
        <v>61</v>
      </c>
      <c r="K342" s="15" t="s">
        <v>184</v>
      </c>
      <c r="L342" s="15" t="s">
        <v>526</v>
      </c>
      <c r="M342" s="15" t="s">
        <v>527</v>
      </c>
      <c r="N342" s="15" t="s">
        <v>528</v>
      </c>
      <c r="O342" s="17" t="s">
        <v>61</v>
      </c>
      <c r="P342" s="17" t="s">
        <v>529</v>
      </c>
      <c r="Q342" s="18"/>
      <c r="R342" s="52" t="s">
        <v>61</v>
      </c>
      <c r="S342" s="15" t="s">
        <v>68</v>
      </c>
      <c r="T342" s="15"/>
      <c r="U342" s="15"/>
      <c r="V342" s="80">
        <v>80</v>
      </c>
      <c r="W342" s="15">
        <f>V342</f>
        <v>80</v>
      </c>
      <c r="X342" s="15">
        <f>W342</f>
        <v>80</v>
      </c>
      <c r="Y342" s="15">
        <f>ROUNDDOWN(W342/HLOOKUP(D342,Table!$C$3:$D$4,2,0)*8,2)</f>
        <v>1.42</v>
      </c>
      <c r="Z342" s="15">
        <v>1.4</v>
      </c>
      <c r="AA342" s="15" t="s">
        <v>21</v>
      </c>
      <c r="AB342" s="19">
        <v>44001</v>
      </c>
      <c r="AC342" s="19">
        <v>43983</v>
      </c>
      <c r="AD342" s="99">
        <v>44001</v>
      </c>
      <c r="AE342" s="19">
        <v>43986</v>
      </c>
      <c r="AF342" s="19">
        <v>43986</v>
      </c>
      <c r="AG342" s="19" t="s">
        <v>176</v>
      </c>
      <c r="AH342" s="31">
        <v>1</v>
      </c>
      <c r="AI342" s="31">
        <v>1</v>
      </c>
      <c r="AJ342" s="31">
        <v>1</v>
      </c>
      <c r="AK342" s="19" t="s">
        <v>150</v>
      </c>
      <c r="AL342" s="17" t="s">
        <v>61</v>
      </c>
      <c r="AM342" s="17" t="s">
        <v>61</v>
      </c>
      <c r="AN342" s="177"/>
    </row>
    <row r="343" spans="2:40" x14ac:dyDescent="0.25">
      <c r="B343" s="175">
        <f t="shared" si="65"/>
        <v>284</v>
      </c>
      <c r="C343" s="16">
        <v>20200601</v>
      </c>
      <c r="D343" s="15" t="s">
        <v>3</v>
      </c>
      <c r="E343" s="80" t="s">
        <v>479</v>
      </c>
      <c r="F343" s="169" t="s">
        <v>1073</v>
      </c>
      <c r="G343" s="80">
        <v>1484917</v>
      </c>
      <c r="H343" s="52" t="s">
        <v>61</v>
      </c>
      <c r="I343" s="80" t="s">
        <v>964</v>
      </c>
      <c r="J343" s="52" t="s">
        <v>61</v>
      </c>
      <c r="K343" s="15" t="s">
        <v>184</v>
      </c>
      <c r="L343" s="15" t="s">
        <v>526</v>
      </c>
      <c r="M343" s="15" t="s">
        <v>527</v>
      </c>
      <c r="N343" s="15" t="s">
        <v>528</v>
      </c>
      <c r="O343" s="17" t="s">
        <v>61</v>
      </c>
      <c r="P343" s="17" t="s">
        <v>529</v>
      </c>
      <c r="Q343" s="18"/>
      <c r="R343" s="52" t="s">
        <v>61</v>
      </c>
      <c r="S343" s="15" t="s">
        <v>69</v>
      </c>
      <c r="T343" s="15"/>
      <c r="U343" s="15"/>
      <c r="V343" s="80">
        <v>11</v>
      </c>
      <c r="W343" s="15">
        <f t="shared" si="68"/>
        <v>11</v>
      </c>
      <c r="X343" s="15">
        <f t="shared" ref="X343:X350" si="69">W343</f>
        <v>11</v>
      </c>
      <c r="Y343" s="15">
        <f>ROUNDDOWN(W343/HLOOKUP(D343,Table!$C$3:$D$4,2,0)*8,2)</f>
        <v>0.19</v>
      </c>
      <c r="Z343" s="15">
        <v>0.1</v>
      </c>
      <c r="AA343" s="15" t="s">
        <v>21</v>
      </c>
      <c r="AB343" s="19">
        <v>44001</v>
      </c>
      <c r="AC343" s="19">
        <v>43983</v>
      </c>
      <c r="AD343" s="99">
        <v>44001</v>
      </c>
      <c r="AE343" s="19">
        <v>43985</v>
      </c>
      <c r="AF343" s="19">
        <v>43985</v>
      </c>
      <c r="AG343" s="19" t="s">
        <v>176</v>
      </c>
      <c r="AH343" s="31">
        <v>1</v>
      </c>
      <c r="AI343" s="31">
        <v>1</v>
      </c>
      <c r="AJ343" s="31">
        <v>1</v>
      </c>
      <c r="AK343" s="19" t="s">
        <v>150</v>
      </c>
      <c r="AL343" s="17" t="s">
        <v>61</v>
      </c>
      <c r="AM343" s="17" t="s">
        <v>61</v>
      </c>
      <c r="AN343" s="177" t="s">
        <v>530</v>
      </c>
    </row>
    <row r="344" spans="2:40" x14ac:dyDescent="0.25">
      <c r="B344" s="175">
        <f t="shared" si="65"/>
        <v>285</v>
      </c>
      <c r="C344" s="16">
        <v>20200601</v>
      </c>
      <c r="D344" s="15" t="s">
        <v>3</v>
      </c>
      <c r="E344" s="80" t="s">
        <v>479</v>
      </c>
      <c r="F344" s="169" t="s">
        <v>1074</v>
      </c>
      <c r="G344" s="80">
        <v>1484917</v>
      </c>
      <c r="H344" s="52" t="s">
        <v>61</v>
      </c>
      <c r="I344" s="80" t="s">
        <v>965</v>
      </c>
      <c r="J344" s="52" t="s">
        <v>61</v>
      </c>
      <c r="K344" s="15" t="s">
        <v>184</v>
      </c>
      <c r="L344" s="15" t="s">
        <v>526</v>
      </c>
      <c r="M344" s="15" t="s">
        <v>527</v>
      </c>
      <c r="N344" s="15" t="s">
        <v>528</v>
      </c>
      <c r="O344" s="17" t="s">
        <v>61</v>
      </c>
      <c r="P344" s="17" t="s">
        <v>529</v>
      </c>
      <c r="Q344" s="18"/>
      <c r="R344" s="52" t="s">
        <v>61</v>
      </c>
      <c r="S344" s="15" t="s">
        <v>69</v>
      </c>
      <c r="T344" s="15"/>
      <c r="U344" s="15"/>
      <c r="V344" s="80">
        <v>24</v>
      </c>
      <c r="W344" s="15">
        <f t="shared" si="68"/>
        <v>24</v>
      </c>
      <c r="X344" s="15">
        <f t="shared" si="69"/>
        <v>24</v>
      </c>
      <c r="Y344" s="15">
        <f>ROUNDDOWN(W344/HLOOKUP(D344,Table!$C$3:$D$4,2,0)*8,2)</f>
        <v>0.42</v>
      </c>
      <c r="Z344" s="15">
        <v>0.4</v>
      </c>
      <c r="AA344" s="15" t="s">
        <v>21</v>
      </c>
      <c r="AB344" s="19">
        <v>44001</v>
      </c>
      <c r="AC344" s="19">
        <v>43983</v>
      </c>
      <c r="AD344" s="99">
        <v>44001</v>
      </c>
      <c r="AE344" s="19">
        <v>43985</v>
      </c>
      <c r="AF344" s="19">
        <v>43985</v>
      </c>
      <c r="AG344" s="19" t="s">
        <v>176</v>
      </c>
      <c r="AH344" s="31">
        <v>1</v>
      </c>
      <c r="AI344" s="31">
        <v>1</v>
      </c>
      <c r="AJ344" s="31">
        <v>1</v>
      </c>
      <c r="AK344" s="19" t="s">
        <v>150</v>
      </c>
      <c r="AL344" s="17" t="s">
        <v>61</v>
      </c>
      <c r="AM344" s="17" t="s">
        <v>61</v>
      </c>
      <c r="AN344" s="177" t="s">
        <v>530</v>
      </c>
    </row>
    <row r="345" spans="2:40" x14ac:dyDescent="0.25">
      <c r="B345" s="175">
        <f t="shared" si="65"/>
        <v>286</v>
      </c>
      <c r="C345" s="16">
        <v>20200601</v>
      </c>
      <c r="D345" s="15" t="s">
        <v>3</v>
      </c>
      <c r="E345" s="80" t="s">
        <v>479</v>
      </c>
      <c r="F345" s="169" t="s">
        <v>1075</v>
      </c>
      <c r="G345" s="80">
        <v>1484917</v>
      </c>
      <c r="H345" s="52" t="s">
        <v>61</v>
      </c>
      <c r="I345" s="80" t="s">
        <v>966</v>
      </c>
      <c r="J345" s="52" t="s">
        <v>61</v>
      </c>
      <c r="K345" s="15" t="s">
        <v>184</v>
      </c>
      <c r="L345" s="15" t="s">
        <v>526</v>
      </c>
      <c r="M345" s="15" t="s">
        <v>527</v>
      </c>
      <c r="N345" s="15" t="s">
        <v>528</v>
      </c>
      <c r="O345" s="17" t="s">
        <v>61</v>
      </c>
      <c r="P345" s="17" t="s">
        <v>529</v>
      </c>
      <c r="Q345" s="18"/>
      <c r="R345" s="52" t="s">
        <v>61</v>
      </c>
      <c r="S345" s="15" t="s">
        <v>69</v>
      </c>
      <c r="T345" s="15"/>
      <c r="U345" s="15"/>
      <c r="V345" s="80">
        <v>432</v>
      </c>
      <c r="W345" s="15">
        <f t="shared" si="68"/>
        <v>432</v>
      </c>
      <c r="X345" s="15">
        <f t="shared" si="69"/>
        <v>432</v>
      </c>
      <c r="Y345" s="15">
        <f>ROUNDDOWN(W345/HLOOKUP(D345,Table!$C$3:$D$4,2,0)*8,2)</f>
        <v>7.68</v>
      </c>
      <c r="Z345" s="15">
        <v>7</v>
      </c>
      <c r="AA345" s="15" t="s">
        <v>21</v>
      </c>
      <c r="AB345" s="19">
        <v>44001</v>
      </c>
      <c r="AC345" s="19">
        <v>43983</v>
      </c>
      <c r="AD345" s="99">
        <v>44001</v>
      </c>
      <c r="AE345" s="19">
        <v>43985</v>
      </c>
      <c r="AF345" s="19">
        <v>43985</v>
      </c>
      <c r="AG345" s="19" t="s">
        <v>176</v>
      </c>
      <c r="AH345" s="31">
        <v>1</v>
      </c>
      <c r="AI345" s="31">
        <v>1</v>
      </c>
      <c r="AJ345" s="31">
        <v>1</v>
      </c>
      <c r="AK345" s="19" t="s">
        <v>150</v>
      </c>
      <c r="AL345" s="17" t="s">
        <v>61</v>
      </c>
      <c r="AM345" s="17" t="s">
        <v>61</v>
      </c>
      <c r="AN345" s="177" t="s">
        <v>530</v>
      </c>
    </row>
    <row r="346" spans="2:40" x14ac:dyDescent="0.25">
      <c r="B346" s="175">
        <f t="shared" si="65"/>
        <v>287</v>
      </c>
      <c r="C346" s="16">
        <v>20200601</v>
      </c>
      <c r="D346" s="15" t="s">
        <v>3</v>
      </c>
      <c r="E346" s="80" t="s">
        <v>479</v>
      </c>
      <c r="F346" s="169" t="s">
        <v>1076</v>
      </c>
      <c r="G346" s="80">
        <v>1484917</v>
      </c>
      <c r="H346" s="52" t="s">
        <v>61</v>
      </c>
      <c r="I346" s="80" t="s">
        <v>967</v>
      </c>
      <c r="J346" s="52" t="s">
        <v>61</v>
      </c>
      <c r="K346" s="15" t="s">
        <v>184</v>
      </c>
      <c r="L346" s="15" t="s">
        <v>526</v>
      </c>
      <c r="M346" s="15" t="s">
        <v>527</v>
      </c>
      <c r="N346" s="15" t="s">
        <v>528</v>
      </c>
      <c r="O346" s="17" t="s">
        <v>61</v>
      </c>
      <c r="P346" s="17" t="s">
        <v>529</v>
      </c>
      <c r="Q346" s="18"/>
      <c r="R346" s="52" t="s">
        <v>61</v>
      </c>
      <c r="S346" s="15" t="s">
        <v>69</v>
      </c>
      <c r="T346" s="15"/>
      <c r="U346" s="15"/>
      <c r="V346" s="80">
        <v>227</v>
      </c>
      <c r="W346" s="15">
        <f t="shared" si="68"/>
        <v>227</v>
      </c>
      <c r="X346" s="15">
        <f t="shared" si="69"/>
        <v>227</v>
      </c>
      <c r="Y346" s="15">
        <f>ROUNDDOWN(W346/HLOOKUP(D346,Table!$C$3:$D$4,2,0)*8,2)</f>
        <v>4.03</v>
      </c>
      <c r="Z346" s="15">
        <v>1</v>
      </c>
      <c r="AA346" s="15" t="s">
        <v>21</v>
      </c>
      <c r="AB346" s="19">
        <v>44001</v>
      </c>
      <c r="AC346" s="19">
        <v>43983</v>
      </c>
      <c r="AD346" s="99">
        <v>44001</v>
      </c>
      <c r="AE346" s="19">
        <v>43986</v>
      </c>
      <c r="AF346" s="19">
        <v>43986</v>
      </c>
      <c r="AG346" s="19" t="s">
        <v>176</v>
      </c>
      <c r="AH346" s="31" t="s">
        <v>61</v>
      </c>
      <c r="AI346" s="31" t="s">
        <v>61</v>
      </c>
      <c r="AJ346" s="31" t="s">
        <v>61</v>
      </c>
      <c r="AK346" s="19" t="s">
        <v>150</v>
      </c>
      <c r="AL346" s="17" t="s">
        <v>656</v>
      </c>
      <c r="AM346" s="17" t="s">
        <v>61</v>
      </c>
      <c r="AN346" s="177" t="s">
        <v>530</v>
      </c>
    </row>
    <row r="347" spans="2:40" x14ac:dyDescent="0.25">
      <c r="B347" s="175">
        <f t="shared" si="65"/>
        <v>288</v>
      </c>
      <c r="C347" s="16">
        <v>20200601</v>
      </c>
      <c r="D347" s="15" t="s">
        <v>3</v>
      </c>
      <c r="E347" s="80" t="s">
        <v>479</v>
      </c>
      <c r="F347" s="169" t="s">
        <v>1077</v>
      </c>
      <c r="G347" s="80">
        <v>1484917</v>
      </c>
      <c r="H347" s="52" t="s">
        <v>61</v>
      </c>
      <c r="I347" s="80" t="s">
        <v>968</v>
      </c>
      <c r="J347" s="52" t="s">
        <v>61</v>
      </c>
      <c r="K347" s="15" t="s">
        <v>184</v>
      </c>
      <c r="L347" s="15" t="s">
        <v>526</v>
      </c>
      <c r="M347" s="15" t="s">
        <v>527</v>
      </c>
      <c r="N347" s="15" t="s">
        <v>528</v>
      </c>
      <c r="O347" s="17" t="s">
        <v>61</v>
      </c>
      <c r="P347" s="17" t="s">
        <v>529</v>
      </c>
      <c r="Q347" s="18"/>
      <c r="R347" s="52" t="s">
        <v>61</v>
      </c>
      <c r="S347" s="15" t="s">
        <v>69</v>
      </c>
      <c r="T347" s="15"/>
      <c r="U347" s="15"/>
      <c r="V347" s="80">
        <v>47</v>
      </c>
      <c r="W347" s="15">
        <f t="shared" si="68"/>
        <v>47</v>
      </c>
      <c r="X347" s="15">
        <f t="shared" si="69"/>
        <v>47</v>
      </c>
      <c r="Y347" s="15">
        <f>ROUNDDOWN(W347/HLOOKUP(D347,Table!$C$3:$D$4,2,0)*8,2)</f>
        <v>0.83</v>
      </c>
      <c r="Z347" s="15">
        <v>0.8</v>
      </c>
      <c r="AA347" s="15" t="s">
        <v>21</v>
      </c>
      <c r="AB347" s="19">
        <v>44001</v>
      </c>
      <c r="AC347" s="19">
        <v>43983</v>
      </c>
      <c r="AD347" s="99">
        <v>44001</v>
      </c>
      <c r="AE347" s="19">
        <v>43986</v>
      </c>
      <c r="AF347" s="19">
        <v>43986</v>
      </c>
      <c r="AG347" s="19" t="s">
        <v>176</v>
      </c>
      <c r="AH347" s="31">
        <v>1</v>
      </c>
      <c r="AI347" s="31">
        <v>1</v>
      </c>
      <c r="AJ347" s="31">
        <v>1</v>
      </c>
      <c r="AK347" s="19" t="s">
        <v>150</v>
      </c>
      <c r="AL347" s="17" t="s">
        <v>61</v>
      </c>
      <c r="AM347" s="17" t="s">
        <v>61</v>
      </c>
      <c r="AN347" s="177" t="s">
        <v>530</v>
      </c>
    </row>
    <row r="348" spans="2:40" x14ac:dyDescent="0.25">
      <c r="B348" s="175">
        <f t="shared" si="65"/>
        <v>289</v>
      </c>
      <c r="C348" s="16">
        <v>20200601</v>
      </c>
      <c r="D348" s="15" t="s">
        <v>3</v>
      </c>
      <c r="E348" s="80" t="s">
        <v>479</v>
      </c>
      <c r="F348" s="169" t="s">
        <v>1078</v>
      </c>
      <c r="G348" s="80">
        <v>1484917</v>
      </c>
      <c r="H348" s="52" t="s">
        <v>61</v>
      </c>
      <c r="I348" s="80" t="s">
        <v>969</v>
      </c>
      <c r="J348" s="52" t="s">
        <v>61</v>
      </c>
      <c r="K348" s="15" t="s">
        <v>184</v>
      </c>
      <c r="L348" s="15" t="s">
        <v>526</v>
      </c>
      <c r="M348" s="15" t="s">
        <v>527</v>
      </c>
      <c r="N348" s="15" t="s">
        <v>528</v>
      </c>
      <c r="O348" s="17" t="s">
        <v>61</v>
      </c>
      <c r="P348" s="17" t="s">
        <v>529</v>
      </c>
      <c r="Q348" s="18"/>
      <c r="R348" s="52" t="s">
        <v>61</v>
      </c>
      <c r="S348" s="15" t="s">
        <v>69</v>
      </c>
      <c r="T348" s="15"/>
      <c r="U348" s="15"/>
      <c r="V348" s="80">
        <v>13</v>
      </c>
      <c r="W348" s="15">
        <f t="shared" si="68"/>
        <v>13</v>
      </c>
      <c r="X348" s="15">
        <f t="shared" si="69"/>
        <v>13</v>
      </c>
      <c r="Y348" s="15">
        <f>ROUNDDOWN(W348/HLOOKUP(D348,Table!$C$3:$D$4,2,0)*8,2)</f>
        <v>0.23</v>
      </c>
      <c r="Z348" s="15">
        <v>0.2</v>
      </c>
      <c r="AA348" s="15" t="s">
        <v>21</v>
      </c>
      <c r="AB348" s="19">
        <v>44001</v>
      </c>
      <c r="AC348" s="19">
        <v>43983</v>
      </c>
      <c r="AD348" s="99">
        <v>44001</v>
      </c>
      <c r="AE348" s="19">
        <v>43986</v>
      </c>
      <c r="AF348" s="19">
        <v>43986</v>
      </c>
      <c r="AG348" s="19" t="s">
        <v>176</v>
      </c>
      <c r="AH348" s="31">
        <v>1</v>
      </c>
      <c r="AI348" s="31">
        <v>1</v>
      </c>
      <c r="AJ348" s="31">
        <v>1</v>
      </c>
      <c r="AK348" s="19" t="s">
        <v>150</v>
      </c>
      <c r="AL348" s="17" t="s">
        <v>61</v>
      </c>
      <c r="AM348" s="17" t="s">
        <v>61</v>
      </c>
      <c r="AN348" s="177" t="s">
        <v>530</v>
      </c>
    </row>
    <row r="349" spans="2:40" x14ac:dyDescent="0.25">
      <c r="B349" s="175">
        <f t="shared" si="65"/>
        <v>290</v>
      </c>
      <c r="C349" s="16">
        <v>20200601</v>
      </c>
      <c r="D349" s="15" t="s">
        <v>3</v>
      </c>
      <c r="E349" s="80" t="s">
        <v>479</v>
      </c>
      <c r="F349" s="169" t="s">
        <v>1079</v>
      </c>
      <c r="G349" s="80">
        <v>1484917</v>
      </c>
      <c r="H349" s="52" t="s">
        <v>61</v>
      </c>
      <c r="I349" s="80" t="s">
        <v>970</v>
      </c>
      <c r="J349" s="52" t="s">
        <v>61</v>
      </c>
      <c r="K349" s="15" t="s">
        <v>184</v>
      </c>
      <c r="L349" s="15" t="s">
        <v>526</v>
      </c>
      <c r="M349" s="15" t="s">
        <v>527</v>
      </c>
      <c r="N349" s="15" t="s">
        <v>528</v>
      </c>
      <c r="O349" s="17" t="s">
        <v>61</v>
      </c>
      <c r="P349" s="17" t="s">
        <v>529</v>
      </c>
      <c r="Q349" s="18"/>
      <c r="R349" s="52" t="s">
        <v>61</v>
      </c>
      <c r="S349" s="15" t="s">
        <v>69</v>
      </c>
      <c r="T349" s="15"/>
      <c r="U349" s="15"/>
      <c r="V349" s="80">
        <v>6</v>
      </c>
      <c r="W349" s="15">
        <f t="shared" si="68"/>
        <v>6</v>
      </c>
      <c r="X349" s="15">
        <f t="shared" si="69"/>
        <v>6</v>
      </c>
      <c r="Y349" s="15">
        <f>ROUNDDOWN(W349/HLOOKUP(D349,Table!$C$3:$D$4,2,0)*8,2)</f>
        <v>0.1</v>
      </c>
      <c r="Z349" s="15">
        <v>0.1</v>
      </c>
      <c r="AA349" s="15" t="s">
        <v>21</v>
      </c>
      <c r="AB349" s="19">
        <v>44001</v>
      </c>
      <c r="AC349" s="19">
        <v>43983</v>
      </c>
      <c r="AD349" s="99">
        <v>44001</v>
      </c>
      <c r="AE349" s="19">
        <v>43986</v>
      </c>
      <c r="AF349" s="19">
        <v>43986</v>
      </c>
      <c r="AG349" s="19" t="s">
        <v>176</v>
      </c>
      <c r="AH349" s="31">
        <v>1</v>
      </c>
      <c r="AI349" s="31">
        <v>1</v>
      </c>
      <c r="AJ349" s="31">
        <v>1</v>
      </c>
      <c r="AK349" s="19" t="s">
        <v>150</v>
      </c>
      <c r="AL349" s="17" t="s">
        <v>61</v>
      </c>
      <c r="AM349" s="17" t="s">
        <v>61</v>
      </c>
      <c r="AN349" s="177" t="s">
        <v>530</v>
      </c>
    </row>
    <row r="350" spans="2:40" x14ac:dyDescent="0.25">
      <c r="B350" s="175">
        <f t="shared" si="65"/>
        <v>291</v>
      </c>
      <c r="C350" s="16">
        <v>20200601</v>
      </c>
      <c r="D350" s="15" t="s">
        <v>3</v>
      </c>
      <c r="E350" s="80" t="s">
        <v>479</v>
      </c>
      <c r="F350" s="169" t="s">
        <v>1080</v>
      </c>
      <c r="G350" s="80">
        <v>1484917</v>
      </c>
      <c r="H350" s="52" t="s">
        <v>61</v>
      </c>
      <c r="I350" s="80" t="s">
        <v>971</v>
      </c>
      <c r="J350" s="52" t="s">
        <v>61</v>
      </c>
      <c r="K350" s="15" t="s">
        <v>184</v>
      </c>
      <c r="L350" s="15" t="s">
        <v>526</v>
      </c>
      <c r="M350" s="15" t="s">
        <v>527</v>
      </c>
      <c r="N350" s="15" t="s">
        <v>528</v>
      </c>
      <c r="O350" s="17" t="s">
        <v>61</v>
      </c>
      <c r="P350" s="17" t="s">
        <v>529</v>
      </c>
      <c r="Q350" s="18"/>
      <c r="R350" s="52" t="s">
        <v>61</v>
      </c>
      <c r="S350" s="15" t="s">
        <v>69</v>
      </c>
      <c r="T350" s="15"/>
      <c r="U350" s="15"/>
      <c r="V350" s="80">
        <v>105</v>
      </c>
      <c r="W350" s="15">
        <f t="shared" si="68"/>
        <v>105</v>
      </c>
      <c r="X350" s="15">
        <f t="shared" si="69"/>
        <v>105</v>
      </c>
      <c r="Y350" s="15">
        <f>ROUNDDOWN(W350/HLOOKUP(D350,Table!$C$3:$D$4,2,0)*8,2)</f>
        <v>1.86</v>
      </c>
      <c r="Z350" s="15">
        <v>1</v>
      </c>
      <c r="AA350" s="15" t="s">
        <v>21</v>
      </c>
      <c r="AB350" s="19">
        <v>44001</v>
      </c>
      <c r="AC350" s="19">
        <v>43983</v>
      </c>
      <c r="AD350" s="99">
        <v>44001</v>
      </c>
      <c r="AE350" s="19">
        <v>43986</v>
      </c>
      <c r="AF350" s="19">
        <v>43986</v>
      </c>
      <c r="AG350" s="19" t="s">
        <v>176</v>
      </c>
      <c r="AH350" s="31">
        <v>1</v>
      </c>
      <c r="AI350" s="31">
        <v>1</v>
      </c>
      <c r="AJ350" s="31">
        <v>1</v>
      </c>
      <c r="AK350" s="19" t="s">
        <v>150</v>
      </c>
      <c r="AL350" s="17" t="s">
        <v>61</v>
      </c>
      <c r="AM350" s="17" t="s">
        <v>61</v>
      </c>
      <c r="AN350" s="177" t="s">
        <v>530</v>
      </c>
    </row>
    <row r="351" spans="2:40" x14ac:dyDescent="0.25">
      <c r="B351" s="175">
        <f t="shared" si="65"/>
        <v>292</v>
      </c>
      <c r="C351" s="16">
        <v>20200601</v>
      </c>
      <c r="D351" s="15" t="s">
        <v>3</v>
      </c>
      <c r="E351" s="80" t="s">
        <v>479</v>
      </c>
      <c r="F351" s="169" t="s">
        <v>1081</v>
      </c>
      <c r="G351" s="80">
        <v>1484917</v>
      </c>
      <c r="H351" s="52" t="s">
        <v>61</v>
      </c>
      <c r="I351" s="80" t="s">
        <v>972</v>
      </c>
      <c r="J351" s="52" t="s">
        <v>61</v>
      </c>
      <c r="K351" s="15" t="s">
        <v>184</v>
      </c>
      <c r="L351" s="15" t="s">
        <v>526</v>
      </c>
      <c r="M351" s="15" t="s">
        <v>527</v>
      </c>
      <c r="N351" s="15" t="s">
        <v>528</v>
      </c>
      <c r="O351" s="17" t="s">
        <v>61</v>
      </c>
      <c r="P351" s="17" t="s">
        <v>529</v>
      </c>
      <c r="Q351" s="18"/>
      <c r="R351" s="52" t="s">
        <v>61</v>
      </c>
      <c r="S351" s="15" t="s">
        <v>69</v>
      </c>
      <c r="T351" s="15"/>
      <c r="U351" s="15"/>
      <c r="V351" s="80">
        <v>780</v>
      </c>
      <c r="W351" s="15">
        <f t="shared" si="68"/>
        <v>780</v>
      </c>
      <c r="X351" s="15">
        <f t="shared" ref="X351:X357" si="70">W351</f>
        <v>780</v>
      </c>
      <c r="Y351" s="15">
        <f>ROUNDDOWN(W351/HLOOKUP(D351,Table!$C$3:$D$4,2,0)*8,2)</f>
        <v>13.86</v>
      </c>
      <c r="Z351" s="15">
        <v>1</v>
      </c>
      <c r="AA351" s="15" t="s">
        <v>21</v>
      </c>
      <c r="AB351" s="19">
        <v>44001</v>
      </c>
      <c r="AC351" s="19">
        <v>43983</v>
      </c>
      <c r="AD351" s="99">
        <v>44001</v>
      </c>
      <c r="AE351" s="19">
        <v>43986</v>
      </c>
      <c r="AF351" s="19">
        <v>43986</v>
      </c>
      <c r="AG351" s="19" t="s">
        <v>176</v>
      </c>
      <c r="AH351" s="31" t="s">
        <v>61</v>
      </c>
      <c r="AI351" s="31" t="s">
        <v>61</v>
      </c>
      <c r="AJ351" s="31" t="s">
        <v>61</v>
      </c>
      <c r="AK351" s="19" t="s">
        <v>150</v>
      </c>
      <c r="AL351" s="17" t="s">
        <v>656</v>
      </c>
      <c r="AM351" s="17" t="s">
        <v>61</v>
      </c>
      <c r="AN351" s="177" t="s">
        <v>530</v>
      </c>
    </row>
    <row r="352" spans="2:40" x14ac:dyDescent="0.25">
      <c r="B352" s="175">
        <f t="shared" si="65"/>
        <v>293</v>
      </c>
      <c r="C352" s="16">
        <v>20200601</v>
      </c>
      <c r="D352" s="15" t="s">
        <v>3</v>
      </c>
      <c r="E352" s="80" t="s">
        <v>479</v>
      </c>
      <c r="F352" s="169" t="s">
        <v>1082</v>
      </c>
      <c r="G352" s="80">
        <v>1484917</v>
      </c>
      <c r="H352" s="52" t="s">
        <v>61</v>
      </c>
      <c r="I352" s="80" t="s">
        <v>973</v>
      </c>
      <c r="J352" s="52" t="s">
        <v>61</v>
      </c>
      <c r="K352" s="15" t="s">
        <v>184</v>
      </c>
      <c r="L352" s="15" t="s">
        <v>526</v>
      </c>
      <c r="M352" s="15" t="s">
        <v>527</v>
      </c>
      <c r="N352" s="15" t="s">
        <v>528</v>
      </c>
      <c r="O352" s="17" t="s">
        <v>61</v>
      </c>
      <c r="P352" s="17" t="s">
        <v>529</v>
      </c>
      <c r="Q352" s="18"/>
      <c r="R352" s="52" t="s">
        <v>61</v>
      </c>
      <c r="S352" s="15" t="s">
        <v>142</v>
      </c>
      <c r="T352" s="15"/>
      <c r="U352" s="15"/>
      <c r="V352" s="80">
        <v>36</v>
      </c>
      <c r="W352" s="15">
        <f t="shared" si="68"/>
        <v>36</v>
      </c>
      <c r="X352" s="15">
        <f t="shared" si="70"/>
        <v>36</v>
      </c>
      <c r="Y352" s="15">
        <f>ROUNDDOWN(W352/HLOOKUP(D352,Table!$C$3:$D$4,2,0)*8,2)</f>
        <v>0.64</v>
      </c>
      <c r="Z352" s="15">
        <v>0.2</v>
      </c>
      <c r="AA352" s="15" t="s">
        <v>21</v>
      </c>
      <c r="AB352" s="19">
        <v>44001</v>
      </c>
      <c r="AC352" s="19">
        <v>43983</v>
      </c>
      <c r="AD352" s="99">
        <v>44001</v>
      </c>
      <c r="AE352" s="19">
        <v>43987</v>
      </c>
      <c r="AF352" s="19">
        <v>43987</v>
      </c>
      <c r="AG352" s="19" t="s">
        <v>176</v>
      </c>
      <c r="AH352" s="31">
        <v>1</v>
      </c>
      <c r="AI352" s="31">
        <v>1</v>
      </c>
      <c r="AJ352" s="31">
        <v>1</v>
      </c>
      <c r="AK352" s="19" t="s">
        <v>150</v>
      </c>
      <c r="AL352" s="17" t="s">
        <v>61</v>
      </c>
      <c r="AM352" s="17" t="s">
        <v>61</v>
      </c>
      <c r="AN352" s="177" t="s">
        <v>530</v>
      </c>
    </row>
    <row r="353" spans="1:40" x14ac:dyDescent="0.25">
      <c r="B353" s="175">
        <f t="shared" si="65"/>
        <v>294</v>
      </c>
      <c r="C353" s="16">
        <v>20200601</v>
      </c>
      <c r="D353" s="15" t="s">
        <v>3</v>
      </c>
      <c r="E353" s="80" t="s">
        <v>479</v>
      </c>
      <c r="F353" s="169" t="s">
        <v>1083</v>
      </c>
      <c r="G353" s="80">
        <v>1484917</v>
      </c>
      <c r="H353" s="52" t="s">
        <v>61</v>
      </c>
      <c r="I353" s="80" t="s">
        <v>974</v>
      </c>
      <c r="J353" s="52" t="s">
        <v>61</v>
      </c>
      <c r="K353" s="15" t="s">
        <v>184</v>
      </c>
      <c r="L353" s="15" t="s">
        <v>526</v>
      </c>
      <c r="M353" s="15" t="s">
        <v>527</v>
      </c>
      <c r="N353" s="15" t="s">
        <v>528</v>
      </c>
      <c r="O353" s="17" t="s">
        <v>61</v>
      </c>
      <c r="P353" s="17" t="s">
        <v>529</v>
      </c>
      <c r="Q353" s="18"/>
      <c r="R353" s="52" t="s">
        <v>61</v>
      </c>
      <c r="S353" s="15" t="s">
        <v>142</v>
      </c>
      <c r="T353" s="15"/>
      <c r="U353" s="15"/>
      <c r="V353" s="80">
        <v>3</v>
      </c>
      <c r="W353" s="15">
        <v>0</v>
      </c>
      <c r="X353" s="15">
        <f>W353</f>
        <v>0</v>
      </c>
      <c r="Y353" s="15">
        <f>ROUNDDOWN(W353/HLOOKUP(D353,Table!$C$3:$D$4,2,0)*8,2)</f>
        <v>0</v>
      </c>
      <c r="Z353" s="15">
        <v>0.01</v>
      </c>
      <c r="AA353" s="15" t="s">
        <v>21</v>
      </c>
      <c r="AB353" s="19">
        <v>44001</v>
      </c>
      <c r="AC353" s="19">
        <v>43983</v>
      </c>
      <c r="AD353" s="99">
        <v>44001</v>
      </c>
      <c r="AE353" s="19">
        <v>43987</v>
      </c>
      <c r="AF353" s="19">
        <v>43987</v>
      </c>
      <c r="AG353" s="19" t="s">
        <v>176</v>
      </c>
      <c r="AH353" s="79" t="s">
        <v>61</v>
      </c>
      <c r="AI353" s="79" t="s">
        <v>61</v>
      </c>
      <c r="AJ353" s="79" t="s">
        <v>61</v>
      </c>
      <c r="AK353" s="19" t="s">
        <v>150</v>
      </c>
      <c r="AL353" s="17" t="s">
        <v>61</v>
      </c>
      <c r="AM353" s="17" t="s">
        <v>61</v>
      </c>
      <c r="AN353" s="170" t="s">
        <v>1307</v>
      </c>
    </row>
    <row r="354" spans="1:40" x14ac:dyDescent="0.25">
      <c r="B354" s="175">
        <f t="shared" si="65"/>
        <v>295</v>
      </c>
      <c r="C354" s="16">
        <v>20200601</v>
      </c>
      <c r="D354" s="15" t="s">
        <v>3</v>
      </c>
      <c r="E354" s="80" t="s">
        <v>479</v>
      </c>
      <c r="F354" s="169" t="s">
        <v>1084</v>
      </c>
      <c r="G354" s="80">
        <v>1484917</v>
      </c>
      <c r="H354" s="52" t="s">
        <v>61</v>
      </c>
      <c r="I354" s="80" t="s">
        <v>975</v>
      </c>
      <c r="J354" s="52" t="s">
        <v>61</v>
      </c>
      <c r="K354" s="15" t="s">
        <v>184</v>
      </c>
      <c r="L354" s="15" t="s">
        <v>526</v>
      </c>
      <c r="M354" s="15" t="s">
        <v>527</v>
      </c>
      <c r="N354" s="15" t="s">
        <v>528</v>
      </c>
      <c r="O354" s="17" t="s">
        <v>61</v>
      </c>
      <c r="P354" s="17" t="s">
        <v>529</v>
      </c>
      <c r="Q354" s="18"/>
      <c r="R354" s="52" t="s">
        <v>61</v>
      </c>
      <c r="S354" s="15" t="s">
        <v>142</v>
      </c>
      <c r="T354" s="15"/>
      <c r="U354" s="15"/>
      <c r="V354" s="80">
        <v>225</v>
      </c>
      <c r="W354" s="15">
        <f t="shared" si="68"/>
        <v>225</v>
      </c>
      <c r="X354" s="15">
        <f t="shared" si="70"/>
        <v>225</v>
      </c>
      <c r="Y354" s="15">
        <f>ROUNDDOWN(W354/HLOOKUP(D354,Table!$C$3:$D$4,2,0)*8,2)</f>
        <v>4</v>
      </c>
      <c r="Z354" s="15">
        <v>3</v>
      </c>
      <c r="AA354" s="15" t="s">
        <v>21</v>
      </c>
      <c r="AB354" s="19">
        <v>44001</v>
      </c>
      <c r="AC354" s="19">
        <v>43983</v>
      </c>
      <c r="AD354" s="99">
        <v>44001</v>
      </c>
      <c r="AE354" s="19">
        <v>43992</v>
      </c>
      <c r="AF354" s="19">
        <v>43992</v>
      </c>
      <c r="AG354" s="19" t="s">
        <v>176</v>
      </c>
      <c r="AH354" s="31">
        <v>1</v>
      </c>
      <c r="AI354" s="31">
        <v>1</v>
      </c>
      <c r="AJ354" s="31">
        <v>1</v>
      </c>
      <c r="AK354" s="19" t="s">
        <v>150</v>
      </c>
      <c r="AL354" s="17" t="s">
        <v>61</v>
      </c>
      <c r="AM354" s="17" t="s">
        <v>61</v>
      </c>
      <c r="AN354" s="177" t="s">
        <v>530</v>
      </c>
    </row>
    <row r="355" spans="1:40" x14ac:dyDescent="0.25">
      <c r="B355" s="175">
        <f t="shared" si="65"/>
        <v>296</v>
      </c>
      <c r="C355" s="16">
        <v>20200601</v>
      </c>
      <c r="D355" s="15" t="s">
        <v>3</v>
      </c>
      <c r="E355" s="80" t="s">
        <v>479</v>
      </c>
      <c r="F355" s="169" t="s">
        <v>1085</v>
      </c>
      <c r="G355" s="80">
        <v>1484917</v>
      </c>
      <c r="H355" s="52" t="s">
        <v>61</v>
      </c>
      <c r="I355" s="80" t="s">
        <v>976</v>
      </c>
      <c r="J355" s="52" t="s">
        <v>61</v>
      </c>
      <c r="K355" s="15" t="s">
        <v>184</v>
      </c>
      <c r="L355" s="15" t="s">
        <v>526</v>
      </c>
      <c r="M355" s="15" t="s">
        <v>527</v>
      </c>
      <c r="N355" s="15" t="s">
        <v>528</v>
      </c>
      <c r="O355" s="17" t="s">
        <v>61</v>
      </c>
      <c r="P355" s="17" t="s">
        <v>529</v>
      </c>
      <c r="Q355" s="18"/>
      <c r="R355" s="52" t="s">
        <v>61</v>
      </c>
      <c r="S355" s="15" t="s">
        <v>142</v>
      </c>
      <c r="T355" s="15"/>
      <c r="U355" s="15"/>
      <c r="V355" s="80">
        <v>530</v>
      </c>
      <c r="W355" s="15">
        <f t="shared" si="68"/>
        <v>530</v>
      </c>
      <c r="X355" s="15">
        <f t="shared" si="70"/>
        <v>530</v>
      </c>
      <c r="Y355" s="15">
        <f>ROUNDDOWN(W355/HLOOKUP(D355,Table!$C$3:$D$4,2,0)*8,2)</f>
        <v>9.42</v>
      </c>
      <c r="Z355" s="15">
        <v>4</v>
      </c>
      <c r="AA355" s="15" t="s">
        <v>21</v>
      </c>
      <c r="AB355" s="19">
        <v>44001</v>
      </c>
      <c r="AC355" s="19">
        <v>43983</v>
      </c>
      <c r="AD355" s="99">
        <v>44001</v>
      </c>
      <c r="AE355" s="19">
        <v>43992</v>
      </c>
      <c r="AF355" s="19">
        <v>43992</v>
      </c>
      <c r="AG355" s="19" t="s">
        <v>176</v>
      </c>
      <c r="AH355" s="31">
        <v>1</v>
      </c>
      <c r="AI355" s="31">
        <v>1</v>
      </c>
      <c r="AJ355" s="31">
        <v>1</v>
      </c>
      <c r="AK355" s="19" t="s">
        <v>150</v>
      </c>
      <c r="AL355" s="17" t="s">
        <v>61</v>
      </c>
      <c r="AM355" s="17" t="s">
        <v>61</v>
      </c>
      <c r="AN355" s="233" t="s">
        <v>530</v>
      </c>
    </row>
    <row r="356" spans="1:40" x14ac:dyDescent="0.25">
      <c r="B356" s="175">
        <f t="shared" si="65"/>
        <v>297</v>
      </c>
      <c r="C356" s="16">
        <v>20200601</v>
      </c>
      <c r="D356" s="15" t="s">
        <v>3</v>
      </c>
      <c r="E356" s="80" t="s">
        <v>479</v>
      </c>
      <c r="F356" s="169" t="s">
        <v>1086</v>
      </c>
      <c r="G356" s="80">
        <v>1484917</v>
      </c>
      <c r="H356" s="52" t="s">
        <v>61</v>
      </c>
      <c r="I356" s="80" t="s">
        <v>977</v>
      </c>
      <c r="J356" s="52" t="s">
        <v>61</v>
      </c>
      <c r="K356" s="15" t="s">
        <v>184</v>
      </c>
      <c r="L356" s="15" t="s">
        <v>526</v>
      </c>
      <c r="M356" s="15" t="s">
        <v>527</v>
      </c>
      <c r="N356" s="15" t="s">
        <v>528</v>
      </c>
      <c r="O356" s="17" t="s">
        <v>61</v>
      </c>
      <c r="P356" s="17" t="s">
        <v>529</v>
      </c>
      <c r="Q356" s="18"/>
      <c r="R356" s="52" t="s">
        <v>61</v>
      </c>
      <c r="S356" s="15" t="s">
        <v>142</v>
      </c>
      <c r="T356" s="15"/>
      <c r="U356" s="15"/>
      <c r="V356" s="80">
        <v>18</v>
      </c>
      <c r="W356" s="15">
        <f t="shared" si="68"/>
        <v>18</v>
      </c>
      <c r="X356" s="15">
        <f t="shared" si="70"/>
        <v>18</v>
      </c>
      <c r="Y356" s="15">
        <f>ROUNDDOWN(W356/HLOOKUP(D356,Table!$C$3:$D$4,2,0)*8,2)</f>
        <v>0.32</v>
      </c>
      <c r="Z356" s="15">
        <v>0.1</v>
      </c>
      <c r="AA356" s="15" t="s">
        <v>21</v>
      </c>
      <c r="AB356" s="19">
        <v>44001</v>
      </c>
      <c r="AC356" s="19">
        <v>43983</v>
      </c>
      <c r="AD356" s="99">
        <v>44001</v>
      </c>
      <c r="AE356" s="19">
        <v>43987</v>
      </c>
      <c r="AF356" s="19">
        <v>43987</v>
      </c>
      <c r="AG356" s="19" t="s">
        <v>176</v>
      </c>
      <c r="AH356" s="31">
        <v>1</v>
      </c>
      <c r="AI356" s="31">
        <v>1</v>
      </c>
      <c r="AJ356" s="31">
        <v>1</v>
      </c>
      <c r="AK356" s="19" t="s">
        <v>150</v>
      </c>
      <c r="AL356" s="17" t="s">
        <v>61</v>
      </c>
      <c r="AM356" s="17" t="s">
        <v>61</v>
      </c>
      <c r="AN356" s="177" t="s">
        <v>530</v>
      </c>
    </row>
    <row r="357" spans="1:40" x14ac:dyDescent="0.25">
      <c r="B357" s="175">
        <f t="shared" si="65"/>
        <v>298</v>
      </c>
      <c r="C357" s="16">
        <v>20200601</v>
      </c>
      <c r="D357" s="15" t="s">
        <v>3</v>
      </c>
      <c r="E357" s="80" t="s">
        <v>479</v>
      </c>
      <c r="F357" s="169" t="s">
        <v>1087</v>
      </c>
      <c r="G357" s="80">
        <v>1484917</v>
      </c>
      <c r="H357" s="52" t="s">
        <v>61</v>
      </c>
      <c r="I357" s="80" t="s">
        <v>978</v>
      </c>
      <c r="J357" s="52" t="s">
        <v>61</v>
      </c>
      <c r="K357" s="15" t="s">
        <v>184</v>
      </c>
      <c r="L357" s="15" t="s">
        <v>526</v>
      </c>
      <c r="M357" s="15" t="s">
        <v>527</v>
      </c>
      <c r="N357" s="15" t="s">
        <v>528</v>
      </c>
      <c r="O357" s="17" t="s">
        <v>61</v>
      </c>
      <c r="P357" s="17" t="s">
        <v>529</v>
      </c>
      <c r="Q357" s="18"/>
      <c r="R357" s="52" t="s">
        <v>61</v>
      </c>
      <c r="S357" s="15" t="s">
        <v>142</v>
      </c>
      <c r="T357" s="15"/>
      <c r="U357" s="15"/>
      <c r="V357" s="80">
        <v>17</v>
      </c>
      <c r="W357" s="15">
        <f t="shared" si="68"/>
        <v>17</v>
      </c>
      <c r="X357" s="15">
        <f t="shared" si="70"/>
        <v>17</v>
      </c>
      <c r="Y357" s="15">
        <f>ROUNDDOWN(W357/HLOOKUP(D357,Table!$C$3:$D$4,2,0)*8,2)</f>
        <v>0.3</v>
      </c>
      <c r="Z357" s="15">
        <v>0.1</v>
      </c>
      <c r="AA357" s="15" t="s">
        <v>21</v>
      </c>
      <c r="AB357" s="19">
        <v>44001</v>
      </c>
      <c r="AC357" s="19">
        <v>43983</v>
      </c>
      <c r="AD357" s="99">
        <v>44001</v>
      </c>
      <c r="AE357" s="19">
        <v>43987</v>
      </c>
      <c r="AF357" s="19">
        <v>43987</v>
      </c>
      <c r="AG357" s="19" t="s">
        <v>176</v>
      </c>
      <c r="AH357" s="31">
        <v>1</v>
      </c>
      <c r="AI357" s="31">
        <v>1</v>
      </c>
      <c r="AJ357" s="31">
        <v>1</v>
      </c>
      <c r="AK357" s="19" t="s">
        <v>150</v>
      </c>
      <c r="AL357" s="17" t="s">
        <v>61</v>
      </c>
      <c r="AM357" s="17" t="s">
        <v>61</v>
      </c>
      <c r="AN357" s="177" t="s">
        <v>530</v>
      </c>
    </row>
    <row r="358" spans="1:40" x14ac:dyDescent="0.25">
      <c r="B358" s="175">
        <f t="shared" si="65"/>
        <v>299</v>
      </c>
      <c r="C358" s="16">
        <v>20200601</v>
      </c>
      <c r="D358" s="15" t="s">
        <v>3</v>
      </c>
      <c r="E358" s="80" t="s">
        <v>479</v>
      </c>
      <c r="F358" s="169" t="s">
        <v>1088</v>
      </c>
      <c r="G358" s="80">
        <v>1484917</v>
      </c>
      <c r="H358" s="52" t="s">
        <v>61</v>
      </c>
      <c r="I358" s="80" t="s">
        <v>979</v>
      </c>
      <c r="J358" s="52" t="s">
        <v>61</v>
      </c>
      <c r="K358" s="15" t="s">
        <v>184</v>
      </c>
      <c r="L358" s="15" t="s">
        <v>526</v>
      </c>
      <c r="M358" s="15" t="s">
        <v>527</v>
      </c>
      <c r="N358" s="15" t="s">
        <v>528</v>
      </c>
      <c r="O358" s="17" t="s">
        <v>61</v>
      </c>
      <c r="P358" s="17" t="s">
        <v>529</v>
      </c>
      <c r="Q358" s="18"/>
      <c r="R358" s="52" t="s">
        <v>61</v>
      </c>
      <c r="S358" s="15" t="s">
        <v>70</v>
      </c>
      <c r="T358" s="15"/>
      <c r="U358" s="15"/>
      <c r="V358" s="80">
        <v>143</v>
      </c>
      <c r="W358" s="15">
        <f t="shared" si="68"/>
        <v>143</v>
      </c>
      <c r="X358" s="15">
        <f t="shared" ref="X358:X364" si="71">W358</f>
        <v>143</v>
      </c>
      <c r="Y358" s="15">
        <f>ROUNDDOWN(W358/HLOOKUP(D358,Table!$C$3:$D$4,2,0)*8,2)</f>
        <v>2.54</v>
      </c>
      <c r="Z358" s="15">
        <v>3</v>
      </c>
      <c r="AA358" s="15" t="s">
        <v>21</v>
      </c>
      <c r="AB358" s="19">
        <v>44001</v>
      </c>
      <c r="AC358" s="19">
        <v>43983</v>
      </c>
      <c r="AD358" s="99">
        <v>44001</v>
      </c>
      <c r="AE358" s="19">
        <v>43984</v>
      </c>
      <c r="AF358" s="19">
        <v>43984</v>
      </c>
      <c r="AG358" s="19" t="s">
        <v>176</v>
      </c>
      <c r="AH358" s="31">
        <v>1</v>
      </c>
      <c r="AI358" s="31">
        <v>1</v>
      </c>
      <c r="AJ358" s="31">
        <v>1</v>
      </c>
      <c r="AK358" s="19" t="s">
        <v>150</v>
      </c>
      <c r="AL358" s="191" t="s">
        <v>61</v>
      </c>
      <c r="AM358" s="17" t="s">
        <v>61</v>
      </c>
      <c r="AN358" s="177" t="s">
        <v>530</v>
      </c>
    </row>
    <row r="359" spans="1:40" x14ac:dyDescent="0.25">
      <c r="B359" s="175">
        <f t="shared" si="65"/>
        <v>300</v>
      </c>
      <c r="C359" s="16">
        <v>20200601</v>
      </c>
      <c r="D359" s="15" t="s">
        <v>3</v>
      </c>
      <c r="E359" s="80" t="s">
        <v>479</v>
      </c>
      <c r="F359" s="169" t="s">
        <v>1089</v>
      </c>
      <c r="G359" s="80">
        <v>1484917</v>
      </c>
      <c r="H359" s="52" t="s">
        <v>61</v>
      </c>
      <c r="I359" s="80" t="s">
        <v>980</v>
      </c>
      <c r="J359" s="52" t="s">
        <v>61</v>
      </c>
      <c r="K359" s="15" t="s">
        <v>184</v>
      </c>
      <c r="L359" s="15" t="s">
        <v>526</v>
      </c>
      <c r="M359" s="15" t="s">
        <v>527</v>
      </c>
      <c r="N359" s="15" t="s">
        <v>528</v>
      </c>
      <c r="O359" s="17" t="s">
        <v>61</v>
      </c>
      <c r="P359" s="17" t="s">
        <v>529</v>
      </c>
      <c r="Q359" s="18"/>
      <c r="R359" s="52" t="s">
        <v>61</v>
      </c>
      <c r="S359" s="15" t="s">
        <v>70</v>
      </c>
      <c r="T359" s="15"/>
      <c r="U359" s="15"/>
      <c r="V359" s="80">
        <v>69</v>
      </c>
      <c r="W359" s="15">
        <f t="shared" si="68"/>
        <v>69</v>
      </c>
      <c r="X359" s="15">
        <f t="shared" si="71"/>
        <v>69</v>
      </c>
      <c r="Y359" s="15">
        <f>ROUNDDOWN(W359/HLOOKUP(D359,Table!$C$3:$D$4,2,0)*8,2)</f>
        <v>1.22</v>
      </c>
      <c r="Z359" s="15">
        <v>1</v>
      </c>
      <c r="AA359" s="15" t="s">
        <v>21</v>
      </c>
      <c r="AB359" s="19">
        <v>44001</v>
      </c>
      <c r="AC359" s="19">
        <v>43983</v>
      </c>
      <c r="AD359" s="99">
        <v>44001</v>
      </c>
      <c r="AE359" s="19">
        <v>43984</v>
      </c>
      <c r="AF359" s="19">
        <v>43984</v>
      </c>
      <c r="AG359" s="19" t="s">
        <v>176</v>
      </c>
      <c r="AH359" s="31">
        <v>1</v>
      </c>
      <c r="AI359" s="31">
        <v>1</v>
      </c>
      <c r="AJ359" s="31">
        <v>1</v>
      </c>
      <c r="AK359" s="19" t="s">
        <v>150</v>
      </c>
      <c r="AL359" s="17" t="s">
        <v>61</v>
      </c>
      <c r="AM359" s="17" t="s">
        <v>61</v>
      </c>
      <c r="AN359" s="177" t="s">
        <v>530</v>
      </c>
    </row>
    <row r="360" spans="1:40" x14ac:dyDescent="0.25">
      <c r="B360" s="175">
        <f t="shared" si="65"/>
        <v>301</v>
      </c>
      <c r="C360" s="16">
        <v>20200601</v>
      </c>
      <c r="D360" s="15" t="s">
        <v>3</v>
      </c>
      <c r="E360" s="80" t="s">
        <v>479</v>
      </c>
      <c r="F360" s="169" t="s">
        <v>1090</v>
      </c>
      <c r="G360" s="80">
        <v>1484917</v>
      </c>
      <c r="H360" s="52" t="s">
        <v>61</v>
      </c>
      <c r="I360" s="80" t="s">
        <v>981</v>
      </c>
      <c r="J360" s="52" t="s">
        <v>61</v>
      </c>
      <c r="K360" s="15" t="s">
        <v>184</v>
      </c>
      <c r="L360" s="15" t="s">
        <v>526</v>
      </c>
      <c r="M360" s="15" t="s">
        <v>527</v>
      </c>
      <c r="N360" s="15" t="s">
        <v>528</v>
      </c>
      <c r="O360" s="17" t="s">
        <v>61</v>
      </c>
      <c r="P360" s="17" t="s">
        <v>529</v>
      </c>
      <c r="Q360" s="18"/>
      <c r="R360" s="52" t="s">
        <v>61</v>
      </c>
      <c r="S360" s="15" t="s">
        <v>70</v>
      </c>
      <c r="T360" s="15"/>
      <c r="U360" s="15"/>
      <c r="V360" s="80">
        <v>129</v>
      </c>
      <c r="W360" s="15">
        <f t="shared" si="68"/>
        <v>129</v>
      </c>
      <c r="X360" s="15">
        <f t="shared" si="71"/>
        <v>129</v>
      </c>
      <c r="Y360" s="15">
        <f>ROUNDDOWN(W360/HLOOKUP(D360,Table!$C$3:$D$4,2,0)*8,2)</f>
        <v>2.29</v>
      </c>
      <c r="Z360" s="15">
        <v>2</v>
      </c>
      <c r="AA360" s="15" t="s">
        <v>21</v>
      </c>
      <c r="AB360" s="19">
        <v>44001</v>
      </c>
      <c r="AC360" s="19">
        <v>43983</v>
      </c>
      <c r="AD360" s="99">
        <v>44001</v>
      </c>
      <c r="AE360" s="19">
        <v>43984</v>
      </c>
      <c r="AF360" s="19">
        <v>43984</v>
      </c>
      <c r="AG360" s="19" t="s">
        <v>176</v>
      </c>
      <c r="AH360" s="31">
        <v>1</v>
      </c>
      <c r="AI360" s="31">
        <v>1</v>
      </c>
      <c r="AJ360" s="31">
        <v>1</v>
      </c>
      <c r="AK360" s="19" t="s">
        <v>150</v>
      </c>
      <c r="AL360" s="17" t="s">
        <v>61</v>
      </c>
      <c r="AM360" s="17" t="s">
        <v>61</v>
      </c>
      <c r="AN360" s="177" t="s">
        <v>530</v>
      </c>
    </row>
    <row r="361" spans="1:40" x14ac:dyDescent="0.25">
      <c r="B361" s="175">
        <f t="shared" si="65"/>
        <v>302</v>
      </c>
      <c r="C361" s="16">
        <v>20200601</v>
      </c>
      <c r="D361" s="15" t="s">
        <v>3</v>
      </c>
      <c r="E361" s="80" t="s">
        <v>479</v>
      </c>
      <c r="F361" s="184" t="s">
        <v>1091</v>
      </c>
      <c r="G361" s="80">
        <v>1489760</v>
      </c>
      <c r="H361" s="52" t="s">
        <v>61</v>
      </c>
      <c r="I361" s="80" t="s">
        <v>982</v>
      </c>
      <c r="J361" s="52" t="s">
        <v>61</v>
      </c>
      <c r="K361" s="15" t="s">
        <v>184</v>
      </c>
      <c r="L361" s="15" t="s">
        <v>526</v>
      </c>
      <c r="M361" s="15" t="s">
        <v>527</v>
      </c>
      <c r="N361" s="15" t="s">
        <v>528</v>
      </c>
      <c r="O361" s="77" t="s">
        <v>61</v>
      </c>
      <c r="P361" s="17" t="s">
        <v>454</v>
      </c>
      <c r="Q361" s="18"/>
      <c r="R361" s="52" t="s">
        <v>61</v>
      </c>
      <c r="S361" s="15" t="s">
        <v>70</v>
      </c>
      <c r="T361" s="15"/>
      <c r="U361" s="15"/>
      <c r="V361" s="80">
        <v>39</v>
      </c>
      <c r="W361" s="15">
        <f t="shared" si="68"/>
        <v>39</v>
      </c>
      <c r="X361" s="15">
        <f t="shared" si="71"/>
        <v>39</v>
      </c>
      <c r="Y361" s="15">
        <f>ROUNDDOWN(W361/HLOOKUP(D361,Table!$C$3:$D$4,2,0)*8,2)</f>
        <v>0.69</v>
      </c>
      <c r="Z361" s="15">
        <v>0.8</v>
      </c>
      <c r="AA361" s="15" t="s">
        <v>21</v>
      </c>
      <c r="AB361" s="19">
        <v>44001</v>
      </c>
      <c r="AC361" s="19">
        <v>43983</v>
      </c>
      <c r="AD361" s="99">
        <v>44001</v>
      </c>
      <c r="AE361" s="19">
        <v>43984</v>
      </c>
      <c r="AF361" s="19">
        <v>43984</v>
      </c>
      <c r="AG361" s="19" t="s">
        <v>176</v>
      </c>
      <c r="AH361" s="31">
        <v>1</v>
      </c>
      <c r="AI361" s="31">
        <v>1</v>
      </c>
      <c r="AJ361" s="31">
        <v>1</v>
      </c>
      <c r="AK361" s="19" t="s">
        <v>150</v>
      </c>
      <c r="AL361" s="17" t="s">
        <v>61</v>
      </c>
      <c r="AM361" s="17" t="s">
        <v>61</v>
      </c>
      <c r="AN361" s="177" t="s">
        <v>1034</v>
      </c>
    </row>
    <row r="362" spans="1:40" x14ac:dyDescent="0.25">
      <c r="B362" s="175">
        <f t="shared" si="65"/>
        <v>303</v>
      </c>
      <c r="C362" s="16">
        <v>20200601</v>
      </c>
      <c r="D362" s="15" t="s">
        <v>3</v>
      </c>
      <c r="E362" s="80" t="s">
        <v>479</v>
      </c>
      <c r="F362" s="184" t="s">
        <v>1092</v>
      </c>
      <c r="G362" s="80">
        <v>1489760</v>
      </c>
      <c r="H362" s="52" t="s">
        <v>61</v>
      </c>
      <c r="I362" s="80" t="s">
        <v>604</v>
      </c>
      <c r="J362" s="52" t="s">
        <v>61</v>
      </c>
      <c r="K362" s="15" t="s">
        <v>184</v>
      </c>
      <c r="L362" s="15" t="s">
        <v>526</v>
      </c>
      <c r="M362" s="15" t="s">
        <v>527</v>
      </c>
      <c r="N362" s="15" t="s">
        <v>528</v>
      </c>
      <c r="O362" s="77" t="s">
        <v>61</v>
      </c>
      <c r="P362" s="17" t="s">
        <v>454</v>
      </c>
      <c r="Q362" s="18"/>
      <c r="R362" s="52" t="s">
        <v>61</v>
      </c>
      <c r="S362" s="15" t="s">
        <v>70</v>
      </c>
      <c r="T362" s="15"/>
      <c r="U362" s="15"/>
      <c r="V362" s="80">
        <v>276</v>
      </c>
      <c r="W362" s="15">
        <f t="shared" si="68"/>
        <v>276</v>
      </c>
      <c r="X362" s="15">
        <f t="shared" si="71"/>
        <v>276</v>
      </c>
      <c r="Y362" s="15">
        <f>ROUNDDOWN(W362/HLOOKUP(D362,Table!$C$3:$D$4,2,0)*8,2)</f>
        <v>4.9000000000000004</v>
      </c>
      <c r="Z362" s="15">
        <v>1</v>
      </c>
      <c r="AA362" s="15" t="s">
        <v>21</v>
      </c>
      <c r="AB362" s="19">
        <v>44001</v>
      </c>
      <c r="AC362" s="19">
        <v>43983</v>
      </c>
      <c r="AD362" s="99">
        <v>44001</v>
      </c>
      <c r="AE362" s="19">
        <v>43985</v>
      </c>
      <c r="AF362" s="19">
        <v>43985</v>
      </c>
      <c r="AG362" s="19" t="s">
        <v>176</v>
      </c>
      <c r="AH362" s="31">
        <v>1</v>
      </c>
      <c r="AI362" s="31">
        <v>1</v>
      </c>
      <c r="AJ362" s="31">
        <v>1</v>
      </c>
      <c r="AK362" s="19" t="s">
        <v>150</v>
      </c>
      <c r="AL362" s="17" t="s">
        <v>61</v>
      </c>
      <c r="AM362" s="17" t="s">
        <v>61</v>
      </c>
      <c r="AN362" s="177" t="s">
        <v>1034</v>
      </c>
    </row>
    <row r="363" spans="1:40" x14ac:dyDescent="0.25">
      <c r="B363" s="41">
        <f t="shared" si="65"/>
        <v>304</v>
      </c>
      <c r="C363" s="16">
        <v>20200602</v>
      </c>
      <c r="D363" s="15" t="s">
        <v>2</v>
      </c>
      <c r="E363" s="17" t="s">
        <v>1098</v>
      </c>
      <c r="F363" s="17" t="s">
        <v>61</v>
      </c>
      <c r="G363" s="80">
        <v>1458019</v>
      </c>
      <c r="H363" s="52" t="s">
        <v>61</v>
      </c>
      <c r="I363" s="80" t="s">
        <v>1095</v>
      </c>
      <c r="J363" s="52" t="s">
        <v>61</v>
      </c>
      <c r="K363" s="15" t="s">
        <v>184</v>
      </c>
      <c r="L363" s="15" t="s">
        <v>150</v>
      </c>
      <c r="M363" s="15" t="s">
        <v>150</v>
      </c>
      <c r="N363" s="80" t="s">
        <v>1100</v>
      </c>
      <c r="O363" s="77" t="s">
        <v>1101</v>
      </c>
      <c r="P363" s="77" t="s">
        <v>1103</v>
      </c>
      <c r="Q363" s="18"/>
      <c r="R363" s="52" t="s">
        <v>61</v>
      </c>
      <c r="S363" s="15" t="s">
        <v>142</v>
      </c>
      <c r="T363" s="15"/>
      <c r="U363" s="15"/>
      <c r="V363" s="15">
        <v>25</v>
      </c>
      <c r="W363" s="15">
        <f>V363</f>
        <v>25</v>
      </c>
      <c r="X363" s="15">
        <f t="shared" si="71"/>
        <v>25</v>
      </c>
      <c r="Y363" s="15">
        <f>ROUNDDOWN(W363/HLOOKUP(D363,Table!$C$3:$D$4,2,0)*8,2)</f>
        <v>1.53</v>
      </c>
      <c r="Z363" s="15">
        <v>2</v>
      </c>
      <c r="AA363" s="15" t="s">
        <v>74</v>
      </c>
      <c r="AB363" s="99">
        <v>43985</v>
      </c>
      <c r="AC363" s="19">
        <v>43984</v>
      </c>
      <c r="AD363" s="99">
        <v>43985</v>
      </c>
      <c r="AE363" s="19">
        <v>43984</v>
      </c>
      <c r="AF363" s="19">
        <v>43984</v>
      </c>
      <c r="AG363" s="19" t="s">
        <v>176</v>
      </c>
      <c r="AH363" s="31">
        <v>1</v>
      </c>
      <c r="AI363" s="31">
        <v>1</v>
      </c>
      <c r="AJ363" s="31">
        <v>1</v>
      </c>
      <c r="AK363" s="19" t="s">
        <v>150</v>
      </c>
      <c r="AL363" s="17" t="s">
        <v>61</v>
      </c>
      <c r="AM363" s="17" t="s">
        <v>61</v>
      </c>
      <c r="AN363" s="176" t="s">
        <v>1097</v>
      </c>
    </row>
    <row r="364" spans="1:40" x14ac:dyDescent="0.25">
      <c r="B364" s="41">
        <f t="shared" si="65"/>
        <v>305</v>
      </c>
      <c r="C364" s="16">
        <v>20200602</v>
      </c>
      <c r="D364" s="15" t="s">
        <v>2</v>
      </c>
      <c r="E364" s="17" t="s">
        <v>1098</v>
      </c>
      <c r="F364" s="17" t="s">
        <v>61</v>
      </c>
      <c r="G364" s="17">
        <v>1458019</v>
      </c>
      <c r="H364" s="52" t="s">
        <v>61</v>
      </c>
      <c r="I364" s="80" t="s">
        <v>1096</v>
      </c>
      <c r="J364" s="52" t="s">
        <v>61</v>
      </c>
      <c r="K364" s="15" t="s">
        <v>184</v>
      </c>
      <c r="L364" s="15" t="s">
        <v>150</v>
      </c>
      <c r="M364" s="15" t="s">
        <v>150</v>
      </c>
      <c r="N364" s="15" t="s">
        <v>1100</v>
      </c>
      <c r="O364" s="80">
        <v>1.3</v>
      </c>
      <c r="P364" s="17" t="s">
        <v>1103</v>
      </c>
      <c r="Q364" s="18"/>
      <c r="R364" s="52" t="s">
        <v>61</v>
      </c>
      <c r="S364" s="15" t="s">
        <v>142</v>
      </c>
      <c r="T364" s="15"/>
      <c r="U364" s="15"/>
      <c r="V364" s="15">
        <v>25</v>
      </c>
      <c r="W364" s="15">
        <f>V364</f>
        <v>25</v>
      </c>
      <c r="X364" s="15">
        <f t="shared" si="71"/>
        <v>25</v>
      </c>
      <c r="Y364" s="15">
        <f>ROUNDDOWN(W364/HLOOKUP(D364,Table!$C$3:$D$4,2,0)*8,2)</f>
        <v>1.53</v>
      </c>
      <c r="Z364" s="15">
        <v>2</v>
      </c>
      <c r="AA364" s="15" t="s">
        <v>74</v>
      </c>
      <c r="AB364" s="99">
        <v>43985</v>
      </c>
      <c r="AC364" s="19">
        <v>43984</v>
      </c>
      <c r="AD364" s="99">
        <v>43985</v>
      </c>
      <c r="AE364" s="19">
        <v>43985</v>
      </c>
      <c r="AF364" s="19">
        <v>43985</v>
      </c>
      <c r="AG364" s="19" t="s">
        <v>176</v>
      </c>
      <c r="AH364" s="31">
        <v>1</v>
      </c>
      <c r="AI364" s="31">
        <v>1</v>
      </c>
      <c r="AJ364" s="31">
        <v>1</v>
      </c>
      <c r="AK364" s="19" t="s">
        <v>150</v>
      </c>
      <c r="AL364" s="17" t="s">
        <v>61</v>
      </c>
      <c r="AM364" s="15"/>
      <c r="AN364" s="176" t="s">
        <v>1097</v>
      </c>
    </row>
    <row r="365" spans="1:40" x14ac:dyDescent="0.25">
      <c r="B365" s="41">
        <f t="shared" si="65"/>
        <v>306</v>
      </c>
      <c r="C365" s="16">
        <v>20200602</v>
      </c>
      <c r="D365" s="15" t="s">
        <v>2</v>
      </c>
      <c r="E365" s="77" t="s">
        <v>1099</v>
      </c>
      <c r="F365" s="17" t="s">
        <v>61</v>
      </c>
      <c r="G365" s="80">
        <v>1499718</v>
      </c>
      <c r="H365" s="52" t="s">
        <v>61</v>
      </c>
      <c r="I365" s="80" t="s">
        <v>417</v>
      </c>
      <c r="J365" s="52" t="s">
        <v>61</v>
      </c>
      <c r="K365" s="15" t="s">
        <v>146</v>
      </c>
      <c r="L365" s="15" t="s">
        <v>150</v>
      </c>
      <c r="M365" s="80" t="s">
        <v>303</v>
      </c>
      <c r="N365" s="15">
        <v>1499718</v>
      </c>
      <c r="O365" s="77" t="s">
        <v>1102</v>
      </c>
      <c r="P365" s="77" t="s">
        <v>426</v>
      </c>
      <c r="Q365" s="18"/>
      <c r="R365" s="52" t="s">
        <v>61</v>
      </c>
      <c r="S365" s="15" t="s">
        <v>67</v>
      </c>
      <c r="T365" s="15"/>
      <c r="U365" s="15"/>
      <c r="V365" s="15">
        <v>43</v>
      </c>
      <c r="W365" s="15">
        <f>V365</f>
        <v>43</v>
      </c>
      <c r="X365" s="15">
        <f t="shared" ref="X365:X370" si="72">W365</f>
        <v>43</v>
      </c>
      <c r="Y365" s="15">
        <f>ROUNDDOWN(W365/HLOOKUP(D365,Table!$C$3:$D$4,2,0)*8,2)</f>
        <v>2.64</v>
      </c>
      <c r="Z365" s="15">
        <v>1</v>
      </c>
      <c r="AA365" s="15" t="s">
        <v>74</v>
      </c>
      <c r="AB365" s="19">
        <v>43987</v>
      </c>
      <c r="AC365" s="19">
        <v>43984</v>
      </c>
      <c r="AD365" s="99">
        <v>43986</v>
      </c>
      <c r="AE365" s="19">
        <v>43987</v>
      </c>
      <c r="AF365" s="19">
        <v>43987</v>
      </c>
      <c r="AG365" s="19" t="s">
        <v>176</v>
      </c>
      <c r="AH365" s="31">
        <v>1</v>
      </c>
      <c r="AI365" s="31">
        <v>1</v>
      </c>
      <c r="AJ365" s="31">
        <v>1</v>
      </c>
      <c r="AK365" s="19" t="s">
        <v>150</v>
      </c>
      <c r="AL365" s="15" t="s">
        <v>61</v>
      </c>
      <c r="AM365" s="15" t="s">
        <v>61</v>
      </c>
      <c r="AN365" s="15" t="s">
        <v>61</v>
      </c>
    </row>
    <row r="366" spans="1:40" x14ac:dyDescent="0.25">
      <c r="B366" s="193">
        <f t="shared" si="65"/>
        <v>307</v>
      </c>
      <c r="C366" s="16">
        <v>20200603</v>
      </c>
      <c r="D366" s="15" t="s">
        <v>3</v>
      </c>
      <c r="E366" s="15" t="s">
        <v>216</v>
      </c>
      <c r="F366" s="169" t="s">
        <v>1118</v>
      </c>
      <c r="G366" s="17">
        <v>1495985</v>
      </c>
      <c r="H366" s="52" t="s">
        <v>61</v>
      </c>
      <c r="I366" s="15" t="s">
        <v>603</v>
      </c>
      <c r="J366" s="52" t="s">
        <v>61</v>
      </c>
      <c r="K366" s="15" t="s">
        <v>146</v>
      </c>
      <c r="L366" s="15" t="s">
        <v>150</v>
      </c>
      <c r="M366" s="15" t="s">
        <v>217</v>
      </c>
      <c r="N366" s="15" t="s">
        <v>1116</v>
      </c>
      <c r="O366" s="77" t="s">
        <v>61</v>
      </c>
      <c r="P366" s="17" t="s">
        <v>259</v>
      </c>
      <c r="Q366" s="18"/>
      <c r="R366" s="52" t="s">
        <v>61</v>
      </c>
      <c r="S366" s="15" t="s">
        <v>70</v>
      </c>
      <c r="T366" s="15"/>
      <c r="U366" s="15"/>
      <c r="V366" s="15">
        <v>42</v>
      </c>
      <c r="W366" s="15">
        <f>V366</f>
        <v>42</v>
      </c>
      <c r="X366" s="15">
        <f t="shared" si="72"/>
        <v>42</v>
      </c>
      <c r="Y366" s="15">
        <f>ROUNDDOWN(W366/HLOOKUP(D366,Table!$C$3:$D$4,2,0)*8,2)</f>
        <v>0.74</v>
      </c>
      <c r="Z366" s="15">
        <v>0.5</v>
      </c>
      <c r="AA366" s="15" t="s">
        <v>74</v>
      </c>
      <c r="AB366" s="19">
        <v>43985</v>
      </c>
      <c r="AC366" s="19">
        <v>43985</v>
      </c>
      <c r="AD366" s="99">
        <v>43985</v>
      </c>
      <c r="AE366" s="19">
        <v>43985</v>
      </c>
      <c r="AF366" s="19">
        <v>43985</v>
      </c>
      <c r="AG366" s="19" t="s">
        <v>176</v>
      </c>
      <c r="AH366" s="31">
        <v>1</v>
      </c>
      <c r="AI366" s="31">
        <v>1</v>
      </c>
      <c r="AJ366" s="31">
        <v>1</v>
      </c>
      <c r="AK366" s="19" t="s">
        <v>150</v>
      </c>
      <c r="AL366" s="17" t="s">
        <v>61</v>
      </c>
      <c r="AM366" s="15" t="s">
        <v>61</v>
      </c>
      <c r="AN366" s="15"/>
    </row>
    <row r="367" spans="1:40" x14ac:dyDescent="0.25">
      <c r="B367" s="193">
        <f t="shared" si="65"/>
        <v>308</v>
      </c>
      <c r="C367" s="16">
        <v>20200603</v>
      </c>
      <c r="D367" s="15" t="s">
        <v>3</v>
      </c>
      <c r="E367" s="15" t="s">
        <v>216</v>
      </c>
      <c r="F367" s="169" t="s">
        <v>1119</v>
      </c>
      <c r="G367" s="17">
        <v>1495985</v>
      </c>
      <c r="H367" s="52" t="s">
        <v>61</v>
      </c>
      <c r="I367" s="15" t="s">
        <v>233</v>
      </c>
      <c r="J367" s="52" t="s">
        <v>61</v>
      </c>
      <c r="K367" s="15" t="s">
        <v>146</v>
      </c>
      <c r="L367" s="15" t="s">
        <v>150</v>
      </c>
      <c r="M367" s="15" t="s">
        <v>217</v>
      </c>
      <c r="N367" s="15" t="s">
        <v>1116</v>
      </c>
      <c r="O367" s="77" t="s">
        <v>61</v>
      </c>
      <c r="P367" s="17" t="s">
        <v>259</v>
      </c>
      <c r="Q367" s="18"/>
      <c r="R367" s="52" t="s">
        <v>61</v>
      </c>
      <c r="S367" s="15" t="s">
        <v>70</v>
      </c>
      <c r="T367" s="15"/>
      <c r="U367" s="15"/>
      <c r="V367" s="15">
        <v>117</v>
      </c>
      <c r="W367" s="15">
        <f t="shared" ref="W367:W373" si="73">V367</f>
        <v>117</v>
      </c>
      <c r="X367" s="15">
        <f t="shared" si="72"/>
        <v>117</v>
      </c>
      <c r="Y367" s="15">
        <f>ROUNDDOWN(W367/HLOOKUP(D367,Table!$C$3:$D$4,2,0)*8,2)</f>
        <v>2.08</v>
      </c>
      <c r="Z367" s="15">
        <v>1</v>
      </c>
      <c r="AA367" s="15" t="s">
        <v>74</v>
      </c>
      <c r="AB367" s="19">
        <v>43985</v>
      </c>
      <c r="AC367" s="19">
        <v>43985</v>
      </c>
      <c r="AD367" s="99">
        <v>43985</v>
      </c>
      <c r="AE367" s="19">
        <v>43985</v>
      </c>
      <c r="AF367" s="19">
        <v>43985</v>
      </c>
      <c r="AG367" s="19" t="s">
        <v>176</v>
      </c>
      <c r="AH367" s="31">
        <v>1</v>
      </c>
      <c r="AI367" s="31">
        <v>1</v>
      </c>
      <c r="AJ367" s="31">
        <v>1</v>
      </c>
      <c r="AK367" s="19" t="s">
        <v>150</v>
      </c>
      <c r="AL367" s="17" t="s">
        <v>61</v>
      </c>
      <c r="AM367" s="15" t="s">
        <v>61</v>
      </c>
      <c r="AN367" s="15"/>
    </row>
    <row r="368" spans="1:40" x14ac:dyDescent="0.25">
      <c r="B368" s="193">
        <f t="shared" si="65"/>
        <v>309</v>
      </c>
      <c r="C368" s="16">
        <v>20200603</v>
      </c>
      <c r="D368" s="15" t="s">
        <v>3</v>
      </c>
      <c r="E368" s="15" t="s">
        <v>216</v>
      </c>
      <c r="F368" s="169" t="s">
        <v>1120</v>
      </c>
      <c r="G368" s="17">
        <v>1495985</v>
      </c>
      <c r="H368" s="52" t="s">
        <v>61</v>
      </c>
      <c r="I368" s="15" t="s">
        <v>1112</v>
      </c>
      <c r="J368" s="52" t="s">
        <v>61</v>
      </c>
      <c r="K368" s="15" t="s">
        <v>146</v>
      </c>
      <c r="L368" s="15" t="s">
        <v>150</v>
      </c>
      <c r="M368" s="15" t="s">
        <v>217</v>
      </c>
      <c r="N368" s="15" t="s">
        <v>1116</v>
      </c>
      <c r="O368" s="77" t="s">
        <v>61</v>
      </c>
      <c r="P368" s="17" t="s">
        <v>259</v>
      </c>
      <c r="Q368" s="18"/>
      <c r="R368" s="52" t="s">
        <v>61</v>
      </c>
      <c r="S368" s="15" t="s">
        <v>70</v>
      </c>
      <c r="T368" s="15"/>
      <c r="U368" s="15"/>
      <c r="V368" s="15">
        <v>90</v>
      </c>
      <c r="W368" s="15">
        <f t="shared" si="73"/>
        <v>90</v>
      </c>
      <c r="X368" s="15">
        <f t="shared" si="72"/>
        <v>90</v>
      </c>
      <c r="Y368" s="15">
        <f>ROUNDDOWN(W368/HLOOKUP(D368,Table!$C$3:$D$4,2,0)*8,2)</f>
        <v>1.6</v>
      </c>
      <c r="Z368" s="15">
        <v>0.5</v>
      </c>
      <c r="AA368" s="15" t="s">
        <v>74</v>
      </c>
      <c r="AB368" s="19">
        <v>43985</v>
      </c>
      <c r="AC368" s="19">
        <v>43985</v>
      </c>
      <c r="AD368" s="99">
        <v>43985</v>
      </c>
      <c r="AE368" s="19">
        <v>43985</v>
      </c>
      <c r="AF368" s="19">
        <v>43985</v>
      </c>
      <c r="AG368" s="19" t="s">
        <v>176</v>
      </c>
      <c r="AH368" s="31">
        <v>1</v>
      </c>
      <c r="AI368" s="31">
        <v>1</v>
      </c>
      <c r="AJ368" s="31">
        <v>1</v>
      </c>
      <c r="AK368" s="19" t="s">
        <v>150</v>
      </c>
      <c r="AL368" s="17" t="s">
        <v>61</v>
      </c>
      <c r="AM368" s="15" t="s">
        <v>61</v>
      </c>
      <c r="AN368" s="15"/>
    </row>
    <row r="369" spans="2:40" x14ac:dyDescent="0.25">
      <c r="B369" s="193">
        <f t="shared" si="65"/>
        <v>310</v>
      </c>
      <c r="C369" s="16">
        <v>20200603</v>
      </c>
      <c r="D369" s="15" t="s">
        <v>3</v>
      </c>
      <c r="E369" s="15" t="s">
        <v>216</v>
      </c>
      <c r="F369" s="169" t="s">
        <v>1121</v>
      </c>
      <c r="G369" s="17">
        <v>1495985</v>
      </c>
      <c r="H369" s="52" t="s">
        <v>61</v>
      </c>
      <c r="I369" s="15" t="s">
        <v>241</v>
      </c>
      <c r="J369" s="52" t="s">
        <v>61</v>
      </c>
      <c r="K369" s="15" t="s">
        <v>146</v>
      </c>
      <c r="L369" s="15" t="s">
        <v>150</v>
      </c>
      <c r="M369" s="15" t="s">
        <v>217</v>
      </c>
      <c r="N369" s="15" t="s">
        <v>1116</v>
      </c>
      <c r="O369" s="77" t="s">
        <v>61</v>
      </c>
      <c r="P369" s="17" t="s">
        <v>259</v>
      </c>
      <c r="Q369" s="18"/>
      <c r="R369" s="52" t="s">
        <v>61</v>
      </c>
      <c r="S369" s="15" t="s">
        <v>70</v>
      </c>
      <c r="T369" s="15"/>
      <c r="U369" s="15"/>
      <c r="V369" s="15">
        <v>27</v>
      </c>
      <c r="W369" s="15">
        <f t="shared" si="73"/>
        <v>27</v>
      </c>
      <c r="X369" s="15">
        <f t="shared" si="72"/>
        <v>27</v>
      </c>
      <c r="Y369" s="15">
        <f>ROUNDDOWN(W369/HLOOKUP(D369,Table!$C$3:$D$4,2,0)*8,2)</f>
        <v>0.48</v>
      </c>
      <c r="Z369" s="15">
        <v>0.5</v>
      </c>
      <c r="AA369" s="15" t="s">
        <v>74</v>
      </c>
      <c r="AB369" s="19">
        <v>43985</v>
      </c>
      <c r="AC369" s="19">
        <v>43985</v>
      </c>
      <c r="AD369" s="99">
        <v>43985</v>
      </c>
      <c r="AE369" s="19">
        <v>43985</v>
      </c>
      <c r="AF369" s="19">
        <v>43985</v>
      </c>
      <c r="AG369" s="19" t="s">
        <v>176</v>
      </c>
      <c r="AH369" s="31">
        <v>1</v>
      </c>
      <c r="AI369" s="31">
        <v>1</v>
      </c>
      <c r="AJ369" s="31">
        <v>1</v>
      </c>
      <c r="AK369" s="19" t="s">
        <v>150</v>
      </c>
      <c r="AL369" s="17" t="s">
        <v>61</v>
      </c>
      <c r="AM369" s="15" t="s">
        <v>61</v>
      </c>
      <c r="AN369" s="15"/>
    </row>
    <row r="370" spans="2:40" x14ac:dyDescent="0.25">
      <c r="B370" s="193">
        <f t="shared" si="65"/>
        <v>311</v>
      </c>
      <c r="C370" s="16">
        <v>20200603</v>
      </c>
      <c r="D370" s="15" t="s">
        <v>2</v>
      </c>
      <c r="E370" s="15" t="s">
        <v>1111</v>
      </c>
      <c r="F370" s="17" t="s">
        <v>61</v>
      </c>
      <c r="G370" s="17">
        <v>1497370</v>
      </c>
      <c r="H370" s="52" t="s">
        <v>61</v>
      </c>
      <c r="I370" s="15" t="s">
        <v>1113</v>
      </c>
      <c r="J370" s="52" t="s">
        <v>61</v>
      </c>
      <c r="K370" s="15" t="s">
        <v>146</v>
      </c>
      <c r="L370" s="15" t="s">
        <v>150</v>
      </c>
      <c r="M370" s="15" t="s">
        <v>1114</v>
      </c>
      <c r="N370" s="15" t="s">
        <v>1117</v>
      </c>
      <c r="O370" s="195" t="s">
        <v>1115</v>
      </c>
      <c r="P370" s="194" t="s">
        <v>305</v>
      </c>
      <c r="Q370" s="18"/>
      <c r="R370" s="52" t="s">
        <v>61</v>
      </c>
      <c r="S370" s="15" t="s">
        <v>67</v>
      </c>
      <c r="T370" s="15"/>
      <c r="U370" s="15"/>
      <c r="V370" s="15">
        <v>150</v>
      </c>
      <c r="W370" s="15">
        <f t="shared" si="73"/>
        <v>150</v>
      </c>
      <c r="X370" s="15">
        <f t="shared" si="72"/>
        <v>150</v>
      </c>
      <c r="Y370" s="15">
        <f>ROUNDDOWN(W370/HLOOKUP(D370,Table!$C$3:$D$4,2,0)*8,2)</f>
        <v>9.23</v>
      </c>
      <c r="Z370" s="15">
        <v>9</v>
      </c>
      <c r="AA370" s="15" t="s">
        <v>74</v>
      </c>
      <c r="AB370" s="19">
        <v>43986</v>
      </c>
      <c r="AC370" s="19">
        <v>43985</v>
      </c>
      <c r="AD370" s="99">
        <v>43986</v>
      </c>
      <c r="AE370" s="19">
        <v>43986</v>
      </c>
      <c r="AF370" s="19">
        <v>43986</v>
      </c>
      <c r="AG370" s="19" t="s">
        <v>177</v>
      </c>
      <c r="AH370" s="31">
        <v>0.92100000000000004</v>
      </c>
      <c r="AI370" s="31">
        <v>0.93200000000000005</v>
      </c>
      <c r="AJ370" s="31">
        <v>1</v>
      </c>
      <c r="AK370" s="19" t="s">
        <v>139</v>
      </c>
      <c r="AL370" s="15" t="s">
        <v>1247</v>
      </c>
      <c r="AM370" s="15"/>
      <c r="AN370" s="15" t="s">
        <v>1239</v>
      </c>
    </row>
    <row r="371" spans="2:40" x14ac:dyDescent="0.25">
      <c r="B371" s="196">
        <f t="shared" si="65"/>
        <v>312</v>
      </c>
      <c r="C371" s="16">
        <v>20200603</v>
      </c>
      <c r="D371" s="15" t="s">
        <v>2</v>
      </c>
      <c r="E371" s="15" t="s">
        <v>1122</v>
      </c>
      <c r="F371" s="17" t="s">
        <v>61</v>
      </c>
      <c r="G371" s="17">
        <v>1501554</v>
      </c>
      <c r="H371" s="52" t="s">
        <v>61</v>
      </c>
      <c r="I371" s="15" t="s">
        <v>1123</v>
      </c>
      <c r="J371" s="52" t="s">
        <v>61</v>
      </c>
      <c r="K371" s="15" t="s">
        <v>146</v>
      </c>
      <c r="L371" s="15" t="s">
        <v>150</v>
      </c>
      <c r="M371" s="15" t="s">
        <v>1128</v>
      </c>
      <c r="N371" s="178" t="s">
        <v>299</v>
      </c>
      <c r="O371" s="17" t="s">
        <v>1125</v>
      </c>
      <c r="P371" s="15" t="s">
        <v>1127</v>
      </c>
      <c r="Q371" s="18"/>
      <c r="R371" s="52" t="s">
        <v>61</v>
      </c>
      <c r="S371" s="15" t="s">
        <v>67</v>
      </c>
      <c r="T371" s="15"/>
      <c r="U371" s="15"/>
      <c r="V371" s="15">
        <v>83</v>
      </c>
      <c r="W371" s="84">
        <f>V371-V371+91</f>
        <v>91</v>
      </c>
      <c r="X371" s="15">
        <f>W371</f>
        <v>91</v>
      </c>
      <c r="Y371" s="15">
        <f>ROUNDDOWN(W371/HLOOKUP(D371,Table!$C$3:$D$4,2,0)*8,2)</f>
        <v>5.6</v>
      </c>
      <c r="Z371" s="15">
        <v>4</v>
      </c>
      <c r="AA371" s="15" t="s">
        <v>74</v>
      </c>
      <c r="AB371" s="19">
        <v>43991</v>
      </c>
      <c r="AC371" s="19">
        <v>43985</v>
      </c>
      <c r="AD371" s="99">
        <v>43991</v>
      </c>
      <c r="AE371" s="19">
        <v>43991</v>
      </c>
      <c r="AF371" s="19">
        <v>43991</v>
      </c>
      <c r="AG371" s="19" t="s">
        <v>176</v>
      </c>
      <c r="AH371" s="31">
        <v>1</v>
      </c>
      <c r="AI371" s="31">
        <v>1</v>
      </c>
      <c r="AJ371" s="31">
        <v>1</v>
      </c>
      <c r="AK371" s="19" t="s">
        <v>150</v>
      </c>
      <c r="AL371" s="15"/>
      <c r="AM371" s="15"/>
      <c r="AN371" s="15"/>
    </row>
    <row r="372" spans="2:40" x14ac:dyDescent="0.25">
      <c r="B372" s="196">
        <f t="shared" si="65"/>
        <v>313</v>
      </c>
      <c r="C372" s="16">
        <v>20200603</v>
      </c>
      <c r="D372" s="15" t="s">
        <v>2</v>
      </c>
      <c r="E372" s="15" t="s">
        <v>1122</v>
      </c>
      <c r="F372" s="17" t="s">
        <v>61</v>
      </c>
      <c r="G372" s="17">
        <v>1501554</v>
      </c>
      <c r="H372" s="52" t="s">
        <v>61</v>
      </c>
      <c r="I372" s="15" t="s">
        <v>1124</v>
      </c>
      <c r="J372" s="52" t="s">
        <v>61</v>
      </c>
      <c r="K372" s="15" t="s">
        <v>146</v>
      </c>
      <c r="L372" s="15" t="s">
        <v>150</v>
      </c>
      <c r="M372" s="15" t="s">
        <v>1128</v>
      </c>
      <c r="N372" s="220" t="s">
        <v>299</v>
      </c>
      <c r="O372" s="17" t="s">
        <v>1126</v>
      </c>
      <c r="P372" s="15" t="s">
        <v>1127</v>
      </c>
      <c r="Q372" s="18"/>
      <c r="R372" s="52" t="s">
        <v>61</v>
      </c>
      <c r="S372" s="15" t="s">
        <v>67</v>
      </c>
      <c r="T372" s="15"/>
      <c r="U372" s="15"/>
      <c r="V372" s="15">
        <v>50</v>
      </c>
      <c r="W372" s="84">
        <f>V372-V372+54</f>
        <v>54</v>
      </c>
      <c r="X372" s="15">
        <f>W372</f>
        <v>54</v>
      </c>
      <c r="Y372" s="15">
        <f>ROUNDDOWN(W372/HLOOKUP(D372,Table!$C$3:$D$4,2,0)*8,2)</f>
        <v>3.32</v>
      </c>
      <c r="Z372" s="15">
        <v>2</v>
      </c>
      <c r="AA372" s="15" t="s">
        <v>74</v>
      </c>
      <c r="AB372" s="19">
        <v>43991</v>
      </c>
      <c r="AC372" s="19">
        <v>43985</v>
      </c>
      <c r="AD372" s="99">
        <v>43991</v>
      </c>
      <c r="AE372" s="19">
        <v>43991</v>
      </c>
      <c r="AF372" s="19">
        <v>43991</v>
      </c>
      <c r="AG372" s="19" t="s">
        <v>176</v>
      </c>
      <c r="AH372" s="31">
        <v>1</v>
      </c>
      <c r="AI372" s="31">
        <v>1</v>
      </c>
      <c r="AJ372" s="31">
        <v>1</v>
      </c>
      <c r="AK372" s="19" t="s">
        <v>150</v>
      </c>
      <c r="AL372" s="15"/>
      <c r="AM372" s="15"/>
      <c r="AN372" s="15"/>
    </row>
    <row r="373" spans="2:40" x14ac:dyDescent="0.25">
      <c r="B373" s="41">
        <f t="shared" si="65"/>
        <v>314</v>
      </c>
      <c r="C373" s="16">
        <v>20200603</v>
      </c>
      <c r="D373" s="15" t="s">
        <v>2</v>
      </c>
      <c r="E373" s="15" t="s">
        <v>1130</v>
      </c>
      <c r="F373" s="17" t="s">
        <v>61</v>
      </c>
      <c r="G373" s="17">
        <v>1498630</v>
      </c>
      <c r="H373" s="52" t="s">
        <v>61</v>
      </c>
      <c r="I373" s="15" t="s">
        <v>1137</v>
      </c>
      <c r="J373" s="52" t="s">
        <v>61</v>
      </c>
      <c r="K373" s="15" t="s">
        <v>146</v>
      </c>
      <c r="L373" s="15" t="s">
        <v>150</v>
      </c>
      <c r="M373" s="80" t="s">
        <v>1159</v>
      </c>
      <c r="N373" s="15">
        <v>1498630</v>
      </c>
      <c r="O373" s="17">
        <v>1.3</v>
      </c>
      <c r="P373" s="17" t="s">
        <v>1158</v>
      </c>
      <c r="Q373" s="18"/>
      <c r="R373" s="52" t="s">
        <v>61</v>
      </c>
      <c r="S373" s="15" t="s">
        <v>67</v>
      </c>
      <c r="T373" s="15"/>
      <c r="U373" s="15"/>
      <c r="V373" s="15">
        <v>72</v>
      </c>
      <c r="W373" s="15">
        <f t="shared" si="73"/>
        <v>72</v>
      </c>
      <c r="X373" s="15">
        <f>W373</f>
        <v>72</v>
      </c>
      <c r="Y373" s="15">
        <f>ROUNDDOWN(W373/HLOOKUP(D373,Table!$C$3:$D$4,2,0)*8,2)</f>
        <v>4.43</v>
      </c>
      <c r="Z373" s="15">
        <v>2</v>
      </c>
      <c r="AA373" s="15" t="s">
        <v>74</v>
      </c>
      <c r="AB373" s="19">
        <v>43987</v>
      </c>
      <c r="AC373" s="19">
        <v>43985</v>
      </c>
      <c r="AD373" s="99">
        <v>43986</v>
      </c>
      <c r="AE373" s="19">
        <v>43987</v>
      </c>
      <c r="AF373" s="19">
        <v>43987</v>
      </c>
      <c r="AG373" s="19" t="s">
        <v>177</v>
      </c>
      <c r="AH373" s="31">
        <v>0.90500000000000003</v>
      </c>
      <c r="AI373" s="31">
        <v>0.90900000000000003</v>
      </c>
      <c r="AJ373" s="31">
        <v>0.85699999999999998</v>
      </c>
      <c r="AK373" s="19" t="s">
        <v>139</v>
      </c>
      <c r="AL373" s="15" t="s">
        <v>1282</v>
      </c>
      <c r="AM373" s="15"/>
      <c r="AN373" s="15" t="s">
        <v>1239</v>
      </c>
    </row>
    <row r="374" spans="2:40" x14ac:dyDescent="0.25">
      <c r="B374" s="41">
        <f t="shared" si="65"/>
        <v>315</v>
      </c>
      <c r="C374" s="16">
        <v>20200603</v>
      </c>
      <c r="D374" s="15" t="s">
        <v>3</v>
      </c>
      <c r="E374" s="15" t="s">
        <v>1131</v>
      </c>
      <c r="F374" s="169" t="s">
        <v>1210</v>
      </c>
      <c r="G374" s="17">
        <v>1496822</v>
      </c>
      <c r="H374" s="52" t="s">
        <v>61</v>
      </c>
      <c r="I374" s="15" t="s">
        <v>500</v>
      </c>
      <c r="J374" s="52" t="s">
        <v>61</v>
      </c>
      <c r="K374" s="15" t="s">
        <v>146</v>
      </c>
      <c r="L374" s="15" t="s">
        <v>1161</v>
      </c>
      <c r="M374" s="80" t="s">
        <v>1188</v>
      </c>
      <c r="N374" s="15" t="s">
        <v>1160</v>
      </c>
      <c r="O374" s="77" t="s">
        <v>61</v>
      </c>
      <c r="P374" s="17" t="s">
        <v>1162</v>
      </c>
      <c r="Q374" s="18"/>
      <c r="R374" s="52" t="s">
        <v>61</v>
      </c>
      <c r="S374" s="15" t="s">
        <v>142</v>
      </c>
      <c r="T374" s="15"/>
      <c r="U374" s="15"/>
      <c r="V374" s="15">
        <v>34</v>
      </c>
      <c r="W374" s="15">
        <f>V374</f>
        <v>34</v>
      </c>
      <c r="X374" s="15">
        <f>W374</f>
        <v>34</v>
      </c>
      <c r="Y374" s="15">
        <f>ROUNDDOWN(W374/HLOOKUP(D374,Table!$C$3:$D$4,2,0)*8,2)</f>
        <v>0.6</v>
      </c>
      <c r="Z374" s="15">
        <v>0.2</v>
      </c>
      <c r="AA374" s="15" t="s">
        <v>74</v>
      </c>
      <c r="AB374" s="19">
        <v>43994</v>
      </c>
      <c r="AC374" s="19">
        <v>43985</v>
      </c>
      <c r="AD374" s="172">
        <v>43996</v>
      </c>
      <c r="AE374" s="19">
        <v>43994</v>
      </c>
      <c r="AF374" s="19">
        <v>43994</v>
      </c>
      <c r="AG374" s="19" t="s">
        <v>176</v>
      </c>
      <c r="AH374" s="31">
        <v>1</v>
      </c>
      <c r="AI374" s="31">
        <v>1</v>
      </c>
      <c r="AJ374" s="31">
        <v>1</v>
      </c>
      <c r="AK374" s="19" t="s">
        <v>150</v>
      </c>
      <c r="AL374" s="17" t="s">
        <v>61</v>
      </c>
      <c r="AM374" s="17" t="s">
        <v>61</v>
      </c>
      <c r="AN374" s="17" t="s">
        <v>61</v>
      </c>
    </row>
    <row r="375" spans="2:40" x14ac:dyDescent="0.25">
      <c r="B375" s="41">
        <f t="shared" si="65"/>
        <v>316</v>
      </c>
      <c r="C375" s="16">
        <v>20200603</v>
      </c>
      <c r="D375" s="15" t="s">
        <v>3</v>
      </c>
      <c r="E375" s="15" t="s">
        <v>1131</v>
      </c>
      <c r="F375" s="169" t="s">
        <v>1211</v>
      </c>
      <c r="G375" s="17">
        <v>1496822</v>
      </c>
      <c r="H375" s="52" t="s">
        <v>61</v>
      </c>
      <c r="I375" s="15" t="s">
        <v>225</v>
      </c>
      <c r="J375" s="52" t="s">
        <v>61</v>
      </c>
      <c r="K375" s="15" t="s">
        <v>146</v>
      </c>
      <c r="L375" s="15" t="s">
        <v>1161</v>
      </c>
      <c r="M375" s="80" t="s">
        <v>1188</v>
      </c>
      <c r="N375" s="15" t="s">
        <v>1160</v>
      </c>
      <c r="O375" s="77" t="s">
        <v>61</v>
      </c>
      <c r="P375" s="17" t="s">
        <v>1162</v>
      </c>
      <c r="Q375" s="18"/>
      <c r="R375" s="52" t="s">
        <v>61</v>
      </c>
      <c r="S375" s="15" t="s">
        <v>142</v>
      </c>
      <c r="T375" s="15"/>
      <c r="U375" s="15"/>
      <c r="V375" s="15">
        <v>144</v>
      </c>
      <c r="W375" s="15">
        <f t="shared" ref="W375:X404" si="74">V375</f>
        <v>144</v>
      </c>
      <c r="X375" s="15">
        <f t="shared" si="74"/>
        <v>144</v>
      </c>
      <c r="Y375" s="15">
        <f>ROUNDDOWN(W375/HLOOKUP(D375,Table!$C$3:$D$4,2,0)*8,2)</f>
        <v>2.56</v>
      </c>
      <c r="Z375" s="15">
        <v>0.5</v>
      </c>
      <c r="AA375" s="15" t="s">
        <v>74</v>
      </c>
      <c r="AB375" s="19">
        <v>43994</v>
      </c>
      <c r="AC375" s="19">
        <v>43985</v>
      </c>
      <c r="AD375" s="172">
        <v>43996</v>
      </c>
      <c r="AE375" s="19">
        <v>43994</v>
      </c>
      <c r="AF375" s="19">
        <v>43994</v>
      </c>
      <c r="AG375" s="19" t="s">
        <v>176</v>
      </c>
      <c r="AH375" s="31">
        <v>1</v>
      </c>
      <c r="AI375" s="31">
        <v>1</v>
      </c>
      <c r="AJ375" s="31">
        <v>1</v>
      </c>
      <c r="AK375" s="19" t="s">
        <v>150</v>
      </c>
      <c r="AL375" s="17" t="s">
        <v>61</v>
      </c>
      <c r="AM375" s="17" t="s">
        <v>61</v>
      </c>
      <c r="AN375" s="17" t="s">
        <v>61</v>
      </c>
    </row>
    <row r="376" spans="2:40" x14ac:dyDescent="0.25">
      <c r="B376" s="41">
        <f t="shared" si="65"/>
        <v>317</v>
      </c>
      <c r="C376" s="16">
        <v>20200603</v>
      </c>
      <c r="D376" s="15" t="s">
        <v>3</v>
      </c>
      <c r="E376" s="15" t="s">
        <v>1131</v>
      </c>
      <c r="F376" s="169" t="s">
        <v>1209</v>
      </c>
      <c r="G376" s="17">
        <v>1496822</v>
      </c>
      <c r="H376" s="52" t="s">
        <v>61</v>
      </c>
      <c r="I376" s="15" t="s">
        <v>252</v>
      </c>
      <c r="J376" s="52" t="s">
        <v>61</v>
      </c>
      <c r="K376" s="15" t="s">
        <v>146</v>
      </c>
      <c r="L376" s="15" t="s">
        <v>1161</v>
      </c>
      <c r="M376" s="80" t="s">
        <v>1188</v>
      </c>
      <c r="N376" s="15" t="s">
        <v>1160</v>
      </c>
      <c r="O376" s="77" t="s">
        <v>61</v>
      </c>
      <c r="P376" s="17" t="s">
        <v>1162</v>
      </c>
      <c r="Q376" s="18"/>
      <c r="R376" s="52" t="s">
        <v>61</v>
      </c>
      <c r="S376" s="15" t="s">
        <v>142</v>
      </c>
      <c r="T376" s="15"/>
      <c r="U376" s="15"/>
      <c r="V376" s="15">
        <v>16</v>
      </c>
      <c r="W376" s="15">
        <v>0</v>
      </c>
      <c r="X376" s="15">
        <f>W376</f>
        <v>0</v>
      </c>
      <c r="Y376" s="15">
        <f>ROUNDDOWN(W376/HLOOKUP(D376,Table!$C$3:$D$4,2,0)*8,2)</f>
        <v>0</v>
      </c>
      <c r="Z376" s="15">
        <v>0.1</v>
      </c>
      <c r="AA376" s="15" t="s">
        <v>74</v>
      </c>
      <c r="AB376" s="19">
        <v>43994</v>
      </c>
      <c r="AC376" s="19">
        <v>43985</v>
      </c>
      <c r="AD376" s="172">
        <v>43996</v>
      </c>
      <c r="AE376" s="19">
        <v>43994</v>
      </c>
      <c r="AF376" s="19">
        <v>43994</v>
      </c>
      <c r="AG376" s="19" t="s">
        <v>176</v>
      </c>
      <c r="AH376" s="79" t="s">
        <v>61</v>
      </c>
      <c r="AI376" s="79" t="s">
        <v>61</v>
      </c>
      <c r="AJ376" s="79" t="s">
        <v>61</v>
      </c>
      <c r="AK376" s="19" t="s">
        <v>150</v>
      </c>
      <c r="AL376" s="17" t="s">
        <v>61</v>
      </c>
      <c r="AM376" s="17" t="s">
        <v>61</v>
      </c>
      <c r="AN376" s="17" t="s">
        <v>1281</v>
      </c>
    </row>
    <row r="377" spans="2:40" x14ac:dyDescent="0.25">
      <c r="B377" s="41">
        <f t="shared" si="65"/>
        <v>318</v>
      </c>
      <c r="C377" s="16">
        <v>20200603</v>
      </c>
      <c r="D377" s="15" t="s">
        <v>3</v>
      </c>
      <c r="E377" s="15" t="s">
        <v>1131</v>
      </c>
      <c r="F377" s="169" t="s">
        <v>1212</v>
      </c>
      <c r="G377" s="17">
        <v>1496822</v>
      </c>
      <c r="H377" s="52" t="s">
        <v>61</v>
      </c>
      <c r="I377" s="15" t="s">
        <v>1138</v>
      </c>
      <c r="J377" s="52" t="s">
        <v>61</v>
      </c>
      <c r="K377" s="15" t="s">
        <v>146</v>
      </c>
      <c r="L377" s="15" t="s">
        <v>1161</v>
      </c>
      <c r="M377" s="80" t="s">
        <v>1188</v>
      </c>
      <c r="N377" s="15" t="s">
        <v>1160</v>
      </c>
      <c r="O377" s="77" t="s">
        <v>61</v>
      </c>
      <c r="P377" s="17" t="s">
        <v>1162</v>
      </c>
      <c r="Q377" s="18"/>
      <c r="R377" s="52" t="s">
        <v>61</v>
      </c>
      <c r="S377" s="15" t="s">
        <v>142</v>
      </c>
      <c r="T377" s="15"/>
      <c r="U377" s="15"/>
      <c r="V377" s="15">
        <v>33</v>
      </c>
      <c r="W377" s="15">
        <f t="shared" si="74"/>
        <v>33</v>
      </c>
      <c r="X377" s="15">
        <f t="shared" si="74"/>
        <v>33</v>
      </c>
      <c r="Y377" s="15">
        <f>ROUNDDOWN(W377/HLOOKUP(D377,Table!$C$3:$D$4,2,0)*8,2)</f>
        <v>0.57999999999999996</v>
      </c>
      <c r="Z377" s="15">
        <v>0.2</v>
      </c>
      <c r="AA377" s="15" t="s">
        <v>74</v>
      </c>
      <c r="AB377" s="19">
        <v>43994</v>
      </c>
      <c r="AC377" s="19">
        <v>43985</v>
      </c>
      <c r="AD377" s="172">
        <v>43996</v>
      </c>
      <c r="AE377" s="19">
        <v>43994</v>
      </c>
      <c r="AF377" s="19">
        <v>43994</v>
      </c>
      <c r="AG377" s="19" t="s">
        <v>176</v>
      </c>
      <c r="AH377" s="31">
        <v>1</v>
      </c>
      <c r="AI377" s="31">
        <v>1</v>
      </c>
      <c r="AJ377" s="31">
        <v>1</v>
      </c>
      <c r="AK377" s="19" t="s">
        <v>150</v>
      </c>
      <c r="AL377" s="17" t="s">
        <v>61</v>
      </c>
      <c r="AM377" s="17" t="s">
        <v>61</v>
      </c>
      <c r="AN377" s="17" t="s">
        <v>61</v>
      </c>
    </row>
    <row r="378" spans="2:40" x14ac:dyDescent="0.25">
      <c r="B378" s="41">
        <f t="shared" si="65"/>
        <v>319</v>
      </c>
      <c r="C378" s="16">
        <v>20200603</v>
      </c>
      <c r="D378" s="15" t="s">
        <v>3</v>
      </c>
      <c r="E378" s="15" t="s">
        <v>1131</v>
      </c>
      <c r="F378" s="169" t="s">
        <v>1213</v>
      </c>
      <c r="G378" s="17">
        <v>1496822</v>
      </c>
      <c r="H378" s="52" t="s">
        <v>61</v>
      </c>
      <c r="I378" s="15" t="s">
        <v>1139</v>
      </c>
      <c r="J378" s="52" t="s">
        <v>61</v>
      </c>
      <c r="K378" s="15" t="s">
        <v>146</v>
      </c>
      <c r="L378" s="15" t="s">
        <v>1161</v>
      </c>
      <c r="M378" s="80" t="s">
        <v>1188</v>
      </c>
      <c r="N378" s="15" t="s">
        <v>1160</v>
      </c>
      <c r="O378" s="77" t="s">
        <v>61</v>
      </c>
      <c r="P378" s="17" t="s">
        <v>1162</v>
      </c>
      <c r="Q378" s="18"/>
      <c r="R378" s="52" t="s">
        <v>61</v>
      </c>
      <c r="S378" s="15" t="s">
        <v>69</v>
      </c>
      <c r="T378" s="15"/>
      <c r="U378" s="15"/>
      <c r="V378" s="15">
        <v>23</v>
      </c>
      <c r="W378" s="15">
        <v>0</v>
      </c>
      <c r="X378" s="15">
        <f t="shared" si="74"/>
        <v>0</v>
      </c>
      <c r="Y378" s="15">
        <f>ROUNDDOWN(W378/HLOOKUP(D378,Table!$C$3:$D$4,2,0)*8,2)</f>
        <v>0</v>
      </c>
      <c r="Z378" s="15">
        <v>0.2</v>
      </c>
      <c r="AA378" s="15" t="s">
        <v>74</v>
      </c>
      <c r="AB378" s="19">
        <v>43994</v>
      </c>
      <c r="AC378" s="19">
        <v>43985</v>
      </c>
      <c r="AD378" s="172">
        <v>43996</v>
      </c>
      <c r="AE378" s="19">
        <v>43986</v>
      </c>
      <c r="AF378" s="19">
        <v>43986</v>
      </c>
      <c r="AG378" s="19" t="s">
        <v>176</v>
      </c>
      <c r="AH378" s="31" t="s">
        <v>61</v>
      </c>
      <c r="AI378" s="31" t="s">
        <v>61</v>
      </c>
      <c r="AJ378" s="31" t="s">
        <v>61</v>
      </c>
      <c r="AK378" s="19" t="s">
        <v>150</v>
      </c>
      <c r="AL378" s="17" t="s">
        <v>61</v>
      </c>
      <c r="AM378" s="17" t="s">
        <v>61</v>
      </c>
      <c r="AN378" s="17" t="s">
        <v>1281</v>
      </c>
    </row>
    <row r="379" spans="2:40" x14ac:dyDescent="0.25">
      <c r="B379" s="41">
        <f t="shared" si="65"/>
        <v>320</v>
      </c>
      <c r="C379" s="16">
        <v>20200603</v>
      </c>
      <c r="D379" s="15" t="s">
        <v>3</v>
      </c>
      <c r="E379" s="15" t="s">
        <v>1131</v>
      </c>
      <c r="F379" s="169" t="s">
        <v>1214</v>
      </c>
      <c r="G379" s="17">
        <v>1496822</v>
      </c>
      <c r="H379" s="52" t="s">
        <v>61</v>
      </c>
      <c r="I379" s="15" t="s">
        <v>1140</v>
      </c>
      <c r="J379" s="52" t="s">
        <v>61</v>
      </c>
      <c r="K379" s="15" t="s">
        <v>146</v>
      </c>
      <c r="L379" s="15" t="s">
        <v>1161</v>
      </c>
      <c r="M379" s="80" t="s">
        <v>1188</v>
      </c>
      <c r="N379" s="15" t="s">
        <v>1160</v>
      </c>
      <c r="O379" s="77" t="s">
        <v>61</v>
      </c>
      <c r="P379" s="17" t="s">
        <v>1162</v>
      </c>
      <c r="Q379" s="18"/>
      <c r="R379" s="52" t="s">
        <v>61</v>
      </c>
      <c r="S379" s="15" t="s">
        <v>69</v>
      </c>
      <c r="T379" s="15"/>
      <c r="U379" s="15"/>
      <c r="V379" s="15">
        <v>30</v>
      </c>
      <c r="W379" s="15">
        <v>0</v>
      </c>
      <c r="X379" s="15">
        <f t="shared" si="74"/>
        <v>0</v>
      </c>
      <c r="Y379" s="15">
        <f>ROUNDDOWN(W379/HLOOKUP(D379,Table!$C$3:$D$4,2,0)*8,2)</f>
        <v>0</v>
      </c>
      <c r="Z379" s="15">
        <v>0.1</v>
      </c>
      <c r="AA379" s="15" t="s">
        <v>74</v>
      </c>
      <c r="AB379" s="19">
        <v>43994</v>
      </c>
      <c r="AC379" s="19">
        <v>43985</v>
      </c>
      <c r="AD379" s="172">
        <v>43996</v>
      </c>
      <c r="AE379" s="19">
        <v>43986</v>
      </c>
      <c r="AF379" s="19">
        <v>43986</v>
      </c>
      <c r="AG379" s="19" t="s">
        <v>176</v>
      </c>
      <c r="AH379" s="31" t="s">
        <v>61</v>
      </c>
      <c r="AI379" s="31" t="s">
        <v>61</v>
      </c>
      <c r="AJ379" s="31" t="s">
        <v>61</v>
      </c>
      <c r="AK379" s="19" t="s">
        <v>150</v>
      </c>
      <c r="AL379" s="17" t="s">
        <v>61</v>
      </c>
      <c r="AM379" s="17" t="s">
        <v>61</v>
      </c>
      <c r="AN379" s="17" t="s">
        <v>1281</v>
      </c>
    </row>
    <row r="380" spans="2:40" x14ac:dyDescent="0.25">
      <c r="B380" s="41">
        <f t="shared" si="65"/>
        <v>321</v>
      </c>
      <c r="C380" s="16">
        <v>20200603</v>
      </c>
      <c r="D380" s="15" t="s">
        <v>3</v>
      </c>
      <c r="E380" s="15" t="s">
        <v>1131</v>
      </c>
      <c r="F380" s="169" t="s">
        <v>1215</v>
      </c>
      <c r="G380" s="17">
        <v>1496822</v>
      </c>
      <c r="H380" s="52" t="s">
        <v>61</v>
      </c>
      <c r="I380" s="15" t="s">
        <v>1141</v>
      </c>
      <c r="J380" s="52" t="s">
        <v>61</v>
      </c>
      <c r="K380" s="15" t="s">
        <v>146</v>
      </c>
      <c r="L380" s="15" t="s">
        <v>1161</v>
      </c>
      <c r="M380" s="80" t="s">
        <v>1188</v>
      </c>
      <c r="N380" s="15" t="s">
        <v>1160</v>
      </c>
      <c r="O380" s="77" t="s">
        <v>61</v>
      </c>
      <c r="P380" s="17" t="s">
        <v>1162</v>
      </c>
      <c r="Q380" s="18"/>
      <c r="R380" s="52" t="s">
        <v>61</v>
      </c>
      <c r="S380" s="15" t="s">
        <v>69</v>
      </c>
      <c r="T380" s="15"/>
      <c r="U380" s="15"/>
      <c r="V380" s="15">
        <v>36</v>
      </c>
      <c r="W380" s="15">
        <v>0</v>
      </c>
      <c r="X380" s="15">
        <f t="shared" si="74"/>
        <v>0</v>
      </c>
      <c r="Y380" s="15">
        <f>ROUNDDOWN(W380/HLOOKUP(D380,Table!$C$3:$D$4,2,0)*8,2)</f>
        <v>0</v>
      </c>
      <c r="Z380" s="15">
        <v>0.2</v>
      </c>
      <c r="AA380" s="15" t="s">
        <v>74</v>
      </c>
      <c r="AB380" s="19">
        <v>43994</v>
      </c>
      <c r="AC380" s="19">
        <v>43985</v>
      </c>
      <c r="AD380" s="172">
        <v>43996</v>
      </c>
      <c r="AE380" s="19">
        <v>43986</v>
      </c>
      <c r="AF380" s="19">
        <v>43986</v>
      </c>
      <c r="AG380" s="19" t="s">
        <v>176</v>
      </c>
      <c r="AH380" s="31" t="s">
        <v>61</v>
      </c>
      <c r="AI380" s="31" t="s">
        <v>61</v>
      </c>
      <c r="AJ380" s="31" t="s">
        <v>61</v>
      </c>
      <c r="AK380" s="19" t="s">
        <v>150</v>
      </c>
      <c r="AL380" s="17" t="s">
        <v>61</v>
      </c>
      <c r="AM380" s="17" t="s">
        <v>61</v>
      </c>
      <c r="AN380" s="17" t="s">
        <v>1281</v>
      </c>
    </row>
    <row r="381" spans="2:40" x14ac:dyDescent="0.25">
      <c r="B381" s="41">
        <f t="shared" si="65"/>
        <v>322</v>
      </c>
      <c r="C381" s="16">
        <v>20200603</v>
      </c>
      <c r="D381" s="15" t="s">
        <v>3</v>
      </c>
      <c r="E381" s="15" t="s">
        <v>1131</v>
      </c>
      <c r="F381" s="169" t="s">
        <v>1216</v>
      </c>
      <c r="G381" s="17">
        <v>1496822</v>
      </c>
      <c r="H381" s="52" t="s">
        <v>61</v>
      </c>
      <c r="I381" s="15" t="s">
        <v>1142</v>
      </c>
      <c r="J381" s="52" t="s">
        <v>61</v>
      </c>
      <c r="K381" s="15" t="s">
        <v>146</v>
      </c>
      <c r="L381" s="15" t="s">
        <v>1161</v>
      </c>
      <c r="M381" s="80" t="s">
        <v>1188</v>
      </c>
      <c r="N381" s="15" t="s">
        <v>1160</v>
      </c>
      <c r="O381" s="77" t="s">
        <v>61</v>
      </c>
      <c r="P381" s="17" t="s">
        <v>1162</v>
      </c>
      <c r="Q381" s="18"/>
      <c r="R381" s="52" t="s">
        <v>61</v>
      </c>
      <c r="S381" s="15" t="s">
        <v>69</v>
      </c>
      <c r="T381" s="15"/>
      <c r="U381" s="15"/>
      <c r="V381" s="15">
        <v>22</v>
      </c>
      <c r="W381" s="15">
        <v>0</v>
      </c>
      <c r="X381" s="15">
        <f t="shared" si="74"/>
        <v>0</v>
      </c>
      <c r="Y381" s="15">
        <f>ROUNDDOWN(W381/HLOOKUP(D381,Table!$C$3:$D$4,2,0)*8,2)</f>
        <v>0</v>
      </c>
      <c r="Z381" s="15">
        <v>0.1</v>
      </c>
      <c r="AA381" s="15" t="s">
        <v>74</v>
      </c>
      <c r="AB381" s="19">
        <v>43994</v>
      </c>
      <c r="AC381" s="19">
        <v>43985</v>
      </c>
      <c r="AD381" s="172">
        <v>43996</v>
      </c>
      <c r="AE381" s="19">
        <v>43986</v>
      </c>
      <c r="AF381" s="19">
        <v>43986</v>
      </c>
      <c r="AG381" s="19" t="s">
        <v>176</v>
      </c>
      <c r="AH381" s="31" t="s">
        <v>61</v>
      </c>
      <c r="AI381" s="31" t="s">
        <v>61</v>
      </c>
      <c r="AJ381" s="31" t="s">
        <v>61</v>
      </c>
      <c r="AK381" s="19" t="s">
        <v>150</v>
      </c>
      <c r="AL381" s="17" t="s">
        <v>61</v>
      </c>
      <c r="AM381" s="17" t="s">
        <v>61</v>
      </c>
      <c r="AN381" s="17" t="s">
        <v>1281</v>
      </c>
    </row>
    <row r="382" spans="2:40" x14ac:dyDescent="0.25">
      <c r="B382" s="41">
        <f t="shared" ref="B382:B445" si="75">B381+1</f>
        <v>323</v>
      </c>
      <c r="C382" s="16">
        <v>20200603</v>
      </c>
      <c r="D382" s="15" t="s">
        <v>3</v>
      </c>
      <c r="E382" s="15" t="s">
        <v>1131</v>
      </c>
      <c r="F382" s="169" t="s">
        <v>1217</v>
      </c>
      <c r="G382" s="17">
        <v>1496822</v>
      </c>
      <c r="H382" s="52" t="s">
        <v>61</v>
      </c>
      <c r="I382" s="15" t="s">
        <v>1143</v>
      </c>
      <c r="J382" s="52" t="s">
        <v>61</v>
      </c>
      <c r="K382" s="15" t="s">
        <v>146</v>
      </c>
      <c r="L382" s="15" t="s">
        <v>1161</v>
      </c>
      <c r="M382" s="80" t="s">
        <v>1188</v>
      </c>
      <c r="N382" s="15" t="s">
        <v>1160</v>
      </c>
      <c r="O382" s="77" t="s">
        <v>61</v>
      </c>
      <c r="P382" s="17" t="s">
        <v>1162</v>
      </c>
      <c r="Q382" s="18"/>
      <c r="R382" s="52" t="s">
        <v>61</v>
      </c>
      <c r="S382" s="15" t="s">
        <v>69</v>
      </c>
      <c r="T382" s="15"/>
      <c r="U382" s="15"/>
      <c r="V382" s="15">
        <v>36</v>
      </c>
      <c r="W382" s="15">
        <v>0</v>
      </c>
      <c r="X382" s="15">
        <f t="shared" si="74"/>
        <v>0</v>
      </c>
      <c r="Y382" s="15">
        <f>ROUNDDOWN(W382/HLOOKUP(D382,Table!$C$3:$D$4,2,0)*8,2)</f>
        <v>0</v>
      </c>
      <c r="Z382" s="15">
        <v>0.1</v>
      </c>
      <c r="AA382" s="15" t="s">
        <v>74</v>
      </c>
      <c r="AB382" s="19">
        <v>43994</v>
      </c>
      <c r="AC382" s="19">
        <v>43985</v>
      </c>
      <c r="AD382" s="172">
        <v>43996</v>
      </c>
      <c r="AE382" s="19">
        <v>43986</v>
      </c>
      <c r="AF382" s="19">
        <v>43986</v>
      </c>
      <c r="AG382" s="19" t="s">
        <v>176</v>
      </c>
      <c r="AH382" s="31" t="s">
        <v>61</v>
      </c>
      <c r="AI382" s="31" t="s">
        <v>61</v>
      </c>
      <c r="AJ382" s="31" t="s">
        <v>61</v>
      </c>
      <c r="AK382" s="19" t="s">
        <v>150</v>
      </c>
      <c r="AL382" s="17" t="s">
        <v>61</v>
      </c>
      <c r="AM382" s="17" t="s">
        <v>61</v>
      </c>
      <c r="AN382" s="17" t="s">
        <v>1281</v>
      </c>
    </row>
    <row r="383" spans="2:40" x14ac:dyDescent="0.25">
      <c r="B383" s="41">
        <f t="shared" si="75"/>
        <v>324</v>
      </c>
      <c r="C383" s="16">
        <v>20200603</v>
      </c>
      <c r="D383" s="15" t="s">
        <v>3</v>
      </c>
      <c r="E383" s="15" t="s">
        <v>1131</v>
      </c>
      <c r="F383" s="169" t="s">
        <v>1218</v>
      </c>
      <c r="G383" s="17">
        <v>1496822</v>
      </c>
      <c r="H383" s="52" t="s">
        <v>61</v>
      </c>
      <c r="I383" s="15" t="s">
        <v>1144</v>
      </c>
      <c r="J383" s="52" t="s">
        <v>61</v>
      </c>
      <c r="K383" s="15" t="s">
        <v>146</v>
      </c>
      <c r="L383" s="15" t="s">
        <v>1161</v>
      </c>
      <c r="M383" s="80" t="s">
        <v>1188</v>
      </c>
      <c r="N383" s="15" t="s">
        <v>1160</v>
      </c>
      <c r="O383" s="77" t="s">
        <v>61</v>
      </c>
      <c r="P383" s="17" t="s">
        <v>1162</v>
      </c>
      <c r="Q383" s="18"/>
      <c r="R383" s="52" t="s">
        <v>61</v>
      </c>
      <c r="S383" s="15" t="s">
        <v>70</v>
      </c>
      <c r="T383" s="15"/>
      <c r="U383" s="15"/>
      <c r="V383" s="15">
        <v>60</v>
      </c>
      <c r="W383" s="15">
        <v>0</v>
      </c>
      <c r="X383" s="15">
        <f t="shared" si="74"/>
        <v>0</v>
      </c>
      <c r="Y383" s="15">
        <f>ROUNDDOWN(W383/HLOOKUP(D383,Table!$C$3:$D$4,2,0)*8,2)</f>
        <v>0</v>
      </c>
      <c r="Z383" s="15">
        <v>0.5</v>
      </c>
      <c r="AA383" s="15" t="s">
        <v>74</v>
      </c>
      <c r="AB383" s="19">
        <v>43994</v>
      </c>
      <c r="AC383" s="19">
        <v>43985</v>
      </c>
      <c r="AD383" s="172">
        <v>43996</v>
      </c>
      <c r="AE383" s="19">
        <v>43986</v>
      </c>
      <c r="AF383" s="19">
        <v>43986</v>
      </c>
      <c r="AG383" s="19" t="s">
        <v>176</v>
      </c>
      <c r="AH383" s="31" t="s">
        <v>61</v>
      </c>
      <c r="AI383" s="31" t="s">
        <v>61</v>
      </c>
      <c r="AJ383" s="31" t="s">
        <v>61</v>
      </c>
      <c r="AK383" s="19" t="s">
        <v>150</v>
      </c>
      <c r="AL383" s="15" t="s">
        <v>61</v>
      </c>
      <c r="AM383" s="15" t="s">
        <v>61</v>
      </c>
      <c r="AN383" s="17" t="s">
        <v>1281</v>
      </c>
    </row>
    <row r="384" spans="2:40" x14ac:dyDescent="0.25">
      <c r="B384" s="41">
        <f t="shared" si="75"/>
        <v>325</v>
      </c>
      <c r="C384" s="16">
        <v>20200603</v>
      </c>
      <c r="D384" s="15" t="s">
        <v>3</v>
      </c>
      <c r="E384" s="15" t="s">
        <v>1131</v>
      </c>
      <c r="F384" s="169" t="s">
        <v>1219</v>
      </c>
      <c r="G384" s="17">
        <v>1496822</v>
      </c>
      <c r="H384" s="52" t="s">
        <v>61</v>
      </c>
      <c r="I384" s="15" t="s">
        <v>1145</v>
      </c>
      <c r="J384" s="52" t="s">
        <v>61</v>
      </c>
      <c r="K384" s="15" t="s">
        <v>146</v>
      </c>
      <c r="L384" s="15" t="s">
        <v>1161</v>
      </c>
      <c r="M384" s="80" t="s">
        <v>1188</v>
      </c>
      <c r="N384" s="15" t="s">
        <v>1160</v>
      </c>
      <c r="O384" s="77" t="s">
        <v>61</v>
      </c>
      <c r="P384" s="17" t="s">
        <v>1162</v>
      </c>
      <c r="Q384" s="18"/>
      <c r="R384" s="52" t="s">
        <v>61</v>
      </c>
      <c r="S384" s="15" t="s">
        <v>70</v>
      </c>
      <c r="T384" s="15"/>
      <c r="U384" s="15"/>
      <c r="V384" s="15">
        <v>33</v>
      </c>
      <c r="W384" s="15">
        <v>0</v>
      </c>
      <c r="X384" s="15">
        <f t="shared" si="74"/>
        <v>0</v>
      </c>
      <c r="Y384" s="15">
        <f>ROUNDDOWN(W384/HLOOKUP(D384,Table!$C$3:$D$4,2,0)*8,2)</f>
        <v>0</v>
      </c>
      <c r="Z384" s="15">
        <v>0.1</v>
      </c>
      <c r="AA384" s="15" t="s">
        <v>74</v>
      </c>
      <c r="AB384" s="19">
        <v>43994</v>
      </c>
      <c r="AC384" s="19">
        <v>43985</v>
      </c>
      <c r="AD384" s="172">
        <v>43996</v>
      </c>
      <c r="AE384" s="19">
        <v>43986</v>
      </c>
      <c r="AF384" s="19">
        <v>43986</v>
      </c>
      <c r="AG384" s="19" t="s">
        <v>176</v>
      </c>
      <c r="AH384" s="31" t="s">
        <v>61</v>
      </c>
      <c r="AI384" s="31" t="s">
        <v>61</v>
      </c>
      <c r="AJ384" s="31" t="s">
        <v>61</v>
      </c>
      <c r="AK384" s="19" t="s">
        <v>150</v>
      </c>
      <c r="AL384" s="15" t="s">
        <v>61</v>
      </c>
      <c r="AM384" s="15" t="s">
        <v>61</v>
      </c>
      <c r="AN384" s="17" t="s">
        <v>1281</v>
      </c>
    </row>
    <row r="385" spans="1:40" x14ac:dyDescent="0.25">
      <c r="B385" s="41">
        <f t="shared" si="75"/>
        <v>326</v>
      </c>
      <c r="C385" s="16">
        <v>20200603</v>
      </c>
      <c r="D385" s="15" t="s">
        <v>3</v>
      </c>
      <c r="E385" s="15" t="s">
        <v>1131</v>
      </c>
      <c r="F385" s="169" t="s">
        <v>1220</v>
      </c>
      <c r="G385" s="17">
        <v>1496822</v>
      </c>
      <c r="H385" s="52" t="s">
        <v>61</v>
      </c>
      <c r="I385" s="15" t="s">
        <v>1146</v>
      </c>
      <c r="J385" s="52" t="s">
        <v>61</v>
      </c>
      <c r="K385" s="15" t="s">
        <v>146</v>
      </c>
      <c r="L385" s="15" t="s">
        <v>1161</v>
      </c>
      <c r="M385" s="80" t="s">
        <v>1188</v>
      </c>
      <c r="N385" s="15" t="s">
        <v>1160</v>
      </c>
      <c r="O385" s="77" t="s">
        <v>61</v>
      </c>
      <c r="P385" s="17" t="s">
        <v>1162</v>
      </c>
      <c r="Q385" s="18"/>
      <c r="R385" s="52" t="s">
        <v>61</v>
      </c>
      <c r="S385" s="15" t="s">
        <v>70</v>
      </c>
      <c r="T385" s="15"/>
      <c r="U385" s="15"/>
      <c r="V385" s="15">
        <v>19</v>
      </c>
      <c r="W385" s="15">
        <v>0</v>
      </c>
      <c r="X385" s="15">
        <f t="shared" si="74"/>
        <v>0</v>
      </c>
      <c r="Y385" s="15">
        <f>ROUNDDOWN(W385/HLOOKUP(D385,Table!$C$3:$D$4,2,0)*8,2)</f>
        <v>0</v>
      </c>
      <c r="Z385" s="15">
        <v>0.1</v>
      </c>
      <c r="AA385" s="15" t="s">
        <v>74</v>
      </c>
      <c r="AB385" s="19">
        <v>43994</v>
      </c>
      <c r="AC385" s="19">
        <v>43985</v>
      </c>
      <c r="AD385" s="172">
        <v>43996</v>
      </c>
      <c r="AE385" s="19">
        <v>43986</v>
      </c>
      <c r="AF385" s="19">
        <v>43986</v>
      </c>
      <c r="AG385" s="19" t="s">
        <v>176</v>
      </c>
      <c r="AH385" s="31" t="s">
        <v>61</v>
      </c>
      <c r="AI385" s="31" t="s">
        <v>61</v>
      </c>
      <c r="AJ385" s="31" t="s">
        <v>61</v>
      </c>
      <c r="AK385" s="19" t="s">
        <v>150</v>
      </c>
      <c r="AL385" s="15" t="s">
        <v>61</v>
      </c>
      <c r="AM385" s="15" t="s">
        <v>61</v>
      </c>
      <c r="AN385" s="17" t="s">
        <v>1281</v>
      </c>
    </row>
    <row r="386" spans="1:40" x14ac:dyDescent="0.25">
      <c r="B386" s="41">
        <f t="shared" si="75"/>
        <v>327</v>
      </c>
      <c r="C386" s="16">
        <v>20200603</v>
      </c>
      <c r="D386" s="15" t="s">
        <v>3</v>
      </c>
      <c r="E386" s="15" t="s">
        <v>1131</v>
      </c>
      <c r="F386" s="169" t="s">
        <v>1221</v>
      </c>
      <c r="G386" s="17">
        <v>1496822</v>
      </c>
      <c r="H386" s="52" t="s">
        <v>61</v>
      </c>
      <c r="I386" s="15" t="s">
        <v>1147</v>
      </c>
      <c r="J386" s="52" t="s">
        <v>61</v>
      </c>
      <c r="K386" s="15" t="s">
        <v>146</v>
      </c>
      <c r="L386" s="15" t="s">
        <v>1161</v>
      </c>
      <c r="M386" s="80" t="s">
        <v>1188</v>
      </c>
      <c r="N386" s="15" t="s">
        <v>1160</v>
      </c>
      <c r="O386" s="77" t="s">
        <v>61</v>
      </c>
      <c r="P386" s="17" t="s">
        <v>1162</v>
      </c>
      <c r="Q386" s="18"/>
      <c r="R386" s="52" t="s">
        <v>61</v>
      </c>
      <c r="S386" s="15" t="s">
        <v>70</v>
      </c>
      <c r="T386" s="15"/>
      <c r="U386" s="15"/>
      <c r="V386" s="15">
        <v>33</v>
      </c>
      <c r="W386" s="15">
        <v>0</v>
      </c>
      <c r="X386" s="15">
        <f t="shared" si="74"/>
        <v>0</v>
      </c>
      <c r="Y386" s="15">
        <f>ROUNDDOWN(W386/HLOOKUP(D386,Table!$C$3:$D$4,2,0)*8,2)</f>
        <v>0</v>
      </c>
      <c r="Z386" s="15">
        <v>0.1</v>
      </c>
      <c r="AA386" s="15" t="s">
        <v>74</v>
      </c>
      <c r="AB386" s="19">
        <v>43994</v>
      </c>
      <c r="AC386" s="19">
        <v>43985</v>
      </c>
      <c r="AD386" s="172">
        <v>43996</v>
      </c>
      <c r="AE386" s="19">
        <v>43986</v>
      </c>
      <c r="AF386" s="19">
        <v>43986</v>
      </c>
      <c r="AG386" s="19" t="s">
        <v>176</v>
      </c>
      <c r="AH386" s="31" t="s">
        <v>61</v>
      </c>
      <c r="AI386" s="31" t="s">
        <v>61</v>
      </c>
      <c r="AJ386" s="31" t="s">
        <v>61</v>
      </c>
      <c r="AK386" s="19" t="s">
        <v>150</v>
      </c>
      <c r="AL386" s="15" t="s">
        <v>61</v>
      </c>
      <c r="AM386" s="15" t="s">
        <v>61</v>
      </c>
      <c r="AN386" s="17" t="s">
        <v>1281</v>
      </c>
    </row>
    <row r="387" spans="1:40" x14ac:dyDescent="0.25">
      <c r="B387" s="41">
        <f t="shared" si="75"/>
        <v>328</v>
      </c>
      <c r="C387" s="16">
        <v>20200603</v>
      </c>
      <c r="D387" s="15" t="s">
        <v>3</v>
      </c>
      <c r="E387" s="15" t="s">
        <v>1131</v>
      </c>
      <c r="F387" s="169" t="s">
        <v>1222</v>
      </c>
      <c r="G387" s="17">
        <v>1496822</v>
      </c>
      <c r="H387" s="52" t="s">
        <v>61</v>
      </c>
      <c r="I387" s="15" t="s">
        <v>1148</v>
      </c>
      <c r="J387" s="52" t="s">
        <v>61</v>
      </c>
      <c r="K387" s="15" t="s">
        <v>146</v>
      </c>
      <c r="L387" s="15" t="s">
        <v>1161</v>
      </c>
      <c r="M387" s="80" t="s">
        <v>1188</v>
      </c>
      <c r="N387" s="15" t="s">
        <v>1160</v>
      </c>
      <c r="O387" s="77" t="s">
        <v>61</v>
      </c>
      <c r="P387" s="17" t="s">
        <v>1162</v>
      </c>
      <c r="Q387" s="18"/>
      <c r="R387" s="52" t="s">
        <v>61</v>
      </c>
      <c r="S387" s="15" t="s">
        <v>70</v>
      </c>
      <c r="T387" s="15"/>
      <c r="U387" s="15"/>
      <c r="V387" s="15">
        <v>40</v>
      </c>
      <c r="W387" s="15">
        <v>0</v>
      </c>
      <c r="X387" s="15">
        <f t="shared" si="74"/>
        <v>0</v>
      </c>
      <c r="Y387" s="15">
        <f>ROUNDDOWN(W387/HLOOKUP(D387,Table!$C$3:$D$4,2,0)*8,2)</f>
        <v>0</v>
      </c>
      <c r="Z387" s="15">
        <v>0.1</v>
      </c>
      <c r="AA387" s="15" t="s">
        <v>74</v>
      </c>
      <c r="AB387" s="19">
        <v>43994</v>
      </c>
      <c r="AC387" s="19">
        <v>43985</v>
      </c>
      <c r="AD387" s="172">
        <v>43996</v>
      </c>
      <c r="AE387" s="19">
        <v>43986</v>
      </c>
      <c r="AF387" s="19">
        <v>43986</v>
      </c>
      <c r="AG387" s="19" t="s">
        <v>176</v>
      </c>
      <c r="AH387" s="31" t="s">
        <v>61</v>
      </c>
      <c r="AI387" s="31" t="s">
        <v>61</v>
      </c>
      <c r="AJ387" s="31" t="s">
        <v>61</v>
      </c>
      <c r="AK387" s="19" t="s">
        <v>150</v>
      </c>
      <c r="AL387" s="15" t="s">
        <v>61</v>
      </c>
      <c r="AM387" s="15" t="s">
        <v>61</v>
      </c>
      <c r="AN387" s="17" t="s">
        <v>1281</v>
      </c>
    </row>
    <row r="388" spans="1:40" x14ac:dyDescent="0.25">
      <c r="B388" s="41">
        <f t="shared" si="75"/>
        <v>329</v>
      </c>
      <c r="C388" s="16">
        <v>20200603</v>
      </c>
      <c r="D388" s="15" t="s">
        <v>3</v>
      </c>
      <c r="E388" s="15" t="s">
        <v>1131</v>
      </c>
      <c r="F388" s="169" t="s">
        <v>1223</v>
      </c>
      <c r="G388" s="17">
        <v>1496822</v>
      </c>
      <c r="H388" s="52" t="s">
        <v>61</v>
      </c>
      <c r="I388" s="15" t="s">
        <v>1149</v>
      </c>
      <c r="J388" s="52" t="s">
        <v>61</v>
      </c>
      <c r="K388" s="15" t="s">
        <v>146</v>
      </c>
      <c r="L388" s="15" t="s">
        <v>1161</v>
      </c>
      <c r="M388" s="80" t="s">
        <v>1188</v>
      </c>
      <c r="N388" s="15" t="s">
        <v>1160</v>
      </c>
      <c r="O388" s="77" t="s">
        <v>61</v>
      </c>
      <c r="P388" s="17" t="s">
        <v>1162</v>
      </c>
      <c r="Q388" s="18"/>
      <c r="R388" s="52" t="s">
        <v>61</v>
      </c>
      <c r="S388" s="15" t="s">
        <v>67</v>
      </c>
      <c r="T388" s="15"/>
      <c r="U388" s="15"/>
      <c r="V388" s="15">
        <v>29</v>
      </c>
      <c r="W388" s="15">
        <v>0</v>
      </c>
      <c r="X388" s="15">
        <f t="shared" si="74"/>
        <v>0</v>
      </c>
      <c r="Y388" s="15">
        <f>ROUNDDOWN(W388/HLOOKUP(D388,Table!$C$3:$D$4,2,0)*8,2)</f>
        <v>0</v>
      </c>
      <c r="Z388" s="15">
        <v>0.1</v>
      </c>
      <c r="AA388" s="15" t="s">
        <v>74</v>
      </c>
      <c r="AB388" s="19">
        <v>43994</v>
      </c>
      <c r="AC388" s="19">
        <v>43985</v>
      </c>
      <c r="AD388" s="99">
        <v>43996</v>
      </c>
      <c r="AE388" s="19">
        <v>43993</v>
      </c>
      <c r="AF388" s="19">
        <v>43993</v>
      </c>
      <c r="AG388" s="19" t="s">
        <v>176</v>
      </c>
      <c r="AH388" s="79" t="s">
        <v>61</v>
      </c>
      <c r="AI388" s="79" t="s">
        <v>61</v>
      </c>
      <c r="AJ388" s="79" t="s">
        <v>61</v>
      </c>
      <c r="AK388" s="19" t="s">
        <v>150</v>
      </c>
      <c r="AL388" s="15" t="s">
        <v>61</v>
      </c>
      <c r="AM388" s="17" t="s">
        <v>61</v>
      </c>
      <c r="AN388" s="17" t="s">
        <v>1281</v>
      </c>
    </row>
    <row r="389" spans="1:40" x14ac:dyDescent="0.25">
      <c r="B389" s="41">
        <f t="shared" si="75"/>
        <v>330</v>
      </c>
      <c r="C389" s="16">
        <v>20200603</v>
      </c>
      <c r="D389" s="15" t="s">
        <v>3</v>
      </c>
      <c r="E389" s="15" t="s">
        <v>1131</v>
      </c>
      <c r="F389" s="169" t="s">
        <v>1224</v>
      </c>
      <c r="G389" s="17">
        <v>1496822</v>
      </c>
      <c r="H389" s="52" t="s">
        <v>61</v>
      </c>
      <c r="I389" s="15" t="s">
        <v>1150</v>
      </c>
      <c r="J389" s="52" t="s">
        <v>61</v>
      </c>
      <c r="K389" s="15" t="s">
        <v>146</v>
      </c>
      <c r="L389" s="15" t="s">
        <v>1161</v>
      </c>
      <c r="M389" s="80" t="s">
        <v>1188</v>
      </c>
      <c r="N389" s="15" t="s">
        <v>1160</v>
      </c>
      <c r="O389" s="77" t="s">
        <v>61</v>
      </c>
      <c r="P389" s="17" t="s">
        <v>1162</v>
      </c>
      <c r="Q389" s="18"/>
      <c r="R389" s="52" t="s">
        <v>61</v>
      </c>
      <c r="S389" s="15" t="s">
        <v>67</v>
      </c>
      <c r="T389" s="15"/>
      <c r="U389" s="15"/>
      <c r="V389" s="15">
        <v>29</v>
      </c>
      <c r="W389" s="15">
        <v>0</v>
      </c>
      <c r="X389" s="15">
        <f t="shared" si="74"/>
        <v>0</v>
      </c>
      <c r="Y389" s="15">
        <f>ROUNDDOWN(W389/HLOOKUP(D389,Table!$C$3:$D$4,2,0)*8,2)</f>
        <v>0</v>
      </c>
      <c r="Z389" s="15">
        <v>0.1</v>
      </c>
      <c r="AA389" s="15" t="s">
        <v>74</v>
      </c>
      <c r="AB389" s="19">
        <v>43994</v>
      </c>
      <c r="AC389" s="19">
        <v>43985</v>
      </c>
      <c r="AD389" s="99">
        <v>43996</v>
      </c>
      <c r="AE389" s="19">
        <v>43993</v>
      </c>
      <c r="AF389" s="19">
        <v>43993</v>
      </c>
      <c r="AG389" s="19" t="s">
        <v>176</v>
      </c>
      <c r="AH389" s="79" t="s">
        <v>61</v>
      </c>
      <c r="AI389" s="79" t="s">
        <v>61</v>
      </c>
      <c r="AJ389" s="79" t="s">
        <v>61</v>
      </c>
      <c r="AK389" s="19" t="s">
        <v>150</v>
      </c>
      <c r="AL389" s="15" t="s">
        <v>61</v>
      </c>
      <c r="AM389" s="17" t="s">
        <v>61</v>
      </c>
      <c r="AN389" s="17" t="s">
        <v>1281</v>
      </c>
    </row>
    <row r="390" spans="1:40" x14ac:dyDescent="0.25">
      <c r="B390" s="41">
        <f t="shared" si="75"/>
        <v>331</v>
      </c>
      <c r="C390" s="16">
        <v>20200603</v>
      </c>
      <c r="D390" s="15" t="s">
        <v>3</v>
      </c>
      <c r="E390" s="15" t="s">
        <v>1131</v>
      </c>
      <c r="F390" s="169" t="s">
        <v>1225</v>
      </c>
      <c r="G390" s="17">
        <v>1496822</v>
      </c>
      <c r="H390" s="52" t="s">
        <v>61</v>
      </c>
      <c r="I390" s="15" t="s">
        <v>1151</v>
      </c>
      <c r="J390" s="52" t="s">
        <v>61</v>
      </c>
      <c r="K390" s="15" t="s">
        <v>146</v>
      </c>
      <c r="L390" s="15" t="s">
        <v>1161</v>
      </c>
      <c r="M390" s="80" t="s">
        <v>1188</v>
      </c>
      <c r="N390" s="15" t="s">
        <v>1160</v>
      </c>
      <c r="O390" s="77" t="s">
        <v>61</v>
      </c>
      <c r="P390" s="17" t="s">
        <v>1162</v>
      </c>
      <c r="Q390" s="18"/>
      <c r="R390" s="52" t="s">
        <v>61</v>
      </c>
      <c r="S390" s="15" t="s">
        <v>67</v>
      </c>
      <c r="T390" s="15"/>
      <c r="U390" s="15"/>
      <c r="V390" s="15">
        <v>24</v>
      </c>
      <c r="W390" s="15">
        <v>0</v>
      </c>
      <c r="X390" s="15">
        <f t="shared" si="74"/>
        <v>0</v>
      </c>
      <c r="Y390" s="15">
        <f>ROUNDDOWN(W390/HLOOKUP(D390,Table!$C$3:$D$4,2,0)*8,2)</f>
        <v>0</v>
      </c>
      <c r="Z390" s="15">
        <v>0.1</v>
      </c>
      <c r="AA390" s="15" t="s">
        <v>74</v>
      </c>
      <c r="AB390" s="19">
        <v>43994</v>
      </c>
      <c r="AC390" s="19">
        <v>43985</v>
      </c>
      <c r="AD390" s="99">
        <v>43996</v>
      </c>
      <c r="AE390" s="19">
        <v>43993</v>
      </c>
      <c r="AF390" s="19">
        <v>43993</v>
      </c>
      <c r="AG390" s="19" t="s">
        <v>176</v>
      </c>
      <c r="AH390" s="79" t="s">
        <v>61</v>
      </c>
      <c r="AI390" s="79" t="s">
        <v>61</v>
      </c>
      <c r="AJ390" s="79" t="s">
        <v>61</v>
      </c>
      <c r="AK390" s="19" t="s">
        <v>150</v>
      </c>
      <c r="AL390" s="15" t="s">
        <v>61</v>
      </c>
      <c r="AM390" s="17" t="s">
        <v>61</v>
      </c>
      <c r="AN390" s="17" t="s">
        <v>1281</v>
      </c>
    </row>
    <row r="391" spans="1:40" x14ac:dyDescent="0.25">
      <c r="B391" s="41">
        <f t="shared" si="75"/>
        <v>332</v>
      </c>
      <c r="C391" s="16">
        <v>20200603</v>
      </c>
      <c r="D391" s="15" t="s">
        <v>3</v>
      </c>
      <c r="E391" s="15" t="s">
        <v>1131</v>
      </c>
      <c r="F391" s="169" t="s">
        <v>1226</v>
      </c>
      <c r="G391" s="17">
        <v>1496822</v>
      </c>
      <c r="H391" s="52" t="s">
        <v>61</v>
      </c>
      <c r="I391" s="15" t="s">
        <v>1152</v>
      </c>
      <c r="J391" s="52" t="s">
        <v>61</v>
      </c>
      <c r="K391" s="15" t="s">
        <v>146</v>
      </c>
      <c r="L391" s="15" t="s">
        <v>1161</v>
      </c>
      <c r="M391" s="80" t="s">
        <v>1188</v>
      </c>
      <c r="N391" s="15" t="s">
        <v>1160</v>
      </c>
      <c r="O391" s="77" t="s">
        <v>61</v>
      </c>
      <c r="P391" s="17" t="s">
        <v>1162</v>
      </c>
      <c r="Q391" s="18"/>
      <c r="R391" s="52" t="s">
        <v>61</v>
      </c>
      <c r="S391" s="15" t="s">
        <v>67</v>
      </c>
      <c r="T391" s="15"/>
      <c r="U391" s="15"/>
      <c r="V391" s="15">
        <v>23</v>
      </c>
      <c r="W391" s="15">
        <v>0</v>
      </c>
      <c r="X391" s="15">
        <f t="shared" si="74"/>
        <v>0</v>
      </c>
      <c r="Y391" s="15">
        <f>ROUNDDOWN(W391/HLOOKUP(D391,Table!$C$3:$D$4,2,0)*8,2)</f>
        <v>0</v>
      </c>
      <c r="Z391" s="15">
        <v>0.1</v>
      </c>
      <c r="AA391" s="15" t="s">
        <v>74</v>
      </c>
      <c r="AB391" s="19">
        <v>43994</v>
      </c>
      <c r="AC391" s="19">
        <v>43985</v>
      </c>
      <c r="AD391" s="99">
        <v>43996</v>
      </c>
      <c r="AE391" s="19">
        <v>43993</v>
      </c>
      <c r="AF391" s="19">
        <v>43993</v>
      </c>
      <c r="AG391" s="19" t="s">
        <v>176</v>
      </c>
      <c r="AH391" s="79" t="s">
        <v>61</v>
      </c>
      <c r="AI391" s="79" t="s">
        <v>61</v>
      </c>
      <c r="AJ391" s="79" t="s">
        <v>61</v>
      </c>
      <c r="AK391" s="19" t="s">
        <v>150</v>
      </c>
      <c r="AL391" s="15" t="s">
        <v>61</v>
      </c>
      <c r="AM391" s="17" t="s">
        <v>61</v>
      </c>
      <c r="AN391" s="17" t="s">
        <v>1281</v>
      </c>
    </row>
    <row r="392" spans="1:40" x14ac:dyDescent="0.25">
      <c r="B392" s="41">
        <f t="shared" si="75"/>
        <v>333</v>
      </c>
      <c r="C392" s="16">
        <v>20200603</v>
      </c>
      <c r="D392" s="15" t="s">
        <v>3</v>
      </c>
      <c r="E392" s="15" t="s">
        <v>1131</v>
      </c>
      <c r="F392" s="169" t="s">
        <v>1227</v>
      </c>
      <c r="G392" s="17">
        <v>1496822</v>
      </c>
      <c r="H392" s="52" t="s">
        <v>61</v>
      </c>
      <c r="I392" s="15" t="s">
        <v>1153</v>
      </c>
      <c r="J392" s="52" t="s">
        <v>61</v>
      </c>
      <c r="K392" s="15" t="s">
        <v>146</v>
      </c>
      <c r="L392" s="15" t="s">
        <v>1161</v>
      </c>
      <c r="M392" s="80" t="s">
        <v>1188</v>
      </c>
      <c r="N392" s="15" t="s">
        <v>1160</v>
      </c>
      <c r="O392" s="77" t="s">
        <v>61</v>
      </c>
      <c r="P392" s="17" t="s">
        <v>1162</v>
      </c>
      <c r="Q392" s="18"/>
      <c r="R392" s="52" t="s">
        <v>61</v>
      </c>
      <c r="S392" s="15" t="s">
        <v>67</v>
      </c>
      <c r="T392" s="15"/>
      <c r="U392" s="15"/>
      <c r="V392" s="15">
        <v>20</v>
      </c>
      <c r="W392" s="15">
        <f t="shared" si="74"/>
        <v>20</v>
      </c>
      <c r="X392" s="15">
        <f>W392</f>
        <v>20</v>
      </c>
      <c r="Y392" s="15">
        <f>ROUNDDOWN(W392/HLOOKUP(D392,Table!$C$3:$D$4,2,0)*8,2)</f>
        <v>0.35</v>
      </c>
      <c r="Z392" s="15">
        <v>0.2</v>
      </c>
      <c r="AA392" s="15" t="s">
        <v>74</v>
      </c>
      <c r="AB392" s="19">
        <v>43994</v>
      </c>
      <c r="AC392" s="19">
        <v>43985</v>
      </c>
      <c r="AD392" s="99">
        <v>43996</v>
      </c>
      <c r="AE392" s="19">
        <v>43993</v>
      </c>
      <c r="AF392" s="19">
        <v>43993</v>
      </c>
      <c r="AG392" s="19" t="s">
        <v>176</v>
      </c>
      <c r="AH392" s="31">
        <v>1</v>
      </c>
      <c r="AI392" s="31">
        <v>1</v>
      </c>
      <c r="AJ392" s="31">
        <v>1</v>
      </c>
      <c r="AK392" s="19" t="s">
        <v>150</v>
      </c>
      <c r="AL392" s="15" t="s">
        <v>61</v>
      </c>
      <c r="AM392" s="17" t="s">
        <v>61</v>
      </c>
      <c r="AN392" s="17" t="s">
        <v>61</v>
      </c>
    </row>
    <row r="393" spans="1:40" x14ac:dyDescent="0.25">
      <c r="B393" s="41">
        <f t="shared" si="75"/>
        <v>334</v>
      </c>
      <c r="C393" s="16">
        <v>20200603</v>
      </c>
      <c r="D393" s="15" t="s">
        <v>3</v>
      </c>
      <c r="E393" s="15" t="s">
        <v>1132</v>
      </c>
      <c r="F393" s="199" t="s">
        <v>1228</v>
      </c>
      <c r="G393" s="17">
        <v>1490120</v>
      </c>
      <c r="H393" s="52" t="s">
        <v>61</v>
      </c>
      <c r="I393" s="15" t="s">
        <v>1154</v>
      </c>
      <c r="J393" s="52" t="s">
        <v>61</v>
      </c>
      <c r="K393" s="15" t="s">
        <v>146</v>
      </c>
      <c r="L393" s="15" t="s">
        <v>1165</v>
      </c>
      <c r="M393" s="80" t="s">
        <v>1166</v>
      </c>
      <c r="N393" s="15" t="s">
        <v>1163</v>
      </c>
      <c r="O393" s="77" t="s">
        <v>61</v>
      </c>
      <c r="P393" s="17" t="s">
        <v>1164</v>
      </c>
      <c r="Q393" s="18"/>
      <c r="R393" s="52" t="s">
        <v>61</v>
      </c>
      <c r="S393" s="15" t="s">
        <v>68</v>
      </c>
      <c r="T393" s="15"/>
      <c r="U393" s="15"/>
      <c r="V393" s="15">
        <v>155</v>
      </c>
      <c r="W393" s="15">
        <f t="shared" si="74"/>
        <v>155</v>
      </c>
      <c r="X393" s="15">
        <f t="shared" ref="X393:X399" si="76">W393</f>
        <v>155</v>
      </c>
      <c r="Y393" s="15">
        <f>ROUNDDOWN(W393/HLOOKUP(D393,Table!$C$3:$D$4,2,0)*8,2)</f>
        <v>2.75</v>
      </c>
      <c r="Z393" s="15">
        <v>2</v>
      </c>
      <c r="AA393" s="15" t="s">
        <v>74</v>
      </c>
      <c r="AB393" s="19">
        <v>43991</v>
      </c>
      <c r="AC393" s="19">
        <v>43985</v>
      </c>
      <c r="AD393" s="99">
        <v>43991</v>
      </c>
      <c r="AE393" s="19">
        <v>43990</v>
      </c>
      <c r="AF393" s="19">
        <v>43990</v>
      </c>
      <c r="AG393" s="19" t="s">
        <v>176</v>
      </c>
      <c r="AH393" s="31">
        <v>1</v>
      </c>
      <c r="AI393" s="31">
        <v>1</v>
      </c>
      <c r="AJ393" s="31">
        <v>1</v>
      </c>
      <c r="AK393" s="19" t="s">
        <v>150</v>
      </c>
      <c r="AL393" s="15"/>
      <c r="AM393" s="15"/>
      <c r="AN393" s="15"/>
    </row>
    <row r="394" spans="1:40" x14ac:dyDescent="0.25">
      <c r="B394" s="41">
        <f t="shared" si="75"/>
        <v>335</v>
      </c>
      <c r="C394" s="16">
        <v>20200603</v>
      </c>
      <c r="D394" s="15" t="s">
        <v>3</v>
      </c>
      <c r="E394" s="15" t="s">
        <v>1132</v>
      </c>
      <c r="F394" s="199" t="s">
        <v>1229</v>
      </c>
      <c r="G394" s="17">
        <v>1490120</v>
      </c>
      <c r="H394" s="52" t="s">
        <v>61</v>
      </c>
      <c r="I394" s="15" t="s">
        <v>153</v>
      </c>
      <c r="J394" s="52" t="s">
        <v>61</v>
      </c>
      <c r="K394" s="15" t="s">
        <v>146</v>
      </c>
      <c r="L394" s="15" t="s">
        <v>1165</v>
      </c>
      <c r="M394" s="80" t="s">
        <v>1166</v>
      </c>
      <c r="N394" s="15" t="s">
        <v>1163</v>
      </c>
      <c r="O394" s="77" t="s">
        <v>61</v>
      </c>
      <c r="P394" s="17" t="s">
        <v>1164</v>
      </c>
      <c r="Q394" s="18"/>
      <c r="R394" s="52" t="s">
        <v>61</v>
      </c>
      <c r="S394" s="15" t="s">
        <v>68</v>
      </c>
      <c r="T394" s="15"/>
      <c r="U394" s="15"/>
      <c r="V394" s="15">
        <v>34</v>
      </c>
      <c r="W394" s="15">
        <f t="shared" si="74"/>
        <v>34</v>
      </c>
      <c r="X394" s="15">
        <f t="shared" si="76"/>
        <v>34</v>
      </c>
      <c r="Y394" s="15">
        <f>ROUNDDOWN(W394/HLOOKUP(D394,Table!$C$3:$D$4,2,0)*8,2)</f>
        <v>0.6</v>
      </c>
      <c r="Z394" s="15">
        <f>Y394</f>
        <v>0.6</v>
      </c>
      <c r="AA394" s="15" t="s">
        <v>74</v>
      </c>
      <c r="AB394" s="19">
        <v>43991</v>
      </c>
      <c r="AC394" s="19">
        <v>43985</v>
      </c>
      <c r="AD394" s="99">
        <v>43991</v>
      </c>
      <c r="AE394" s="19">
        <v>43990</v>
      </c>
      <c r="AF394" s="19">
        <v>43990</v>
      </c>
      <c r="AG394" s="19" t="s">
        <v>176</v>
      </c>
      <c r="AH394" s="31">
        <v>1</v>
      </c>
      <c r="AI394" s="31">
        <v>1</v>
      </c>
      <c r="AJ394" s="31">
        <v>1</v>
      </c>
      <c r="AK394" s="19" t="s">
        <v>150</v>
      </c>
      <c r="AL394" s="15"/>
      <c r="AM394" s="15"/>
      <c r="AN394" s="15"/>
    </row>
    <row r="395" spans="1:40" x14ac:dyDescent="0.25">
      <c r="B395" s="41">
        <f t="shared" si="75"/>
        <v>336</v>
      </c>
      <c r="C395" s="16">
        <v>20200603</v>
      </c>
      <c r="D395" s="15" t="s">
        <v>3</v>
      </c>
      <c r="E395" s="15" t="s">
        <v>1132</v>
      </c>
      <c r="F395" s="199" t="s">
        <v>1230</v>
      </c>
      <c r="G395" s="17">
        <v>1490120</v>
      </c>
      <c r="H395" s="52" t="s">
        <v>61</v>
      </c>
      <c r="I395" s="15" t="s">
        <v>159</v>
      </c>
      <c r="J395" s="52" t="s">
        <v>61</v>
      </c>
      <c r="K395" s="15" t="s">
        <v>146</v>
      </c>
      <c r="L395" s="15" t="s">
        <v>1165</v>
      </c>
      <c r="M395" s="80" t="s">
        <v>1166</v>
      </c>
      <c r="N395" s="15" t="s">
        <v>1163</v>
      </c>
      <c r="O395" s="77" t="s">
        <v>61</v>
      </c>
      <c r="P395" s="17" t="s">
        <v>1164</v>
      </c>
      <c r="Q395" s="18"/>
      <c r="R395" s="52" t="s">
        <v>61</v>
      </c>
      <c r="S395" s="15" t="s">
        <v>68</v>
      </c>
      <c r="T395" s="15"/>
      <c r="U395" s="15"/>
      <c r="V395" s="15">
        <v>65</v>
      </c>
      <c r="W395" s="15">
        <f t="shared" si="74"/>
        <v>65</v>
      </c>
      <c r="X395" s="15">
        <f t="shared" si="76"/>
        <v>65</v>
      </c>
      <c r="Y395" s="15">
        <f>ROUNDDOWN(W395/HLOOKUP(D395,Table!$C$3:$D$4,2,0)*8,2)</f>
        <v>1.1499999999999999</v>
      </c>
      <c r="Z395" s="15">
        <v>1</v>
      </c>
      <c r="AA395" s="15" t="s">
        <v>74</v>
      </c>
      <c r="AB395" s="19">
        <v>43991</v>
      </c>
      <c r="AC395" s="19">
        <v>43985</v>
      </c>
      <c r="AD395" s="99">
        <v>43991</v>
      </c>
      <c r="AE395" s="19">
        <v>43990</v>
      </c>
      <c r="AF395" s="19">
        <v>43990</v>
      </c>
      <c r="AG395" s="19" t="s">
        <v>176</v>
      </c>
      <c r="AH395" s="31">
        <v>1</v>
      </c>
      <c r="AI395" s="31">
        <v>1</v>
      </c>
      <c r="AJ395" s="31">
        <v>1</v>
      </c>
      <c r="AK395" s="19" t="s">
        <v>150</v>
      </c>
      <c r="AL395" s="15"/>
      <c r="AM395" s="15"/>
      <c r="AN395" s="15"/>
    </row>
    <row r="396" spans="1:40" x14ac:dyDescent="0.25">
      <c r="A396" t="s">
        <v>1429</v>
      </c>
      <c r="B396" s="41">
        <f t="shared" si="75"/>
        <v>337</v>
      </c>
      <c r="C396" s="16">
        <v>20200603</v>
      </c>
      <c r="D396" s="15" t="s">
        <v>3</v>
      </c>
      <c r="E396" s="15" t="s">
        <v>1133</v>
      </c>
      <c r="F396" s="169" t="s">
        <v>1231</v>
      </c>
      <c r="G396" s="17">
        <v>1495479</v>
      </c>
      <c r="H396" s="52" t="s">
        <v>61</v>
      </c>
      <c r="I396" s="15" t="s">
        <v>402</v>
      </c>
      <c r="J396" s="52" t="s">
        <v>61</v>
      </c>
      <c r="K396" s="15" t="s">
        <v>146</v>
      </c>
      <c r="L396" s="15" t="s">
        <v>1167</v>
      </c>
      <c r="M396" s="80" t="s">
        <v>527</v>
      </c>
      <c r="N396" s="15" t="s">
        <v>405</v>
      </c>
      <c r="O396" s="77" t="s">
        <v>61</v>
      </c>
      <c r="P396" s="17" t="s">
        <v>1005</v>
      </c>
      <c r="Q396" s="18"/>
      <c r="R396" s="52" t="s">
        <v>61</v>
      </c>
      <c r="S396" s="15" t="s">
        <v>6</v>
      </c>
      <c r="T396" s="15"/>
      <c r="U396" s="15"/>
      <c r="V396" s="15">
        <v>149</v>
      </c>
      <c r="W396" s="84">
        <v>509</v>
      </c>
      <c r="X396" s="15">
        <f t="shared" si="76"/>
        <v>509</v>
      </c>
      <c r="Y396" s="15">
        <f>ROUNDDOWN(W396/HLOOKUP(D396,Table!$C$3:$D$4,2,0)*8,2)</f>
        <v>9.0399999999999991</v>
      </c>
      <c r="Z396" s="15">
        <v>4</v>
      </c>
      <c r="AA396" s="15" t="s">
        <v>74</v>
      </c>
      <c r="AB396" s="19">
        <v>43987</v>
      </c>
      <c r="AC396" s="19">
        <v>43985</v>
      </c>
      <c r="AD396" s="99">
        <v>43987</v>
      </c>
      <c r="AE396" s="19">
        <v>43986</v>
      </c>
      <c r="AF396" s="19">
        <v>43986</v>
      </c>
      <c r="AG396" s="19" t="s">
        <v>176</v>
      </c>
      <c r="AH396" s="31">
        <v>1</v>
      </c>
      <c r="AI396" s="31">
        <v>1</v>
      </c>
      <c r="AJ396" s="31">
        <v>1</v>
      </c>
      <c r="AK396" s="19" t="s">
        <v>150</v>
      </c>
      <c r="AL396" s="17" t="s">
        <v>61</v>
      </c>
      <c r="AM396" s="17" t="s">
        <v>61</v>
      </c>
      <c r="AN396" s="15" t="s">
        <v>1242</v>
      </c>
    </row>
    <row r="397" spans="1:40" x14ac:dyDescent="0.25">
      <c r="B397" s="41">
        <f t="shared" si="75"/>
        <v>338</v>
      </c>
      <c r="C397" s="16">
        <v>20200603</v>
      </c>
      <c r="D397" s="15" t="s">
        <v>3</v>
      </c>
      <c r="E397" s="15" t="s">
        <v>1134</v>
      </c>
      <c r="F397" s="169" t="s">
        <v>1232</v>
      </c>
      <c r="G397" s="17">
        <v>1495485</v>
      </c>
      <c r="H397" s="52" t="s">
        <v>61</v>
      </c>
      <c r="I397" s="15" t="s">
        <v>1155</v>
      </c>
      <c r="J397" s="52" t="s">
        <v>61</v>
      </c>
      <c r="K397" s="15" t="s">
        <v>146</v>
      </c>
      <c r="L397" s="15" t="s">
        <v>1170</v>
      </c>
      <c r="M397" s="80" t="s">
        <v>1171</v>
      </c>
      <c r="N397" s="15" t="s">
        <v>1169</v>
      </c>
      <c r="O397" s="77" t="s">
        <v>61</v>
      </c>
      <c r="P397" s="17" t="s">
        <v>1168</v>
      </c>
      <c r="Q397" s="18"/>
      <c r="R397" s="52" t="s">
        <v>61</v>
      </c>
      <c r="S397" s="15" t="s">
        <v>6</v>
      </c>
      <c r="T397" s="15"/>
      <c r="U397" s="15"/>
      <c r="V397" s="15">
        <v>233</v>
      </c>
      <c r="W397" s="15">
        <f t="shared" si="74"/>
        <v>233</v>
      </c>
      <c r="X397" s="15">
        <f t="shared" si="76"/>
        <v>233</v>
      </c>
      <c r="Y397" s="15">
        <f>ROUNDDOWN(W397/HLOOKUP(D397,Table!$C$3:$D$4,2,0)*8,2)</f>
        <v>4.1399999999999997</v>
      </c>
      <c r="Z397" s="15">
        <v>2</v>
      </c>
      <c r="AA397" s="15" t="s">
        <v>74</v>
      </c>
      <c r="AB397" s="19">
        <v>43990</v>
      </c>
      <c r="AC397" s="19">
        <v>43985</v>
      </c>
      <c r="AD397" s="99">
        <v>43990</v>
      </c>
      <c r="AE397" s="19">
        <v>43990</v>
      </c>
      <c r="AF397" s="19">
        <v>43990</v>
      </c>
      <c r="AG397" s="19" t="s">
        <v>176</v>
      </c>
      <c r="AH397" s="31">
        <v>1</v>
      </c>
      <c r="AI397" s="31">
        <v>1</v>
      </c>
      <c r="AJ397" s="31">
        <v>1</v>
      </c>
      <c r="AK397" s="19" t="s">
        <v>150</v>
      </c>
      <c r="AL397" s="15"/>
      <c r="AM397" s="15"/>
      <c r="AN397" s="15"/>
    </row>
    <row r="398" spans="1:40" x14ac:dyDescent="0.25">
      <c r="B398" s="41">
        <f t="shared" si="75"/>
        <v>339</v>
      </c>
      <c r="C398" s="16">
        <v>20200603</v>
      </c>
      <c r="D398" s="15" t="s">
        <v>3</v>
      </c>
      <c r="E398" s="15" t="s">
        <v>1134</v>
      </c>
      <c r="F398" s="169" t="s">
        <v>1233</v>
      </c>
      <c r="G398" s="17">
        <v>1495485</v>
      </c>
      <c r="H398" s="52" t="s">
        <v>61</v>
      </c>
      <c r="I398" s="15" t="s">
        <v>227</v>
      </c>
      <c r="J398" s="52" t="s">
        <v>61</v>
      </c>
      <c r="K398" s="15" t="s">
        <v>146</v>
      </c>
      <c r="L398" s="15" t="s">
        <v>1170</v>
      </c>
      <c r="M398" s="80" t="s">
        <v>1171</v>
      </c>
      <c r="N398" s="15" t="s">
        <v>1169</v>
      </c>
      <c r="O398" s="77" t="s">
        <v>61</v>
      </c>
      <c r="P398" s="17" t="s">
        <v>1168</v>
      </c>
      <c r="Q398" s="18"/>
      <c r="R398" s="52" t="s">
        <v>61</v>
      </c>
      <c r="S398" s="15" t="s">
        <v>6</v>
      </c>
      <c r="T398" s="15"/>
      <c r="U398" s="15"/>
      <c r="V398" s="15">
        <v>130</v>
      </c>
      <c r="W398" s="205">
        <v>357</v>
      </c>
      <c r="X398" s="15">
        <f t="shared" si="76"/>
        <v>357</v>
      </c>
      <c r="Y398" s="15">
        <f>ROUNDDOWN(W398/HLOOKUP(D398,Table!$C$3:$D$4,2,0)*8,2)</f>
        <v>6.34</v>
      </c>
      <c r="Z398" s="15">
        <v>2</v>
      </c>
      <c r="AA398" s="15" t="s">
        <v>74</v>
      </c>
      <c r="AB398" s="19">
        <v>43990</v>
      </c>
      <c r="AC398" s="19">
        <v>43985</v>
      </c>
      <c r="AD398" s="99">
        <v>43990</v>
      </c>
      <c r="AE398" s="19">
        <v>43990</v>
      </c>
      <c r="AF398" s="19">
        <v>43990</v>
      </c>
      <c r="AG398" s="19" t="s">
        <v>176</v>
      </c>
      <c r="AH398" s="31">
        <v>1</v>
      </c>
      <c r="AI398" s="31">
        <v>1</v>
      </c>
      <c r="AJ398" s="31">
        <v>1</v>
      </c>
      <c r="AK398" s="19" t="s">
        <v>150</v>
      </c>
      <c r="AL398" s="15"/>
      <c r="AM398" s="15"/>
      <c r="AN398" s="15" t="s">
        <v>1243</v>
      </c>
    </row>
    <row r="399" spans="1:40" x14ac:dyDescent="0.25">
      <c r="B399" s="41">
        <f t="shared" si="75"/>
        <v>340</v>
      </c>
      <c r="C399" s="16">
        <v>20200603</v>
      </c>
      <c r="D399" s="15" t="s">
        <v>3</v>
      </c>
      <c r="E399" s="15" t="s">
        <v>1135</v>
      </c>
      <c r="F399" s="169" t="s">
        <v>1234</v>
      </c>
      <c r="G399" s="17">
        <v>1500417</v>
      </c>
      <c r="H399" s="52" t="s">
        <v>61</v>
      </c>
      <c r="I399" s="15" t="s">
        <v>154</v>
      </c>
      <c r="J399" s="52" t="s">
        <v>61</v>
      </c>
      <c r="K399" s="15" t="s">
        <v>146</v>
      </c>
      <c r="L399" s="15" t="s">
        <v>180</v>
      </c>
      <c r="M399" s="80" t="s">
        <v>1186</v>
      </c>
      <c r="N399" s="15" t="s">
        <v>181</v>
      </c>
      <c r="O399" s="77" t="s">
        <v>61</v>
      </c>
      <c r="P399" s="17" t="s">
        <v>1172</v>
      </c>
      <c r="Q399" s="18"/>
      <c r="R399" s="52" t="s">
        <v>61</v>
      </c>
      <c r="S399" s="15" t="s">
        <v>6</v>
      </c>
      <c r="T399" s="15"/>
      <c r="U399" s="15"/>
      <c r="V399" s="15">
        <v>101</v>
      </c>
      <c r="W399" s="84">
        <v>292</v>
      </c>
      <c r="X399" s="15">
        <f t="shared" si="76"/>
        <v>292</v>
      </c>
      <c r="Y399" s="15">
        <f>ROUNDDOWN(W399/HLOOKUP(D399,Table!$C$3:$D$4,2,0)*8,2)</f>
        <v>5.19</v>
      </c>
      <c r="Z399" s="15">
        <v>1</v>
      </c>
      <c r="AA399" s="15" t="s">
        <v>74</v>
      </c>
      <c r="AB399" s="19">
        <v>43994</v>
      </c>
      <c r="AC399" s="19">
        <v>43985</v>
      </c>
      <c r="AD399" s="172">
        <v>43996</v>
      </c>
      <c r="AE399" s="19">
        <v>43990</v>
      </c>
      <c r="AF399" s="19">
        <v>43990</v>
      </c>
      <c r="AG399" s="19" t="s">
        <v>176</v>
      </c>
      <c r="AH399" s="31">
        <v>1</v>
      </c>
      <c r="AI399" s="31">
        <v>1</v>
      </c>
      <c r="AJ399" s="31">
        <v>1</v>
      </c>
      <c r="AK399" s="19" t="s">
        <v>150</v>
      </c>
      <c r="AL399" s="15"/>
      <c r="AM399" s="15"/>
      <c r="AN399" s="15" t="s">
        <v>1246</v>
      </c>
    </row>
    <row r="400" spans="1:40" x14ac:dyDescent="0.25">
      <c r="B400" s="41">
        <f t="shared" si="75"/>
        <v>341</v>
      </c>
      <c r="C400" s="16">
        <v>20200603</v>
      </c>
      <c r="D400" s="15" t="s">
        <v>3</v>
      </c>
      <c r="E400" s="15" t="s">
        <v>1135</v>
      </c>
      <c r="F400" s="169" t="s">
        <v>1235</v>
      </c>
      <c r="G400" s="17">
        <v>1500417</v>
      </c>
      <c r="H400" s="52" t="s">
        <v>61</v>
      </c>
      <c r="I400" s="15" t="s">
        <v>602</v>
      </c>
      <c r="J400" s="52" t="s">
        <v>61</v>
      </c>
      <c r="K400" s="15" t="s">
        <v>146</v>
      </c>
      <c r="L400" s="15" t="s">
        <v>180</v>
      </c>
      <c r="M400" s="80" t="s">
        <v>1186</v>
      </c>
      <c r="N400" s="15" t="s">
        <v>181</v>
      </c>
      <c r="O400" s="77" t="s">
        <v>61</v>
      </c>
      <c r="P400" s="17" t="s">
        <v>1172</v>
      </c>
      <c r="Q400" s="18"/>
      <c r="R400" s="52" t="s">
        <v>61</v>
      </c>
      <c r="S400" s="15" t="s">
        <v>6</v>
      </c>
      <c r="T400" s="15"/>
      <c r="U400" s="15"/>
      <c r="V400" s="15">
        <v>66</v>
      </c>
      <c r="W400" s="84">
        <v>69</v>
      </c>
      <c r="X400" s="15">
        <f t="shared" ref="X400:X405" si="77">W400</f>
        <v>69</v>
      </c>
      <c r="Y400" s="15">
        <f>ROUNDDOWN(W400/HLOOKUP(D400,Table!$C$3:$D$4,2,0)*8,2)</f>
        <v>1.22</v>
      </c>
      <c r="Z400" s="15">
        <v>1</v>
      </c>
      <c r="AA400" s="15" t="s">
        <v>74</v>
      </c>
      <c r="AB400" s="19">
        <v>43994</v>
      </c>
      <c r="AC400" s="19">
        <v>43985</v>
      </c>
      <c r="AD400" s="172">
        <v>43996</v>
      </c>
      <c r="AE400" s="19">
        <v>43991</v>
      </c>
      <c r="AF400" s="19">
        <v>43991</v>
      </c>
      <c r="AG400" s="19" t="s">
        <v>176</v>
      </c>
      <c r="AH400" s="31">
        <v>1</v>
      </c>
      <c r="AI400" s="31">
        <v>1</v>
      </c>
      <c r="AJ400" s="31">
        <v>1</v>
      </c>
      <c r="AK400" s="19" t="s">
        <v>150</v>
      </c>
      <c r="AL400" s="15"/>
      <c r="AM400" s="15"/>
      <c r="AN400" s="15" t="s">
        <v>1245</v>
      </c>
    </row>
    <row r="401" spans="1:40" x14ac:dyDescent="0.25">
      <c r="B401" s="41">
        <f t="shared" si="75"/>
        <v>342</v>
      </c>
      <c r="C401" s="16">
        <v>20200603</v>
      </c>
      <c r="D401" s="15" t="s">
        <v>2</v>
      </c>
      <c r="E401" s="15" t="s">
        <v>1099</v>
      </c>
      <c r="F401" s="17" t="s">
        <v>61</v>
      </c>
      <c r="G401" s="17">
        <v>1499718</v>
      </c>
      <c r="H401" s="52" t="s">
        <v>61</v>
      </c>
      <c r="I401" s="15" t="s">
        <v>417</v>
      </c>
      <c r="J401" s="52" t="s">
        <v>61</v>
      </c>
      <c r="K401" s="15" t="s">
        <v>146</v>
      </c>
      <c r="L401" s="15" t="s">
        <v>150</v>
      </c>
      <c r="M401" s="80" t="s">
        <v>1173</v>
      </c>
      <c r="N401" s="15">
        <v>1499718</v>
      </c>
      <c r="O401" s="17" t="s">
        <v>1102</v>
      </c>
      <c r="P401" s="17" t="s">
        <v>426</v>
      </c>
      <c r="Q401" s="18"/>
      <c r="R401" s="52" t="s">
        <v>61</v>
      </c>
      <c r="S401" s="15" t="s">
        <v>70</v>
      </c>
      <c r="T401" s="15"/>
      <c r="U401" s="15"/>
      <c r="V401" s="15">
        <v>50</v>
      </c>
      <c r="W401" s="15">
        <v>0</v>
      </c>
      <c r="X401" s="15">
        <f>W401</f>
        <v>0</v>
      </c>
      <c r="Y401" s="15">
        <f>ROUNDDOWN(W401/HLOOKUP(D401,Table!$C$3:$D$4,2,0)*8,2)</f>
        <v>0</v>
      </c>
      <c r="Z401" s="15">
        <v>3</v>
      </c>
      <c r="AA401" s="15" t="s">
        <v>74</v>
      </c>
      <c r="AB401" s="19">
        <v>43994</v>
      </c>
      <c r="AC401" s="19">
        <v>43985</v>
      </c>
      <c r="AD401" s="172">
        <v>43996</v>
      </c>
      <c r="AE401" s="19">
        <v>43986</v>
      </c>
      <c r="AF401" s="19">
        <v>43986</v>
      </c>
      <c r="AG401" s="19" t="s">
        <v>176</v>
      </c>
      <c r="AH401" s="79" t="s">
        <v>61</v>
      </c>
      <c r="AI401" s="79" t="s">
        <v>61</v>
      </c>
      <c r="AJ401" s="79" t="s">
        <v>61</v>
      </c>
      <c r="AK401" s="19" t="s">
        <v>150</v>
      </c>
      <c r="AL401" s="15" t="s">
        <v>61</v>
      </c>
      <c r="AM401" s="15" t="s">
        <v>61</v>
      </c>
      <c r="AN401" s="17" t="s">
        <v>656</v>
      </c>
    </row>
    <row r="402" spans="1:40" x14ac:dyDescent="0.25">
      <c r="B402" s="41">
        <f t="shared" si="75"/>
        <v>343</v>
      </c>
      <c r="C402" s="16">
        <v>20200603</v>
      </c>
      <c r="D402" s="15" t="s">
        <v>2</v>
      </c>
      <c r="E402" s="15" t="s">
        <v>264</v>
      </c>
      <c r="F402" s="17" t="s">
        <v>61</v>
      </c>
      <c r="G402" s="17">
        <v>1497973</v>
      </c>
      <c r="H402" s="52" t="s">
        <v>61</v>
      </c>
      <c r="I402" s="15" t="s">
        <v>1283</v>
      </c>
      <c r="J402" s="52" t="s">
        <v>61</v>
      </c>
      <c r="K402" s="15" t="s">
        <v>146</v>
      </c>
      <c r="L402" s="15" t="s">
        <v>150</v>
      </c>
      <c r="M402" s="80" t="s">
        <v>297</v>
      </c>
      <c r="N402" s="15">
        <v>1497973</v>
      </c>
      <c r="O402" s="17">
        <v>1.2</v>
      </c>
      <c r="P402" s="17" t="s">
        <v>1178</v>
      </c>
      <c r="Q402" s="18"/>
      <c r="R402" s="52" t="s">
        <v>61</v>
      </c>
      <c r="S402" s="15" t="s">
        <v>68</v>
      </c>
      <c r="T402" s="15"/>
      <c r="U402" s="15"/>
      <c r="V402" s="15">
        <v>40</v>
      </c>
      <c r="W402" s="15">
        <f t="shared" si="74"/>
        <v>40</v>
      </c>
      <c r="X402" s="15">
        <f t="shared" si="77"/>
        <v>40</v>
      </c>
      <c r="Y402" s="15">
        <f>ROUNDDOWN(W402/HLOOKUP(D402,Table!$C$3:$D$4,2,0)*8,2)</f>
        <v>2.46</v>
      </c>
      <c r="Z402" s="15">
        <v>2</v>
      </c>
      <c r="AA402" s="15" t="s">
        <v>74</v>
      </c>
      <c r="AB402" s="19">
        <v>43990</v>
      </c>
      <c r="AC402" s="19">
        <v>43985</v>
      </c>
      <c r="AD402" s="99">
        <v>43990</v>
      </c>
      <c r="AE402" s="19">
        <v>43987</v>
      </c>
      <c r="AF402" s="19">
        <v>43987</v>
      </c>
      <c r="AG402" s="19" t="s">
        <v>176</v>
      </c>
      <c r="AH402" s="31">
        <v>1</v>
      </c>
      <c r="AI402" s="31">
        <v>1</v>
      </c>
      <c r="AJ402" s="31">
        <v>1</v>
      </c>
      <c r="AK402" s="19" t="s">
        <v>150</v>
      </c>
      <c r="AL402" s="15"/>
      <c r="AM402" s="15"/>
      <c r="AN402" s="15"/>
    </row>
    <row r="403" spans="1:40" x14ac:dyDescent="0.25">
      <c r="B403" s="41">
        <f t="shared" si="75"/>
        <v>344</v>
      </c>
      <c r="C403" s="16">
        <v>20200603</v>
      </c>
      <c r="D403" s="15" t="s">
        <v>3</v>
      </c>
      <c r="E403" s="15" t="s">
        <v>1136</v>
      </c>
      <c r="F403" s="169" t="s">
        <v>1236</v>
      </c>
      <c r="G403" s="17">
        <v>1500742</v>
      </c>
      <c r="H403" s="52" t="s">
        <v>61</v>
      </c>
      <c r="I403" s="15" t="s">
        <v>156</v>
      </c>
      <c r="J403" s="52" t="s">
        <v>61</v>
      </c>
      <c r="K403" s="15" t="s">
        <v>146</v>
      </c>
      <c r="L403" s="15" t="s">
        <v>1177</v>
      </c>
      <c r="M403" s="80" t="s">
        <v>1174</v>
      </c>
      <c r="N403" s="15" t="s">
        <v>1176</v>
      </c>
      <c r="O403" s="77" t="s">
        <v>61</v>
      </c>
      <c r="P403" s="17" t="s">
        <v>616</v>
      </c>
      <c r="Q403" s="18"/>
      <c r="R403" s="52" t="s">
        <v>61</v>
      </c>
      <c r="S403" s="15" t="s">
        <v>6</v>
      </c>
      <c r="T403" s="15"/>
      <c r="U403" s="15"/>
      <c r="V403" s="15">
        <v>145</v>
      </c>
      <c r="W403" s="15">
        <f t="shared" si="74"/>
        <v>145</v>
      </c>
      <c r="X403" s="15">
        <f t="shared" si="77"/>
        <v>145</v>
      </c>
      <c r="Y403" s="15">
        <f>ROUNDDOWN(W403/HLOOKUP(D403,Table!$C$3:$D$4,2,0)*8,2)</f>
        <v>2.57</v>
      </c>
      <c r="Z403" s="15">
        <v>1</v>
      </c>
      <c r="AA403" s="15" t="s">
        <v>74</v>
      </c>
      <c r="AB403" s="19">
        <v>43994</v>
      </c>
      <c r="AC403" s="19">
        <v>43985</v>
      </c>
      <c r="AD403" s="172">
        <v>43996</v>
      </c>
      <c r="AE403" s="19">
        <v>43991</v>
      </c>
      <c r="AF403" s="19">
        <v>43991</v>
      </c>
      <c r="AG403" s="19" t="s">
        <v>176</v>
      </c>
      <c r="AH403" s="31">
        <v>1</v>
      </c>
      <c r="AI403" s="31">
        <v>1</v>
      </c>
      <c r="AJ403" s="31">
        <v>1</v>
      </c>
      <c r="AK403" s="19" t="s">
        <v>150</v>
      </c>
      <c r="AL403" s="15" t="s">
        <v>61</v>
      </c>
      <c r="AM403" s="17" t="s">
        <v>61</v>
      </c>
      <c r="AN403" s="15" t="s">
        <v>1433</v>
      </c>
    </row>
    <row r="404" spans="1:40" x14ac:dyDescent="0.25">
      <c r="B404" s="41">
        <f t="shared" si="75"/>
        <v>345</v>
      </c>
      <c r="C404" s="16">
        <v>20200603</v>
      </c>
      <c r="D404" s="15" t="s">
        <v>3</v>
      </c>
      <c r="E404" s="15" t="s">
        <v>1136</v>
      </c>
      <c r="F404" s="169" t="s">
        <v>1237</v>
      </c>
      <c r="G404" s="17">
        <v>1500742</v>
      </c>
      <c r="H404" s="52" t="s">
        <v>61</v>
      </c>
      <c r="I404" s="15" t="s">
        <v>1156</v>
      </c>
      <c r="J404" s="52" t="s">
        <v>61</v>
      </c>
      <c r="K404" s="15" t="s">
        <v>146</v>
      </c>
      <c r="L404" s="15" t="s">
        <v>1177</v>
      </c>
      <c r="M404" s="80" t="s">
        <v>1174</v>
      </c>
      <c r="N404" s="15" t="s">
        <v>1176</v>
      </c>
      <c r="O404" s="77" t="s">
        <v>61</v>
      </c>
      <c r="P404" s="17" t="s">
        <v>616</v>
      </c>
      <c r="Q404" s="18"/>
      <c r="R404" s="52" t="s">
        <v>61</v>
      </c>
      <c r="S404" s="15" t="s">
        <v>6</v>
      </c>
      <c r="T404" s="15"/>
      <c r="U404" s="15"/>
      <c r="V404" s="15">
        <v>154</v>
      </c>
      <c r="W404" s="15">
        <f t="shared" si="74"/>
        <v>154</v>
      </c>
      <c r="X404" s="15">
        <f t="shared" si="77"/>
        <v>154</v>
      </c>
      <c r="Y404" s="15">
        <f>ROUNDDOWN(W404/HLOOKUP(D404,Table!$C$3:$D$4,2,0)*8,2)</f>
        <v>2.73</v>
      </c>
      <c r="Z404" s="15">
        <v>1</v>
      </c>
      <c r="AA404" s="15" t="s">
        <v>74</v>
      </c>
      <c r="AB404" s="19">
        <v>43994</v>
      </c>
      <c r="AC404" s="19">
        <v>43985</v>
      </c>
      <c r="AD404" s="172">
        <v>43996</v>
      </c>
      <c r="AE404" s="19">
        <v>43991</v>
      </c>
      <c r="AF404" s="19">
        <v>43991</v>
      </c>
      <c r="AG404" s="19" t="s">
        <v>176</v>
      </c>
      <c r="AH404" s="31">
        <v>0.93</v>
      </c>
      <c r="AI404" s="31">
        <v>0.8</v>
      </c>
      <c r="AJ404" s="31">
        <v>1</v>
      </c>
      <c r="AK404" s="19" t="s">
        <v>139</v>
      </c>
      <c r="AL404" s="15" t="s">
        <v>1432</v>
      </c>
      <c r="AM404" s="17" t="s">
        <v>61</v>
      </c>
      <c r="AN404" s="15" t="s">
        <v>1110</v>
      </c>
    </row>
    <row r="405" spans="1:40" x14ac:dyDescent="0.25">
      <c r="B405" s="41">
        <f t="shared" si="75"/>
        <v>346</v>
      </c>
      <c r="C405" s="16">
        <v>20200603</v>
      </c>
      <c r="D405" s="15" t="s">
        <v>3</v>
      </c>
      <c r="E405" s="15" t="s">
        <v>1136</v>
      </c>
      <c r="F405" s="169" t="s">
        <v>1238</v>
      </c>
      <c r="G405" s="17">
        <v>1500742</v>
      </c>
      <c r="H405" s="52" t="s">
        <v>61</v>
      </c>
      <c r="I405" s="15" t="s">
        <v>1157</v>
      </c>
      <c r="J405" s="52" t="s">
        <v>61</v>
      </c>
      <c r="K405" s="15" t="s">
        <v>146</v>
      </c>
      <c r="L405" s="15" t="s">
        <v>1177</v>
      </c>
      <c r="M405" s="80" t="s">
        <v>1174</v>
      </c>
      <c r="N405" s="15" t="s">
        <v>1176</v>
      </c>
      <c r="O405" s="77" t="s">
        <v>61</v>
      </c>
      <c r="P405" s="17" t="s">
        <v>616</v>
      </c>
      <c r="Q405" s="18"/>
      <c r="R405" s="52" t="s">
        <v>61</v>
      </c>
      <c r="S405" s="15" t="s">
        <v>6</v>
      </c>
      <c r="T405" s="15"/>
      <c r="U405" s="15"/>
      <c r="V405" s="15">
        <v>120</v>
      </c>
      <c r="W405" s="84">
        <v>458</v>
      </c>
      <c r="X405" s="15">
        <f t="shared" si="77"/>
        <v>458</v>
      </c>
      <c r="Y405" s="15">
        <f>ROUNDDOWN(W405/HLOOKUP(D405,Table!$C$3:$D$4,2,0)*8,2)</f>
        <v>8.14</v>
      </c>
      <c r="Z405" s="15">
        <v>1</v>
      </c>
      <c r="AA405" s="15" t="s">
        <v>74</v>
      </c>
      <c r="AB405" s="19">
        <v>43994</v>
      </c>
      <c r="AC405" s="19">
        <v>43985</v>
      </c>
      <c r="AD405" s="172">
        <v>43996</v>
      </c>
      <c r="AE405" s="19">
        <v>43991</v>
      </c>
      <c r="AF405" s="19">
        <v>43991</v>
      </c>
      <c r="AG405" s="19" t="s">
        <v>176</v>
      </c>
      <c r="AH405" s="31">
        <v>1</v>
      </c>
      <c r="AI405" s="31">
        <v>1</v>
      </c>
      <c r="AJ405" s="31">
        <v>1</v>
      </c>
      <c r="AK405" s="19" t="s">
        <v>150</v>
      </c>
      <c r="AL405" s="15" t="s">
        <v>61</v>
      </c>
      <c r="AM405" s="17" t="s">
        <v>61</v>
      </c>
      <c r="AN405" s="15" t="s">
        <v>1244</v>
      </c>
    </row>
    <row r="406" spans="1:40" x14ac:dyDescent="0.25">
      <c r="B406" s="200">
        <f t="shared" si="75"/>
        <v>347</v>
      </c>
      <c r="C406" s="16">
        <v>20200603</v>
      </c>
      <c r="D406" s="15" t="s">
        <v>3</v>
      </c>
      <c r="E406" s="80" t="s">
        <v>1189</v>
      </c>
      <c r="F406" s="169" t="s">
        <v>1267</v>
      </c>
      <c r="G406" s="80">
        <v>1498009</v>
      </c>
      <c r="H406" s="52" t="s">
        <v>61</v>
      </c>
      <c r="I406" s="80" t="s">
        <v>1192</v>
      </c>
      <c r="J406" s="52" t="s">
        <v>61</v>
      </c>
      <c r="K406" s="15" t="s">
        <v>146</v>
      </c>
      <c r="L406" s="80" t="s">
        <v>1197</v>
      </c>
      <c r="M406" s="80" t="s">
        <v>1203</v>
      </c>
      <c r="N406" s="80" t="s">
        <v>1206</v>
      </c>
      <c r="O406" s="17" t="s">
        <v>61</v>
      </c>
      <c r="P406" s="77" t="s">
        <v>203</v>
      </c>
      <c r="Q406" s="18"/>
      <c r="R406" s="52" t="s">
        <v>61</v>
      </c>
      <c r="S406" s="15" t="s">
        <v>142</v>
      </c>
      <c r="T406" s="15"/>
      <c r="U406" s="15"/>
      <c r="V406" s="80">
        <v>125</v>
      </c>
      <c r="W406" s="211">
        <v>904</v>
      </c>
      <c r="X406" s="212">
        <v>904</v>
      </c>
      <c r="Y406" s="15">
        <f>ROUNDDOWN(W406/HLOOKUP(D406,Table!$C$3:$D$4,2,0)*8,2)</f>
        <v>16.07</v>
      </c>
      <c r="Z406" s="15">
        <v>4</v>
      </c>
      <c r="AA406" s="15" t="s">
        <v>74</v>
      </c>
      <c r="AB406" s="19">
        <v>43987</v>
      </c>
      <c r="AC406" s="19">
        <v>43986</v>
      </c>
      <c r="AD406" s="99">
        <v>43986</v>
      </c>
      <c r="AE406" s="19">
        <v>43986</v>
      </c>
      <c r="AF406" s="19">
        <v>43986</v>
      </c>
      <c r="AG406" s="19" t="s">
        <v>177</v>
      </c>
      <c r="AH406" s="31">
        <v>1</v>
      </c>
      <c r="AI406" s="31">
        <v>1</v>
      </c>
      <c r="AJ406" s="31">
        <v>0.99</v>
      </c>
      <c r="AK406" s="19" t="s">
        <v>139</v>
      </c>
      <c r="AL406" s="210" t="s">
        <v>1268</v>
      </c>
      <c r="AM406" s="15"/>
      <c r="AN406" s="77" t="s">
        <v>647</v>
      </c>
    </row>
    <row r="407" spans="1:40" x14ac:dyDescent="0.25">
      <c r="B407" s="200">
        <f t="shared" si="75"/>
        <v>348</v>
      </c>
      <c r="C407" s="16">
        <v>20200603</v>
      </c>
      <c r="D407" s="15" t="s">
        <v>3</v>
      </c>
      <c r="E407" s="80" t="s">
        <v>1099</v>
      </c>
      <c r="F407" s="169" t="s">
        <v>1285</v>
      </c>
      <c r="G407" s="80">
        <v>1497948</v>
      </c>
      <c r="H407" s="52" t="s">
        <v>61</v>
      </c>
      <c r="I407" s="80" t="s">
        <v>1193</v>
      </c>
      <c r="J407" s="52" t="s">
        <v>61</v>
      </c>
      <c r="K407" s="15" t="s">
        <v>146</v>
      </c>
      <c r="L407" s="80" t="s">
        <v>1198</v>
      </c>
      <c r="M407" s="80" t="s">
        <v>1173</v>
      </c>
      <c r="N407" s="80" t="s">
        <v>1207</v>
      </c>
      <c r="O407" s="17" t="s">
        <v>61</v>
      </c>
      <c r="P407" s="77" t="s">
        <v>1200</v>
      </c>
      <c r="Q407" s="18"/>
      <c r="R407" s="52" t="s">
        <v>61</v>
      </c>
      <c r="S407" s="15" t="s">
        <v>6</v>
      </c>
      <c r="T407" s="15"/>
      <c r="U407" s="15"/>
      <c r="V407" s="80">
        <v>1092</v>
      </c>
      <c r="W407" s="15">
        <f t="shared" ref="W407:W411" si="78">V407</f>
        <v>1092</v>
      </c>
      <c r="X407" s="15">
        <f t="shared" ref="X407:X417" si="79">W407</f>
        <v>1092</v>
      </c>
      <c r="Y407" s="15">
        <f>ROUNDDOWN(W407/HLOOKUP(D407,Table!$C$3:$D$4,2,0)*8,2)</f>
        <v>19.41</v>
      </c>
      <c r="Z407" s="15">
        <v>8</v>
      </c>
      <c r="AA407" s="15" t="s">
        <v>74</v>
      </c>
      <c r="AB407" s="19">
        <v>43987</v>
      </c>
      <c r="AC407" s="19">
        <v>43986</v>
      </c>
      <c r="AD407" s="99">
        <v>43988</v>
      </c>
      <c r="AE407" s="19">
        <v>43987</v>
      </c>
      <c r="AF407" s="19">
        <v>43987</v>
      </c>
      <c r="AG407" s="19" t="s">
        <v>177</v>
      </c>
      <c r="AH407" s="31">
        <v>1</v>
      </c>
      <c r="AI407" s="31">
        <v>1</v>
      </c>
      <c r="AJ407" s="31">
        <v>0.97</v>
      </c>
      <c r="AK407" s="19" t="s">
        <v>139</v>
      </c>
      <c r="AL407" s="15" t="s">
        <v>1284</v>
      </c>
      <c r="AM407" s="15"/>
      <c r="AN407" s="15" t="s">
        <v>1110</v>
      </c>
    </row>
    <row r="408" spans="1:40" x14ac:dyDescent="0.25">
      <c r="B408" s="200">
        <f t="shared" si="75"/>
        <v>349</v>
      </c>
      <c r="C408" s="16">
        <v>20200603</v>
      </c>
      <c r="D408" s="15" t="s">
        <v>3</v>
      </c>
      <c r="E408" s="80" t="s">
        <v>1190</v>
      </c>
      <c r="F408" s="169" t="s">
        <v>1463</v>
      </c>
      <c r="G408" s="80">
        <v>1445631</v>
      </c>
      <c r="H408" s="52" t="s">
        <v>61</v>
      </c>
      <c r="I408" s="80" t="s">
        <v>1194</v>
      </c>
      <c r="J408" s="52" t="s">
        <v>61</v>
      </c>
      <c r="K408" s="15" t="s">
        <v>146</v>
      </c>
      <c r="L408" s="80" t="s">
        <v>1199</v>
      </c>
      <c r="M408" s="80" t="s">
        <v>1204</v>
      </c>
      <c r="N408" s="80" t="s">
        <v>1208</v>
      </c>
      <c r="O408" s="17" t="s">
        <v>61</v>
      </c>
      <c r="P408" s="77" t="s">
        <v>1201</v>
      </c>
      <c r="Q408" s="18"/>
      <c r="R408" s="52" t="s">
        <v>61</v>
      </c>
      <c r="S408" s="15" t="s">
        <v>142</v>
      </c>
      <c r="T408" s="15"/>
      <c r="U408" s="15"/>
      <c r="V408" s="80">
        <v>87</v>
      </c>
      <c r="W408" s="15">
        <f t="shared" si="78"/>
        <v>87</v>
      </c>
      <c r="X408" s="15">
        <f t="shared" si="79"/>
        <v>87</v>
      </c>
      <c r="Y408" s="15">
        <f>ROUNDDOWN(W408/HLOOKUP(D408,Table!$C$3:$D$4,2,0)*8,2)</f>
        <v>1.54</v>
      </c>
      <c r="Z408" s="15">
        <v>0.5</v>
      </c>
      <c r="AA408" s="15" t="s">
        <v>74</v>
      </c>
      <c r="AB408" s="19">
        <v>43992</v>
      </c>
      <c r="AC408" s="19">
        <v>43986</v>
      </c>
      <c r="AD408" s="99">
        <v>43992</v>
      </c>
      <c r="AE408" s="19">
        <v>43987</v>
      </c>
      <c r="AF408" s="19">
        <v>43987</v>
      </c>
      <c r="AG408" s="19" t="s">
        <v>176</v>
      </c>
      <c r="AH408" s="31">
        <v>1</v>
      </c>
      <c r="AI408" s="31">
        <v>1</v>
      </c>
      <c r="AJ408" s="31">
        <v>1</v>
      </c>
      <c r="AK408" s="19" t="s">
        <v>150</v>
      </c>
      <c r="AL408" s="17" t="s">
        <v>61</v>
      </c>
      <c r="AM408" s="17" t="s">
        <v>61</v>
      </c>
      <c r="AN408" s="17" t="s">
        <v>61</v>
      </c>
    </row>
    <row r="409" spans="1:40" x14ac:dyDescent="0.25">
      <c r="B409" s="200">
        <f t="shared" si="75"/>
        <v>350</v>
      </c>
      <c r="C409" s="16">
        <v>20200603</v>
      </c>
      <c r="D409" s="15" t="s">
        <v>3</v>
      </c>
      <c r="E409" s="80" t="s">
        <v>1190</v>
      </c>
      <c r="F409" s="169" t="s">
        <v>1463</v>
      </c>
      <c r="G409" s="80">
        <v>1445631</v>
      </c>
      <c r="H409" s="52" t="s">
        <v>61</v>
      </c>
      <c r="I409" s="80" t="s">
        <v>1195</v>
      </c>
      <c r="J409" s="52" t="s">
        <v>61</v>
      </c>
      <c r="K409" s="15" t="s">
        <v>146</v>
      </c>
      <c r="L409" s="80" t="s">
        <v>1199</v>
      </c>
      <c r="M409" s="80" t="s">
        <v>1204</v>
      </c>
      <c r="N409" s="80" t="s">
        <v>1208</v>
      </c>
      <c r="O409" s="17" t="s">
        <v>61</v>
      </c>
      <c r="P409" s="77" t="s">
        <v>1201</v>
      </c>
      <c r="Q409" s="18"/>
      <c r="R409" s="52" t="s">
        <v>61</v>
      </c>
      <c r="S409" s="15" t="s">
        <v>142</v>
      </c>
      <c r="T409" s="15"/>
      <c r="U409" s="15"/>
      <c r="V409" s="80">
        <v>166</v>
      </c>
      <c r="W409" s="15">
        <f t="shared" si="78"/>
        <v>166</v>
      </c>
      <c r="X409" s="15">
        <f t="shared" si="79"/>
        <v>166</v>
      </c>
      <c r="Y409" s="15">
        <f>ROUNDDOWN(W409/HLOOKUP(D409,Table!$C$3:$D$4,2,0)*8,2)</f>
        <v>2.95</v>
      </c>
      <c r="Z409" s="15">
        <v>1</v>
      </c>
      <c r="AA409" s="15" t="s">
        <v>74</v>
      </c>
      <c r="AB409" s="19">
        <v>43992</v>
      </c>
      <c r="AC409" s="19">
        <v>43986</v>
      </c>
      <c r="AD409" s="99">
        <v>43992</v>
      </c>
      <c r="AE409" s="19">
        <v>43987</v>
      </c>
      <c r="AF409" s="19">
        <v>43987</v>
      </c>
      <c r="AG409" s="19" t="s">
        <v>177</v>
      </c>
      <c r="AH409" s="31">
        <v>1</v>
      </c>
      <c r="AI409" s="31">
        <v>1</v>
      </c>
      <c r="AJ409" s="31">
        <v>0.81</v>
      </c>
      <c r="AK409" s="19" t="s">
        <v>139</v>
      </c>
      <c r="AL409" s="17" t="s">
        <v>1271</v>
      </c>
      <c r="AM409" s="17" t="s">
        <v>61</v>
      </c>
      <c r="AN409" s="17" t="s">
        <v>647</v>
      </c>
    </row>
    <row r="410" spans="1:40" x14ac:dyDescent="0.25">
      <c r="B410" s="200">
        <f t="shared" si="75"/>
        <v>351</v>
      </c>
      <c r="C410" s="16">
        <v>20200603</v>
      </c>
      <c r="D410" s="15" t="s">
        <v>3</v>
      </c>
      <c r="E410" s="80" t="s">
        <v>1191</v>
      </c>
      <c r="F410" s="169" t="s">
        <v>1298</v>
      </c>
      <c r="G410" s="80">
        <v>1461527</v>
      </c>
      <c r="H410" s="52" t="s">
        <v>61</v>
      </c>
      <c r="I410" s="80" t="s">
        <v>1196</v>
      </c>
      <c r="J410" s="52" t="s">
        <v>61</v>
      </c>
      <c r="K410" s="15" t="s">
        <v>146</v>
      </c>
      <c r="L410" s="15" t="s">
        <v>180</v>
      </c>
      <c r="M410" s="80" t="s">
        <v>1205</v>
      </c>
      <c r="N410" s="80" t="s">
        <v>181</v>
      </c>
      <c r="O410" s="17" t="s">
        <v>61</v>
      </c>
      <c r="P410" s="77" t="s">
        <v>1202</v>
      </c>
      <c r="Q410" s="18"/>
      <c r="R410" s="52" t="s">
        <v>61</v>
      </c>
      <c r="S410" s="15" t="s">
        <v>142</v>
      </c>
      <c r="T410" s="15"/>
      <c r="U410" s="15"/>
      <c r="V410" s="80">
        <v>74</v>
      </c>
      <c r="W410" s="15">
        <f t="shared" si="78"/>
        <v>74</v>
      </c>
      <c r="X410" s="15">
        <f t="shared" si="79"/>
        <v>74</v>
      </c>
      <c r="Y410" s="15">
        <f>ROUNDDOWN(W410/HLOOKUP(D410,Table!$C$3:$D$4,2,0)*8,2)</f>
        <v>1.31</v>
      </c>
      <c r="Z410" s="15">
        <v>0.2</v>
      </c>
      <c r="AA410" s="15" t="s">
        <v>74</v>
      </c>
      <c r="AB410" s="19">
        <v>43992</v>
      </c>
      <c r="AC410" s="19">
        <v>43986</v>
      </c>
      <c r="AD410" s="99">
        <v>43992</v>
      </c>
      <c r="AE410" s="19">
        <v>43987</v>
      </c>
      <c r="AF410" s="19">
        <v>43987</v>
      </c>
      <c r="AG410" s="19" t="s">
        <v>176</v>
      </c>
      <c r="AH410" s="79">
        <v>1</v>
      </c>
      <c r="AI410" s="79">
        <v>1</v>
      </c>
      <c r="AJ410" s="79">
        <v>1</v>
      </c>
      <c r="AK410" s="19" t="s">
        <v>150</v>
      </c>
      <c r="AL410" s="17" t="s">
        <v>61</v>
      </c>
      <c r="AM410" s="17" t="s">
        <v>61</v>
      </c>
      <c r="AN410" s="17" t="s">
        <v>61</v>
      </c>
    </row>
    <row r="411" spans="1:40" x14ac:dyDescent="0.25">
      <c r="B411" s="200">
        <f t="shared" si="75"/>
        <v>352</v>
      </c>
      <c r="C411" s="16">
        <v>20200603</v>
      </c>
      <c r="D411" s="15" t="s">
        <v>3</v>
      </c>
      <c r="E411" s="80" t="s">
        <v>1191</v>
      </c>
      <c r="F411" s="169" t="s">
        <v>1298</v>
      </c>
      <c r="G411" s="80">
        <v>1489611</v>
      </c>
      <c r="H411" s="52" t="s">
        <v>61</v>
      </c>
      <c r="I411" s="80" t="s">
        <v>1196</v>
      </c>
      <c r="J411" s="52" t="s">
        <v>61</v>
      </c>
      <c r="K411" s="15" t="s">
        <v>146</v>
      </c>
      <c r="L411" s="15" t="s">
        <v>1199</v>
      </c>
      <c r="M411" s="80" t="s">
        <v>1205</v>
      </c>
      <c r="N411" s="80" t="s">
        <v>181</v>
      </c>
      <c r="O411" s="17" t="s">
        <v>61</v>
      </c>
      <c r="P411" s="77" t="s">
        <v>1202</v>
      </c>
      <c r="Q411" s="18"/>
      <c r="R411" s="52" t="s">
        <v>61</v>
      </c>
      <c r="S411" s="15" t="s">
        <v>142</v>
      </c>
      <c r="T411" s="15"/>
      <c r="U411" s="15"/>
      <c r="V411" s="80">
        <v>74</v>
      </c>
      <c r="W411" s="15">
        <f t="shared" si="78"/>
        <v>74</v>
      </c>
      <c r="X411" s="15">
        <f t="shared" si="79"/>
        <v>74</v>
      </c>
      <c r="Y411" s="15">
        <f>ROUNDDOWN(W411/HLOOKUP(D411,Table!$C$3:$D$4,2,0)*8,2)</f>
        <v>1.31</v>
      </c>
      <c r="Z411" s="15">
        <v>0.2</v>
      </c>
      <c r="AA411" s="15" t="s">
        <v>74</v>
      </c>
      <c r="AB411" s="19">
        <v>43992</v>
      </c>
      <c r="AC411" s="19">
        <v>43986</v>
      </c>
      <c r="AD411" s="99">
        <v>43992</v>
      </c>
      <c r="AE411" s="19">
        <v>43987</v>
      </c>
      <c r="AF411" s="19">
        <v>43987</v>
      </c>
      <c r="AG411" s="19" t="s">
        <v>176</v>
      </c>
      <c r="AH411" s="79">
        <v>1</v>
      </c>
      <c r="AI411" s="79">
        <v>1</v>
      </c>
      <c r="AJ411" s="79">
        <v>1</v>
      </c>
      <c r="AK411" s="19" t="s">
        <v>150</v>
      </c>
      <c r="AL411" s="17" t="s">
        <v>61</v>
      </c>
      <c r="AM411" s="17" t="s">
        <v>61</v>
      </c>
      <c r="AN411" s="17" t="s">
        <v>61</v>
      </c>
    </row>
    <row r="412" spans="1:40" x14ac:dyDescent="0.25">
      <c r="B412" s="209">
        <f t="shared" si="75"/>
        <v>353</v>
      </c>
      <c r="C412" s="16">
        <v>20200604</v>
      </c>
      <c r="D412" s="15" t="s">
        <v>3</v>
      </c>
      <c r="E412" s="15" t="s">
        <v>956</v>
      </c>
      <c r="F412" s="169" t="s">
        <v>1300</v>
      </c>
      <c r="G412" s="17">
        <v>1465509</v>
      </c>
      <c r="H412" s="52" t="s">
        <v>61</v>
      </c>
      <c r="I412" s="15" t="s">
        <v>159</v>
      </c>
      <c r="J412" s="52" t="s">
        <v>61</v>
      </c>
      <c r="K412" s="15" t="s">
        <v>146</v>
      </c>
      <c r="L412" s="15" t="s">
        <v>150</v>
      </c>
      <c r="M412" s="15" t="s">
        <v>1017</v>
      </c>
      <c r="N412" s="15" t="s">
        <v>609</v>
      </c>
      <c r="O412" s="17" t="s">
        <v>61</v>
      </c>
      <c r="P412" s="17" t="s">
        <v>1009</v>
      </c>
      <c r="Q412" s="18"/>
      <c r="R412" s="52" t="s">
        <v>61</v>
      </c>
      <c r="S412" s="15" t="s">
        <v>70</v>
      </c>
      <c r="T412" s="15"/>
      <c r="U412" s="15"/>
      <c r="V412" s="15">
        <v>88</v>
      </c>
      <c r="W412" s="84">
        <v>229</v>
      </c>
      <c r="X412" s="15">
        <f t="shared" si="79"/>
        <v>229</v>
      </c>
      <c r="Y412" s="15">
        <f>ROUNDDOWN(W412/HLOOKUP(D412,Table!$C$3:$D$4,2,0)*8,2)</f>
        <v>4.07</v>
      </c>
      <c r="Z412" s="15">
        <v>0.5</v>
      </c>
      <c r="AA412" s="15" t="s">
        <v>74</v>
      </c>
      <c r="AB412" s="19">
        <v>43992</v>
      </c>
      <c r="AC412" s="19">
        <v>43986</v>
      </c>
      <c r="AD412" s="99">
        <v>43992</v>
      </c>
      <c r="AE412" s="19">
        <v>43987</v>
      </c>
      <c r="AF412" s="19">
        <v>43987</v>
      </c>
      <c r="AG412" s="19" t="s">
        <v>176</v>
      </c>
      <c r="AH412" s="31">
        <v>1</v>
      </c>
      <c r="AI412" s="31">
        <v>1</v>
      </c>
      <c r="AJ412" s="31">
        <v>1</v>
      </c>
      <c r="AK412" s="19" t="s">
        <v>150</v>
      </c>
      <c r="AL412" s="15" t="s">
        <v>61</v>
      </c>
      <c r="AM412" s="15" t="s">
        <v>61</v>
      </c>
      <c r="AN412" s="15" t="s">
        <v>61</v>
      </c>
    </row>
    <row r="413" spans="1:40" x14ac:dyDescent="0.25">
      <c r="B413" s="209">
        <f t="shared" si="75"/>
        <v>354</v>
      </c>
      <c r="C413" s="16">
        <v>20200604</v>
      </c>
      <c r="D413" s="15" t="s">
        <v>3</v>
      </c>
      <c r="E413" s="15" t="s">
        <v>956</v>
      </c>
      <c r="F413" s="169" t="s">
        <v>1301</v>
      </c>
      <c r="G413" s="17">
        <v>1465509</v>
      </c>
      <c r="H413" s="52" t="s">
        <v>61</v>
      </c>
      <c r="I413" s="15" t="s">
        <v>159</v>
      </c>
      <c r="J413" s="52" t="s">
        <v>61</v>
      </c>
      <c r="K413" s="15" t="s">
        <v>146</v>
      </c>
      <c r="L413" s="15" t="s">
        <v>150</v>
      </c>
      <c r="M413" s="15" t="s">
        <v>1017</v>
      </c>
      <c r="N413" s="15" t="s">
        <v>609</v>
      </c>
      <c r="O413" s="17" t="s">
        <v>61</v>
      </c>
      <c r="P413" s="17" t="s">
        <v>1009</v>
      </c>
      <c r="Q413" s="18"/>
      <c r="R413" s="52" t="s">
        <v>61</v>
      </c>
      <c r="S413" s="15" t="s">
        <v>70</v>
      </c>
      <c r="T413" s="15"/>
      <c r="U413" s="15"/>
      <c r="V413" s="15">
        <v>88</v>
      </c>
      <c r="W413" s="84">
        <v>229</v>
      </c>
      <c r="X413" s="15">
        <f t="shared" si="79"/>
        <v>229</v>
      </c>
      <c r="Y413" s="15">
        <f>ROUNDDOWN(W413/HLOOKUP(D413,Table!$C$3:$D$4,2,0)*8,2)</f>
        <v>4.07</v>
      </c>
      <c r="Z413" s="15">
        <v>0.5</v>
      </c>
      <c r="AA413" s="15" t="s">
        <v>74</v>
      </c>
      <c r="AB413" s="19">
        <v>43992</v>
      </c>
      <c r="AC413" s="19">
        <v>43986</v>
      </c>
      <c r="AD413" s="99">
        <v>43992</v>
      </c>
      <c r="AE413" s="19">
        <v>43987</v>
      </c>
      <c r="AF413" s="19">
        <v>43987</v>
      </c>
      <c r="AG413" s="19" t="s">
        <v>176</v>
      </c>
      <c r="AH413" s="31">
        <v>1</v>
      </c>
      <c r="AI413" s="31">
        <v>1</v>
      </c>
      <c r="AJ413" s="31">
        <v>1</v>
      </c>
      <c r="AK413" s="19" t="s">
        <v>150</v>
      </c>
      <c r="AL413" s="15" t="s">
        <v>61</v>
      </c>
      <c r="AM413" s="15" t="s">
        <v>61</v>
      </c>
      <c r="AN413" s="15" t="s">
        <v>61</v>
      </c>
    </row>
    <row r="414" spans="1:40" x14ac:dyDescent="0.25">
      <c r="B414" s="209">
        <f t="shared" si="75"/>
        <v>355</v>
      </c>
      <c r="C414" s="16">
        <v>20200604</v>
      </c>
      <c r="D414" s="15" t="s">
        <v>3</v>
      </c>
      <c r="E414" s="15" t="s">
        <v>956</v>
      </c>
      <c r="F414" s="169" t="s">
        <v>1300</v>
      </c>
      <c r="G414" s="17">
        <v>1465509</v>
      </c>
      <c r="H414" s="52" t="s">
        <v>61</v>
      </c>
      <c r="I414" s="15" t="s">
        <v>153</v>
      </c>
      <c r="J414" s="52" t="s">
        <v>61</v>
      </c>
      <c r="K414" s="15" t="s">
        <v>146</v>
      </c>
      <c r="L414" s="15" t="s">
        <v>150</v>
      </c>
      <c r="M414" s="15" t="s">
        <v>1017</v>
      </c>
      <c r="N414" s="15" t="s">
        <v>609</v>
      </c>
      <c r="O414" s="17" t="s">
        <v>61</v>
      </c>
      <c r="P414" s="17" t="s">
        <v>1009</v>
      </c>
      <c r="Q414" s="18"/>
      <c r="R414" s="52" t="s">
        <v>61</v>
      </c>
      <c r="S414" s="15" t="s">
        <v>70</v>
      </c>
      <c r="T414" s="15"/>
      <c r="U414" s="15"/>
      <c r="V414" s="15">
        <v>42</v>
      </c>
      <c r="W414" s="84">
        <v>118</v>
      </c>
      <c r="X414" s="15">
        <f t="shared" si="79"/>
        <v>118</v>
      </c>
      <c r="Y414" s="15">
        <f>ROUNDDOWN(W414/HLOOKUP(D414,Table!$C$3:$D$4,2,0)*8,2)</f>
        <v>2.09</v>
      </c>
      <c r="Z414" s="15">
        <v>0.5</v>
      </c>
      <c r="AA414" s="15" t="s">
        <v>74</v>
      </c>
      <c r="AB414" s="19">
        <v>43992</v>
      </c>
      <c r="AC414" s="19">
        <v>43986</v>
      </c>
      <c r="AD414" s="99">
        <v>43992</v>
      </c>
      <c r="AE414" s="19">
        <v>43987</v>
      </c>
      <c r="AF414" s="19">
        <v>43987</v>
      </c>
      <c r="AG414" s="19" t="s">
        <v>176</v>
      </c>
      <c r="AH414" s="31">
        <v>1</v>
      </c>
      <c r="AI414" s="31">
        <v>1</v>
      </c>
      <c r="AJ414" s="31">
        <v>1</v>
      </c>
      <c r="AK414" s="19" t="s">
        <v>150</v>
      </c>
      <c r="AL414" s="15" t="s">
        <v>61</v>
      </c>
      <c r="AM414" s="15" t="s">
        <v>61</v>
      </c>
      <c r="AN414" s="15" t="s">
        <v>61</v>
      </c>
    </row>
    <row r="415" spans="1:40" x14ac:dyDescent="0.25">
      <c r="B415" s="209">
        <f t="shared" si="75"/>
        <v>356</v>
      </c>
      <c r="C415" s="16">
        <v>20200604</v>
      </c>
      <c r="D415" s="15" t="s">
        <v>3</v>
      </c>
      <c r="E415" s="15" t="s">
        <v>956</v>
      </c>
      <c r="F415" s="169" t="s">
        <v>1301</v>
      </c>
      <c r="G415" s="17">
        <v>1465509</v>
      </c>
      <c r="H415" s="52" t="s">
        <v>61</v>
      </c>
      <c r="I415" s="15" t="s">
        <v>153</v>
      </c>
      <c r="J415" s="52" t="s">
        <v>61</v>
      </c>
      <c r="K415" s="15" t="s">
        <v>146</v>
      </c>
      <c r="L415" s="15" t="s">
        <v>150</v>
      </c>
      <c r="M415" s="15" t="s">
        <v>1017</v>
      </c>
      <c r="N415" s="15" t="s">
        <v>609</v>
      </c>
      <c r="O415" s="17" t="s">
        <v>61</v>
      </c>
      <c r="P415" s="17" t="s">
        <v>1009</v>
      </c>
      <c r="Q415" s="18"/>
      <c r="R415" s="52" t="s">
        <v>61</v>
      </c>
      <c r="S415" s="15" t="s">
        <v>70</v>
      </c>
      <c r="T415" s="15"/>
      <c r="U415" s="15"/>
      <c r="V415" s="15">
        <v>42</v>
      </c>
      <c r="W415" s="84">
        <v>118</v>
      </c>
      <c r="X415" s="15">
        <f t="shared" si="79"/>
        <v>118</v>
      </c>
      <c r="Y415" s="15">
        <f>ROUNDDOWN(W415/HLOOKUP(D415,Table!$C$3:$D$4,2,0)*8,2)</f>
        <v>2.09</v>
      </c>
      <c r="Z415" s="15">
        <v>0.5</v>
      </c>
      <c r="AA415" s="15" t="s">
        <v>74</v>
      </c>
      <c r="AB415" s="19">
        <v>43992</v>
      </c>
      <c r="AC415" s="19">
        <v>43986</v>
      </c>
      <c r="AD415" s="99">
        <v>43992</v>
      </c>
      <c r="AE415" s="19">
        <v>43987</v>
      </c>
      <c r="AF415" s="19">
        <v>43987</v>
      </c>
      <c r="AG415" s="19" t="s">
        <v>176</v>
      </c>
      <c r="AH415" s="31">
        <v>1</v>
      </c>
      <c r="AI415" s="31">
        <v>1</v>
      </c>
      <c r="AJ415" s="31">
        <v>1</v>
      </c>
      <c r="AK415" s="19" t="s">
        <v>150</v>
      </c>
      <c r="AL415" s="15" t="s">
        <v>61</v>
      </c>
      <c r="AM415" s="15" t="s">
        <v>61</v>
      </c>
      <c r="AN415" s="15" t="s">
        <v>61</v>
      </c>
    </row>
    <row r="416" spans="1:40" x14ac:dyDescent="0.25">
      <c r="B416" s="209">
        <f t="shared" si="75"/>
        <v>357</v>
      </c>
      <c r="C416" s="16">
        <v>20200604</v>
      </c>
      <c r="D416" s="15" t="s">
        <v>2</v>
      </c>
      <c r="E416" s="15" t="s">
        <v>1099</v>
      </c>
      <c r="F416" s="77" t="s">
        <v>61</v>
      </c>
      <c r="G416" s="17">
        <v>1499648</v>
      </c>
      <c r="H416" s="52" t="s">
        <v>61</v>
      </c>
      <c r="I416" s="15" t="s">
        <v>1251</v>
      </c>
      <c r="J416" s="52" t="s">
        <v>61</v>
      </c>
      <c r="K416" s="15" t="s">
        <v>146</v>
      </c>
      <c r="L416" s="15" t="s">
        <v>150</v>
      </c>
      <c r="M416" s="15" t="s">
        <v>1173</v>
      </c>
      <c r="N416" s="15">
        <v>1499648</v>
      </c>
      <c r="O416" s="17" t="s">
        <v>1257</v>
      </c>
      <c r="P416" s="17" t="s">
        <v>426</v>
      </c>
      <c r="Q416" s="18"/>
      <c r="R416" s="52" t="s">
        <v>61</v>
      </c>
      <c r="S416" s="15" t="s">
        <v>70</v>
      </c>
      <c r="T416" s="15"/>
      <c r="U416" s="15"/>
      <c r="V416" s="15">
        <v>30</v>
      </c>
      <c r="W416" s="15">
        <f t="shared" ref="W416:W440" si="80">V416</f>
        <v>30</v>
      </c>
      <c r="X416" s="15">
        <f t="shared" si="79"/>
        <v>30</v>
      </c>
      <c r="Y416" s="15">
        <f>ROUNDDOWN(W416/HLOOKUP(D416,Table!$C$3:$D$4,2,0)*8,2)</f>
        <v>1.84</v>
      </c>
      <c r="Z416" s="15">
        <v>1</v>
      </c>
      <c r="AA416" s="15" t="s">
        <v>74</v>
      </c>
      <c r="AB416" s="19">
        <v>43990</v>
      </c>
      <c r="AC416" s="19">
        <v>43986</v>
      </c>
      <c r="AD416" s="235">
        <v>43990</v>
      </c>
      <c r="AE416" s="19">
        <v>43987</v>
      </c>
      <c r="AF416" s="19">
        <v>43987</v>
      </c>
      <c r="AG416" s="19" t="s">
        <v>176</v>
      </c>
      <c r="AH416" s="31">
        <v>1</v>
      </c>
      <c r="AI416" s="31">
        <v>1</v>
      </c>
      <c r="AJ416" s="31">
        <v>1</v>
      </c>
      <c r="AK416" s="19" t="s">
        <v>150</v>
      </c>
      <c r="AL416" s="15" t="s">
        <v>61</v>
      </c>
      <c r="AM416" s="15" t="s">
        <v>61</v>
      </c>
      <c r="AN416" s="15" t="s">
        <v>61</v>
      </c>
    </row>
    <row r="417" spans="2:40" x14ac:dyDescent="0.25">
      <c r="B417" s="209">
        <f t="shared" si="75"/>
        <v>358</v>
      </c>
      <c r="C417" s="16">
        <v>20200604</v>
      </c>
      <c r="D417" s="15" t="s">
        <v>2</v>
      </c>
      <c r="E417" s="15" t="s">
        <v>1099</v>
      </c>
      <c r="F417" s="77" t="s">
        <v>61</v>
      </c>
      <c r="G417" s="17">
        <v>1499648</v>
      </c>
      <c r="H417" s="52" t="s">
        <v>61</v>
      </c>
      <c r="I417" s="15" t="s">
        <v>1270</v>
      </c>
      <c r="J417" s="52" t="s">
        <v>61</v>
      </c>
      <c r="K417" s="15" t="s">
        <v>146</v>
      </c>
      <c r="L417" s="15" t="s">
        <v>150</v>
      </c>
      <c r="M417" s="15" t="s">
        <v>1173</v>
      </c>
      <c r="N417" s="15">
        <v>1499648</v>
      </c>
      <c r="O417" s="17" t="s">
        <v>1258</v>
      </c>
      <c r="P417" s="17" t="s">
        <v>426</v>
      </c>
      <c r="Q417" s="18"/>
      <c r="R417" s="52" t="s">
        <v>61</v>
      </c>
      <c r="S417" s="15" t="s">
        <v>68</v>
      </c>
      <c r="T417" s="15"/>
      <c r="U417" s="15"/>
      <c r="V417" s="15">
        <v>90</v>
      </c>
      <c r="W417" s="15">
        <f t="shared" si="80"/>
        <v>90</v>
      </c>
      <c r="X417" s="15">
        <f t="shared" si="79"/>
        <v>90</v>
      </c>
      <c r="Y417" s="15">
        <f>ROUNDDOWN(W417/HLOOKUP(D417,Table!$C$3:$D$4,2,0)*8,2)</f>
        <v>5.53</v>
      </c>
      <c r="Z417" s="15">
        <f>X417</f>
        <v>90</v>
      </c>
      <c r="AA417" s="15" t="s">
        <v>74</v>
      </c>
      <c r="AB417" s="19">
        <v>43990</v>
      </c>
      <c r="AC417" s="19">
        <v>43986</v>
      </c>
      <c r="AD417" s="235">
        <v>43990</v>
      </c>
      <c r="AE417" s="19">
        <v>43987</v>
      </c>
      <c r="AF417" s="19">
        <v>43987</v>
      </c>
      <c r="AG417" s="19" t="s">
        <v>176</v>
      </c>
      <c r="AH417" s="31">
        <v>1</v>
      </c>
      <c r="AI417" s="31">
        <v>1</v>
      </c>
      <c r="AJ417" s="31">
        <v>1</v>
      </c>
      <c r="AK417" s="19" t="s">
        <v>150</v>
      </c>
      <c r="AL417" s="15"/>
      <c r="AM417" s="15"/>
      <c r="AN417" s="15"/>
    </row>
    <row r="418" spans="2:40" x14ac:dyDescent="0.25">
      <c r="B418" s="209">
        <f t="shared" si="75"/>
        <v>359</v>
      </c>
      <c r="C418" s="16">
        <v>20200604</v>
      </c>
      <c r="D418" s="15" t="s">
        <v>2</v>
      </c>
      <c r="E418" s="15" t="s">
        <v>1099</v>
      </c>
      <c r="F418" s="77" t="s">
        <v>61</v>
      </c>
      <c r="G418" s="17">
        <v>1499648</v>
      </c>
      <c r="H418" s="52" t="s">
        <v>61</v>
      </c>
      <c r="I418" s="15" t="s">
        <v>1252</v>
      </c>
      <c r="J418" s="52" t="s">
        <v>61</v>
      </c>
      <c r="K418" s="15" t="s">
        <v>146</v>
      </c>
      <c r="L418" s="15" t="s">
        <v>150</v>
      </c>
      <c r="M418" s="15" t="s">
        <v>1173</v>
      </c>
      <c r="N418" s="15">
        <v>1499648</v>
      </c>
      <c r="O418" s="17" t="s">
        <v>1259</v>
      </c>
      <c r="P418" s="17" t="s">
        <v>426</v>
      </c>
      <c r="Q418" s="18"/>
      <c r="R418" s="52" t="s">
        <v>61</v>
      </c>
      <c r="S418" s="15" t="s">
        <v>69</v>
      </c>
      <c r="T418" s="15"/>
      <c r="U418" s="15"/>
      <c r="V418" s="15">
        <v>50</v>
      </c>
      <c r="W418" s="15">
        <f t="shared" si="80"/>
        <v>50</v>
      </c>
      <c r="X418" s="15">
        <f t="shared" ref="X418:X438" si="81">W418</f>
        <v>50</v>
      </c>
      <c r="Y418" s="15">
        <f>ROUNDDOWN(W418/HLOOKUP(D418,Table!$C$3:$D$4,2,0)*8,2)</f>
        <v>3.07</v>
      </c>
      <c r="Z418" s="15">
        <v>3</v>
      </c>
      <c r="AA418" s="15" t="s">
        <v>74</v>
      </c>
      <c r="AB418" s="19">
        <v>43990</v>
      </c>
      <c r="AC418" s="19">
        <v>43986</v>
      </c>
      <c r="AD418" s="235">
        <v>43990</v>
      </c>
      <c r="AE418" s="19">
        <v>43990</v>
      </c>
      <c r="AF418" s="19">
        <v>43990</v>
      </c>
      <c r="AG418" s="19" t="s">
        <v>176</v>
      </c>
      <c r="AH418" s="31">
        <v>1</v>
      </c>
      <c r="AI418" s="31">
        <v>1</v>
      </c>
      <c r="AJ418" s="31">
        <v>1</v>
      </c>
      <c r="AK418" s="19" t="s">
        <v>150</v>
      </c>
      <c r="AL418" s="15"/>
      <c r="AM418" s="15"/>
      <c r="AN418" s="15"/>
    </row>
    <row r="419" spans="2:40" x14ac:dyDescent="0.25">
      <c r="B419" s="209">
        <f t="shared" si="75"/>
        <v>360</v>
      </c>
      <c r="C419" s="16">
        <v>20200604</v>
      </c>
      <c r="D419" s="15" t="s">
        <v>3</v>
      </c>
      <c r="E419" s="15" t="s">
        <v>1249</v>
      </c>
      <c r="F419" s="169" t="s">
        <v>1306</v>
      </c>
      <c r="G419" s="17">
        <v>1311762</v>
      </c>
      <c r="H419" s="52" t="s">
        <v>61</v>
      </c>
      <c r="I419" s="15" t="s">
        <v>1253</v>
      </c>
      <c r="J419" s="52" t="s">
        <v>61</v>
      </c>
      <c r="K419" s="15" t="s">
        <v>146</v>
      </c>
      <c r="L419" s="15" t="s">
        <v>1167</v>
      </c>
      <c r="M419" s="15" t="s">
        <v>527</v>
      </c>
      <c r="N419" s="15" t="s">
        <v>405</v>
      </c>
      <c r="O419" s="17" t="s">
        <v>61</v>
      </c>
      <c r="P419" s="17" t="s">
        <v>1005</v>
      </c>
      <c r="Q419" s="18"/>
      <c r="R419" s="52" t="s">
        <v>61</v>
      </c>
      <c r="S419" s="15" t="s">
        <v>67</v>
      </c>
      <c r="T419" s="15"/>
      <c r="U419" s="15"/>
      <c r="V419" s="15">
        <v>160</v>
      </c>
      <c r="W419" s="15">
        <f t="shared" si="80"/>
        <v>160</v>
      </c>
      <c r="X419" s="15">
        <f t="shared" si="81"/>
        <v>160</v>
      </c>
      <c r="Y419" s="15">
        <f>ROUNDDOWN(W419/HLOOKUP(D419,Table!$C$3:$D$4,2,0)*8,2)</f>
        <v>2.84</v>
      </c>
      <c r="Z419" s="15">
        <v>1</v>
      </c>
      <c r="AA419" s="15" t="s">
        <v>74</v>
      </c>
      <c r="AB419" s="19">
        <v>43992</v>
      </c>
      <c r="AC419" s="19">
        <v>43986</v>
      </c>
      <c r="AD419" s="99">
        <v>43992</v>
      </c>
      <c r="AE419" s="19">
        <v>43992</v>
      </c>
      <c r="AF419" s="19">
        <v>43992</v>
      </c>
      <c r="AG419" s="19" t="s">
        <v>176</v>
      </c>
      <c r="AH419" s="31">
        <v>1</v>
      </c>
      <c r="AI419" s="31">
        <v>1</v>
      </c>
      <c r="AJ419" s="31">
        <v>1</v>
      </c>
      <c r="AK419" s="19" t="s">
        <v>150</v>
      </c>
      <c r="AL419" s="15"/>
      <c r="AM419" s="15"/>
      <c r="AN419" s="15"/>
    </row>
    <row r="420" spans="2:40" x14ac:dyDescent="0.25">
      <c r="B420" s="209">
        <f t="shared" si="75"/>
        <v>361</v>
      </c>
      <c r="C420" s="16">
        <v>20200604</v>
      </c>
      <c r="D420" s="15" t="s">
        <v>3</v>
      </c>
      <c r="E420" s="15" t="s">
        <v>1250</v>
      </c>
      <c r="F420" s="169" t="s">
        <v>1303</v>
      </c>
      <c r="G420" s="17">
        <v>1498232</v>
      </c>
      <c r="H420" s="52" t="s">
        <v>61</v>
      </c>
      <c r="I420" s="15" t="s">
        <v>225</v>
      </c>
      <c r="J420" s="52" t="s">
        <v>61</v>
      </c>
      <c r="K420" s="15" t="s">
        <v>146</v>
      </c>
      <c r="L420" s="15" t="s">
        <v>1261</v>
      </c>
      <c r="M420" s="15" t="s">
        <v>1262</v>
      </c>
      <c r="N420" s="15" t="s">
        <v>1260</v>
      </c>
      <c r="O420" s="17" t="s">
        <v>61</v>
      </c>
      <c r="P420" s="17" t="s">
        <v>1162</v>
      </c>
      <c r="Q420" s="18"/>
      <c r="R420" s="52" t="s">
        <v>61</v>
      </c>
      <c r="S420" s="15" t="s">
        <v>67</v>
      </c>
      <c r="T420" s="15"/>
      <c r="U420" s="15"/>
      <c r="V420" s="15">
        <v>144</v>
      </c>
      <c r="W420" s="84">
        <f>V420-V420+163</f>
        <v>163</v>
      </c>
      <c r="X420" s="15">
        <f t="shared" si="81"/>
        <v>163</v>
      </c>
      <c r="Y420" s="15">
        <f>ROUNDDOWN(W420/HLOOKUP(D420,Table!$C$3:$D$4,2,0)*8,2)</f>
        <v>2.89</v>
      </c>
      <c r="Z420" s="15">
        <v>1</v>
      </c>
      <c r="AA420" s="15" t="s">
        <v>74</v>
      </c>
      <c r="AB420" s="19">
        <v>43994</v>
      </c>
      <c r="AC420" s="19">
        <v>43986</v>
      </c>
      <c r="AD420" s="99">
        <v>43996</v>
      </c>
      <c r="AE420" s="19">
        <v>43993</v>
      </c>
      <c r="AF420" s="19">
        <v>43993</v>
      </c>
      <c r="AG420" s="19" t="s">
        <v>176</v>
      </c>
      <c r="AH420" s="31">
        <v>1</v>
      </c>
      <c r="AI420" s="31">
        <v>1</v>
      </c>
      <c r="AJ420" s="31">
        <v>1</v>
      </c>
      <c r="AK420" s="19" t="s">
        <v>150</v>
      </c>
      <c r="AL420" s="17" t="s">
        <v>61</v>
      </c>
      <c r="AM420" s="17" t="s">
        <v>61</v>
      </c>
      <c r="AN420" s="17" t="s">
        <v>61</v>
      </c>
    </row>
    <row r="421" spans="2:40" x14ac:dyDescent="0.25">
      <c r="B421" s="209">
        <f t="shared" si="75"/>
        <v>362</v>
      </c>
      <c r="C421" s="16">
        <v>20200604</v>
      </c>
      <c r="D421" s="15" t="s">
        <v>3</v>
      </c>
      <c r="E421" s="15" t="s">
        <v>1250</v>
      </c>
      <c r="F421" s="199" t="s">
        <v>1508</v>
      </c>
      <c r="G421" s="17">
        <v>1498232</v>
      </c>
      <c r="H421" s="52" t="s">
        <v>61</v>
      </c>
      <c r="I421" s="15" t="s">
        <v>223</v>
      </c>
      <c r="J421" s="52" t="s">
        <v>61</v>
      </c>
      <c r="K421" s="15" t="s">
        <v>146</v>
      </c>
      <c r="L421" s="15" t="s">
        <v>1261</v>
      </c>
      <c r="M421" s="15" t="s">
        <v>1262</v>
      </c>
      <c r="N421" s="15" t="s">
        <v>1260</v>
      </c>
      <c r="O421" s="17" t="s">
        <v>61</v>
      </c>
      <c r="P421" s="17" t="s">
        <v>1162</v>
      </c>
      <c r="Q421" s="18"/>
      <c r="R421" s="52" t="s">
        <v>61</v>
      </c>
      <c r="S421" s="15" t="s">
        <v>67</v>
      </c>
      <c r="T421" s="15"/>
      <c r="U421" s="15"/>
      <c r="V421" s="15">
        <v>280</v>
      </c>
      <c r="W421" s="84">
        <f>V421-V421+286</f>
        <v>286</v>
      </c>
      <c r="X421" s="15">
        <f t="shared" si="81"/>
        <v>286</v>
      </c>
      <c r="Y421" s="15">
        <f>ROUNDDOWN(W421/HLOOKUP(D421,Table!$C$3:$D$4,2,0)*8,2)</f>
        <v>5.08</v>
      </c>
      <c r="Z421" s="15">
        <v>2</v>
      </c>
      <c r="AA421" s="15" t="s">
        <v>74</v>
      </c>
      <c r="AB421" s="19">
        <v>43994</v>
      </c>
      <c r="AC421" s="19">
        <v>43986</v>
      </c>
      <c r="AD421" s="99">
        <v>43996</v>
      </c>
      <c r="AE421" s="19">
        <v>43993</v>
      </c>
      <c r="AF421" s="19">
        <v>43993</v>
      </c>
      <c r="AG421" s="19" t="s">
        <v>176</v>
      </c>
      <c r="AH421" s="31">
        <v>1</v>
      </c>
      <c r="AI421" s="31">
        <v>1</v>
      </c>
      <c r="AJ421" s="31">
        <v>1</v>
      </c>
      <c r="AK421" s="19" t="s">
        <v>150</v>
      </c>
      <c r="AL421" s="17" t="s">
        <v>61</v>
      </c>
      <c r="AM421" s="17" t="s">
        <v>61</v>
      </c>
      <c r="AN421" s="17" t="s">
        <v>61</v>
      </c>
    </row>
    <row r="422" spans="2:40" x14ac:dyDescent="0.25">
      <c r="B422" s="209">
        <f t="shared" si="75"/>
        <v>363</v>
      </c>
      <c r="C422" s="16">
        <v>20200604</v>
      </c>
      <c r="D422" s="15" t="s">
        <v>3</v>
      </c>
      <c r="E422" s="15" t="s">
        <v>1250</v>
      </c>
      <c r="F422" s="169" t="s">
        <v>1304</v>
      </c>
      <c r="G422" s="17">
        <v>1498232</v>
      </c>
      <c r="H422" s="52" t="s">
        <v>61</v>
      </c>
      <c r="I422" s="15" t="s">
        <v>200</v>
      </c>
      <c r="J422" s="52" t="s">
        <v>61</v>
      </c>
      <c r="K422" s="15" t="s">
        <v>146</v>
      </c>
      <c r="L422" s="15" t="s">
        <v>1261</v>
      </c>
      <c r="M422" s="15" t="s">
        <v>1262</v>
      </c>
      <c r="N422" s="15" t="s">
        <v>1260</v>
      </c>
      <c r="O422" s="17" t="s">
        <v>61</v>
      </c>
      <c r="P422" s="17" t="s">
        <v>1162</v>
      </c>
      <c r="Q422" s="18"/>
      <c r="R422" s="52" t="s">
        <v>61</v>
      </c>
      <c r="S422" s="15" t="s">
        <v>67</v>
      </c>
      <c r="T422" s="15"/>
      <c r="U422" s="15"/>
      <c r="V422" s="15">
        <v>69</v>
      </c>
      <c r="W422" s="84">
        <f>V422-V422+82</f>
        <v>82</v>
      </c>
      <c r="X422" s="15">
        <f t="shared" si="81"/>
        <v>82</v>
      </c>
      <c r="Y422" s="15">
        <f>ROUNDDOWN(W422/HLOOKUP(D422,Table!$C$3:$D$4,2,0)*8,2)</f>
        <v>1.45</v>
      </c>
      <c r="Z422" s="15">
        <v>1</v>
      </c>
      <c r="AA422" s="15" t="s">
        <v>74</v>
      </c>
      <c r="AB422" s="19">
        <v>43994</v>
      </c>
      <c r="AC422" s="19">
        <v>43986</v>
      </c>
      <c r="AD422" s="99">
        <v>43996</v>
      </c>
      <c r="AE422" s="19">
        <v>43994</v>
      </c>
      <c r="AF422" s="19">
        <v>43994</v>
      </c>
      <c r="AG422" s="19" t="s">
        <v>176</v>
      </c>
      <c r="AH422" s="31">
        <v>1</v>
      </c>
      <c r="AI422" s="31">
        <v>1</v>
      </c>
      <c r="AJ422" s="31">
        <v>1</v>
      </c>
      <c r="AK422" s="19" t="s">
        <v>150</v>
      </c>
      <c r="AL422" s="17" t="s">
        <v>61</v>
      </c>
      <c r="AM422" s="17" t="s">
        <v>61</v>
      </c>
      <c r="AN422" s="17" t="s">
        <v>61</v>
      </c>
    </row>
    <row r="423" spans="2:40" x14ac:dyDescent="0.25">
      <c r="B423" s="209">
        <f t="shared" si="75"/>
        <v>364</v>
      </c>
      <c r="C423" s="16">
        <v>20200604</v>
      </c>
      <c r="D423" s="15" t="s">
        <v>3</v>
      </c>
      <c r="E423" s="15" t="s">
        <v>1250</v>
      </c>
      <c r="F423" s="216" t="s">
        <v>1304</v>
      </c>
      <c r="G423" s="17">
        <v>1498232</v>
      </c>
      <c r="H423" s="52" t="s">
        <v>61</v>
      </c>
      <c r="I423" s="15" t="s">
        <v>1138</v>
      </c>
      <c r="J423" s="52" t="s">
        <v>61</v>
      </c>
      <c r="K423" s="15" t="s">
        <v>146</v>
      </c>
      <c r="L423" s="15" t="s">
        <v>1261</v>
      </c>
      <c r="M423" s="15" t="s">
        <v>1262</v>
      </c>
      <c r="N423" s="15" t="s">
        <v>1260</v>
      </c>
      <c r="O423" s="17" t="s">
        <v>61</v>
      </c>
      <c r="P423" s="17" t="s">
        <v>1162</v>
      </c>
      <c r="Q423" s="18"/>
      <c r="R423" s="52" t="s">
        <v>61</v>
      </c>
      <c r="S423" s="15" t="s">
        <v>67</v>
      </c>
      <c r="T423" s="15"/>
      <c r="U423" s="15"/>
      <c r="V423" s="15">
        <v>33</v>
      </c>
      <c r="W423" s="15">
        <f t="shared" si="80"/>
        <v>33</v>
      </c>
      <c r="X423" s="15">
        <f t="shared" si="81"/>
        <v>33</v>
      </c>
      <c r="Y423" s="15">
        <f>ROUNDDOWN(W423/HLOOKUP(D423,Table!$C$3:$D$4,2,0)*8,2)</f>
        <v>0.57999999999999996</v>
      </c>
      <c r="Z423" s="15">
        <v>0.5</v>
      </c>
      <c r="AA423" s="15" t="s">
        <v>74</v>
      </c>
      <c r="AB423" s="19">
        <v>43994</v>
      </c>
      <c r="AC423" s="19">
        <v>43986</v>
      </c>
      <c r="AD423" s="99">
        <v>43996</v>
      </c>
      <c r="AE423" s="19">
        <v>43994</v>
      </c>
      <c r="AF423" s="19">
        <v>43994</v>
      </c>
      <c r="AG423" s="19" t="s">
        <v>176</v>
      </c>
      <c r="AH423" s="31">
        <v>1</v>
      </c>
      <c r="AI423" s="31">
        <v>1</v>
      </c>
      <c r="AJ423" s="31">
        <v>1</v>
      </c>
      <c r="AK423" s="19" t="s">
        <v>150</v>
      </c>
      <c r="AL423" s="17" t="s">
        <v>61</v>
      </c>
      <c r="AM423" s="17" t="s">
        <v>61</v>
      </c>
      <c r="AN423" s="17" t="s">
        <v>61</v>
      </c>
    </row>
    <row r="424" spans="2:40" x14ac:dyDescent="0.25">
      <c r="B424" s="209">
        <f t="shared" si="75"/>
        <v>365</v>
      </c>
      <c r="C424" s="16">
        <v>20200604</v>
      </c>
      <c r="D424" s="15" t="s">
        <v>3</v>
      </c>
      <c r="E424" s="15" t="s">
        <v>1250</v>
      </c>
      <c r="F424" s="169" t="s">
        <v>1305</v>
      </c>
      <c r="G424" s="17">
        <v>1498232</v>
      </c>
      <c r="H424" s="52" t="s">
        <v>61</v>
      </c>
      <c r="I424" s="15" t="s">
        <v>1254</v>
      </c>
      <c r="J424" s="52" t="s">
        <v>61</v>
      </c>
      <c r="K424" s="15" t="s">
        <v>146</v>
      </c>
      <c r="L424" s="15" t="s">
        <v>1261</v>
      </c>
      <c r="M424" s="15" t="s">
        <v>1262</v>
      </c>
      <c r="N424" s="15" t="s">
        <v>1260</v>
      </c>
      <c r="O424" s="17" t="s">
        <v>61</v>
      </c>
      <c r="P424" s="17" t="s">
        <v>1162</v>
      </c>
      <c r="Q424" s="18"/>
      <c r="R424" s="52" t="s">
        <v>61</v>
      </c>
      <c r="S424" s="15" t="s">
        <v>67</v>
      </c>
      <c r="T424" s="15"/>
      <c r="U424" s="15"/>
      <c r="V424" s="15">
        <v>98</v>
      </c>
      <c r="W424" s="15">
        <f t="shared" si="80"/>
        <v>98</v>
      </c>
      <c r="X424" s="15">
        <f t="shared" si="81"/>
        <v>98</v>
      </c>
      <c r="Y424" s="15">
        <f>ROUNDDOWN(W424/HLOOKUP(D424,Table!$C$3:$D$4,2,0)*8,2)</f>
        <v>1.74</v>
      </c>
      <c r="Z424" s="15">
        <v>1.5</v>
      </c>
      <c r="AA424" s="15" t="s">
        <v>74</v>
      </c>
      <c r="AB424" s="19">
        <v>43994</v>
      </c>
      <c r="AC424" s="19">
        <v>43986</v>
      </c>
      <c r="AD424" s="99">
        <v>43996</v>
      </c>
      <c r="AE424" s="19">
        <v>43994</v>
      </c>
      <c r="AF424" s="19">
        <v>43994</v>
      </c>
      <c r="AG424" s="19" t="s">
        <v>176</v>
      </c>
      <c r="AH424" s="31">
        <v>1</v>
      </c>
      <c r="AI424" s="31">
        <v>1</v>
      </c>
      <c r="AJ424" s="31">
        <v>1</v>
      </c>
      <c r="AK424" s="19" t="s">
        <v>150</v>
      </c>
      <c r="AL424" s="17" t="s">
        <v>61</v>
      </c>
      <c r="AM424" s="17" t="s">
        <v>61</v>
      </c>
      <c r="AN424" s="17" t="s">
        <v>61</v>
      </c>
    </row>
    <row r="425" spans="2:40" x14ac:dyDescent="0.25">
      <c r="B425" s="209">
        <f t="shared" si="75"/>
        <v>366</v>
      </c>
      <c r="C425" s="16">
        <v>20200604</v>
      </c>
      <c r="D425" s="15" t="s">
        <v>3</v>
      </c>
      <c r="E425" s="15" t="s">
        <v>1250</v>
      </c>
      <c r="F425" s="169" t="s">
        <v>1299</v>
      </c>
      <c r="G425" s="17">
        <v>1498232</v>
      </c>
      <c r="H425" s="52" t="s">
        <v>61</v>
      </c>
      <c r="I425" s="15" t="s">
        <v>1139</v>
      </c>
      <c r="J425" s="52" t="s">
        <v>61</v>
      </c>
      <c r="K425" s="15" t="s">
        <v>146</v>
      </c>
      <c r="L425" s="15" t="s">
        <v>1261</v>
      </c>
      <c r="M425" s="15" t="s">
        <v>1262</v>
      </c>
      <c r="N425" s="15" t="s">
        <v>1260</v>
      </c>
      <c r="O425" s="17" t="s">
        <v>61</v>
      </c>
      <c r="P425" s="17" t="s">
        <v>1162</v>
      </c>
      <c r="Q425" s="18"/>
      <c r="R425" s="52" t="s">
        <v>61</v>
      </c>
      <c r="S425" s="15" t="s">
        <v>67</v>
      </c>
      <c r="T425" s="15"/>
      <c r="U425" s="15"/>
      <c r="V425" s="15">
        <v>23</v>
      </c>
      <c r="W425" s="15">
        <v>0</v>
      </c>
      <c r="X425" s="15">
        <f t="shared" si="81"/>
        <v>0</v>
      </c>
      <c r="Y425" s="15">
        <f>ROUNDDOWN(W425/HLOOKUP(D425,Table!$C$3:$D$4,2,0)*8,2)</f>
        <v>0</v>
      </c>
      <c r="Z425" s="15">
        <v>0.1</v>
      </c>
      <c r="AA425" s="15" t="s">
        <v>74</v>
      </c>
      <c r="AB425" s="19">
        <v>43994</v>
      </c>
      <c r="AC425" s="19">
        <v>43986</v>
      </c>
      <c r="AD425" s="99">
        <v>43996</v>
      </c>
      <c r="AE425" s="19">
        <v>43994</v>
      </c>
      <c r="AF425" s="19">
        <v>43994</v>
      </c>
      <c r="AG425" s="19" t="s">
        <v>176</v>
      </c>
      <c r="AH425" s="79" t="s">
        <v>61</v>
      </c>
      <c r="AI425" s="79" t="s">
        <v>61</v>
      </c>
      <c r="AJ425" s="79" t="s">
        <v>61</v>
      </c>
      <c r="AK425" s="19" t="s">
        <v>150</v>
      </c>
      <c r="AL425" s="15"/>
      <c r="AM425" s="15"/>
      <c r="AN425" s="17" t="s">
        <v>656</v>
      </c>
    </row>
    <row r="426" spans="2:40" x14ac:dyDescent="0.25">
      <c r="B426" s="209">
        <f t="shared" si="75"/>
        <v>367</v>
      </c>
      <c r="C426" s="16">
        <v>20200604</v>
      </c>
      <c r="D426" s="15" t="s">
        <v>3</v>
      </c>
      <c r="E426" s="15" t="s">
        <v>1250</v>
      </c>
      <c r="F426" s="169" t="s">
        <v>1299</v>
      </c>
      <c r="G426" s="17">
        <v>1498232</v>
      </c>
      <c r="H426" s="52" t="s">
        <v>61</v>
      </c>
      <c r="I426" s="15" t="s">
        <v>1140</v>
      </c>
      <c r="J426" s="52" t="s">
        <v>61</v>
      </c>
      <c r="K426" s="15" t="s">
        <v>146</v>
      </c>
      <c r="L426" s="15" t="s">
        <v>1261</v>
      </c>
      <c r="M426" s="15" t="s">
        <v>1262</v>
      </c>
      <c r="N426" s="15" t="s">
        <v>1260</v>
      </c>
      <c r="O426" s="17" t="s">
        <v>61</v>
      </c>
      <c r="P426" s="17" t="s">
        <v>1162</v>
      </c>
      <c r="Q426" s="18"/>
      <c r="R426" s="52" t="s">
        <v>61</v>
      </c>
      <c r="S426" s="15" t="s">
        <v>142</v>
      </c>
      <c r="T426" s="15"/>
      <c r="U426" s="15"/>
      <c r="V426" s="15">
        <v>30</v>
      </c>
      <c r="W426" s="15">
        <v>0</v>
      </c>
      <c r="X426" s="15">
        <f t="shared" si="81"/>
        <v>0</v>
      </c>
      <c r="Y426" s="15">
        <f>ROUNDDOWN(W426/HLOOKUP(D426,Table!$C$3:$D$4,2,0)*8,2)</f>
        <v>0</v>
      </c>
      <c r="Z426" s="15">
        <v>0.1</v>
      </c>
      <c r="AA426" s="15" t="s">
        <v>74</v>
      </c>
      <c r="AB426" s="19">
        <v>43994</v>
      </c>
      <c r="AC426" s="19">
        <v>43986</v>
      </c>
      <c r="AD426" s="172">
        <v>43996</v>
      </c>
      <c r="AE426" s="19">
        <v>43987</v>
      </c>
      <c r="AF426" s="19">
        <v>43987</v>
      </c>
      <c r="AG426" s="19" t="s">
        <v>176</v>
      </c>
      <c r="AH426" s="79" t="s">
        <v>61</v>
      </c>
      <c r="AI426" s="79" t="s">
        <v>61</v>
      </c>
      <c r="AJ426" s="79" t="s">
        <v>61</v>
      </c>
      <c r="AK426" s="19" t="s">
        <v>150</v>
      </c>
      <c r="AL426" s="17" t="s">
        <v>61</v>
      </c>
      <c r="AM426" s="17" t="s">
        <v>61</v>
      </c>
      <c r="AN426" s="17" t="s">
        <v>656</v>
      </c>
    </row>
    <row r="427" spans="2:40" x14ac:dyDescent="0.25">
      <c r="B427" s="209">
        <f t="shared" si="75"/>
        <v>368</v>
      </c>
      <c r="C427" s="16">
        <v>20200604</v>
      </c>
      <c r="D427" s="15" t="s">
        <v>3</v>
      </c>
      <c r="E427" s="15" t="s">
        <v>1250</v>
      </c>
      <c r="F427" s="169" t="s">
        <v>1299</v>
      </c>
      <c r="G427" s="17">
        <v>1498232</v>
      </c>
      <c r="H427" s="52" t="s">
        <v>61</v>
      </c>
      <c r="I427" s="15" t="s">
        <v>1141</v>
      </c>
      <c r="J427" s="52" t="s">
        <v>61</v>
      </c>
      <c r="K427" s="15" t="s">
        <v>146</v>
      </c>
      <c r="L427" s="15" t="s">
        <v>1261</v>
      </c>
      <c r="M427" s="15" t="s">
        <v>1262</v>
      </c>
      <c r="N427" s="15" t="s">
        <v>1260</v>
      </c>
      <c r="O427" s="17" t="s">
        <v>61</v>
      </c>
      <c r="P427" s="17" t="s">
        <v>1162</v>
      </c>
      <c r="Q427" s="18"/>
      <c r="R427" s="52" t="s">
        <v>61</v>
      </c>
      <c r="S427" s="15" t="s">
        <v>142</v>
      </c>
      <c r="T427" s="15"/>
      <c r="U427" s="15"/>
      <c r="V427" s="15">
        <v>36</v>
      </c>
      <c r="W427" s="15">
        <v>0</v>
      </c>
      <c r="X427" s="15">
        <f t="shared" si="81"/>
        <v>0</v>
      </c>
      <c r="Y427" s="15">
        <f>ROUNDDOWN(W427/HLOOKUP(D427,Table!$C$3:$D$4,2,0)*8,2)</f>
        <v>0</v>
      </c>
      <c r="Z427" s="15">
        <v>0.1</v>
      </c>
      <c r="AA427" s="15" t="s">
        <v>74</v>
      </c>
      <c r="AB427" s="19">
        <v>43994</v>
      </c>
      <c r="AC427" s="19">
        <v>43986</v>
      </c>
      <c r="AD427" s="172">
        <v>43996</v>
      </c>
      <c r="AE427" s="19">
        <v>43987</v>
      </c>
      <c r="AF427" s="19">
        <v>43987</v>
      </c>
      <c r="AG427" s="19" t="s">
        <v>176</v>
      </c>
      <c r="AH427" s="79" t="s">
        <v>61</v>
      </c>
      <c r="AI427" s="79" t="s">
        <v>61</v>
      </c>
      <c r="AJ427" s="79" t="s">
        <v>61</v>
      </c>
      <c r="AK427" s="19" t="s">
        <v>150</v>
      </c>
      <c r="AL427" s="17" t="s">
        <v>61</v>
      </c>
      <c r="AM427" s="17" t="s">
        <v>61</v>
      </c>
      <c r="AN427" s="17" t="s">
        <v>656</v>
      </c>
    </row>
    <row r="428" spans="2:40" x14ac:dyDescent="0.25">
      <c r="B428" s="209">
        <f t="shared" si="75"/>
        <v>369</v>
      </c>
      <c r="C428" s="16">
        <v>20200604</v>
      </c>
      <c r="D428" s="15" t="s">
        <v>3</v>
      </c>
      <c r="E428" s="15" t="s">
        <v>1250</v>
      </c>
      <c r="F428" s="169" t="s">
        <v>1299</v>
      </c>
      <c r="G428" s="17">
        <v>1498232</v>
      </c>
      <c r="H428" s="52" t="s">
        <v>61</v>
      </c>
      <c r="I428" s="15" t="s">
        <v>1142</v>
      </c>
      <c r="J428" s="52" t="s">
        <v>61</v>
      </c>
      <c r="K428" s="15" t="s">
        <v>146</v>
      </c>
      <c r="L428" s="15" t="s">
        <v>1261</v>
      </c>
      <c r="M428" s="15" t="s">
        <v>1262</v>
      </c>
      <c r="N428" s="15" t="s">
        <v>1260</v>
      </c>
      <c r="O428" s="17" t="s">
        <v>61</v>
      </c>
      <c r="P428" s="17" t="s">
        <v>1162</v>
      </c>
      <c r="Q428" s="18"/>
      <c r="R428" s="52" t="s">
        <v>61</v>
      </c>
      <c r="S428" s="15" t="s">
        <v>142</v>
      </c>
      <c r="T428" s="15"/>
      <c r="U428" s="15"/>
      <c r="V428" s="15">
        <v>22</v>
      </c>
      <c r="W428" s="15">
        <v>0</v>
      </c>
      <c r="X428" s="15">
        <f t="shared" si="81"/>
        <v>0</v>
      </c>
      <c r="Y428" s="15">
        <f>ROUNDDOWN(W428/HLOOKUP(D428,Table!$C$3:$D$4,2,0)*8,2)</f>
        <v>0</v>
      </c>
      <c r="Z428" s="15">
        <v>0.1</v>
      </c>
      <c r="AA428" s="15" t="s">
        <v>74</v>
      </c>
      <c r="AB428" s="19">
        <v>43994</v>
      </c>
      <c r="AC428" s="19">
        <v>43986</v>
      </c>
      <c r="AD428" s="172">
        <v>43996</v>
      </c>
      <c r="AE428" s="19">
        <v>43987</v>
      </c>
      <c r="AF428" s="19">
        <v>43987</v>
      </c>
      <c r="AG428" s="19" t="s">
        <v>176</v>
      </c>
      <c r="AH428" s="79" t="s">
        <v>61</v>
      </c>
      <c r="AI428" s="79" t="s">
        <v>61</v>
      </c>
      <c r="AJ428" s="79" t="s">
        <v>61</v>
      </c>
      <c r="AK428" s="19" t="s">
        <v>150</v>
      </c>
      <c r="AL428" s="17" t="s">
        <v>61</v>
      </c>
      <c r="AM428" s="17" t="s">
        <v>61</v>
      </c>
      <c r="AN428" s="17" t="s">
        <v>656</v>
      </c>
    </row>
    <row r="429" spans="2:40" x14ac:dyDescent="0.25">
      <c r="B429" s="209">
        <f t="shared" si="75"/>
        <v>370</v>
      </c>
      <c r="C429" s="16">
        <v>20200604</v>
      </c>
      <c r="D429" s="15" t="s">
        <v>3</v>
      </c>
      <c r="E429" s="15" t="s">
        <v>1250</v>
      </c>
      <c r="F429" s="169" t="s">
        <v>1299</v>
      </c>
      <c r="G429" s="17">
        <v>1498232</v>
      </c>
      <c r="H429" s="52" t="s">
        <v>61</v>
      </c>
      <c r="I429" s="15" t="s">
        <v>1143</v>
      </c>
      <c r="J429" s="52" t="s">
        <v>61</v>
      </c>
      <c r="K429" s="15" t="s">
        <v>146</v>
      </c>
      <c r="L429" s="15" t="s">
        <v>1261</v>
      </c>
      <c r="M429" s="15" t="s">
        <v>1262</v>
      </c>
      <c r="N429" s="15" t="s">
        <v>1260</v>
      </c>
      <c r="O429" s="17" t="s">
        <v>61</v>
      </c>
      <c r="P429" s="17" t="s">
        <v>1162</v>
      </c>
      <c r="Q429" s="18"/>
      <c r="R429" s="52" t="s">
        <v>61</v>
      </c>
      <c r="S429" s="15" t="s">
        <v>142</v>
      </c>
      <c r="T429" s="15"/>
      <c r="U429" s="15"/>
      <c r="V429" s="15">
        <v>36</v>
      </c>
      <c r="W429" s="15">
        <v>0</v>
      </c>
      <c r="X429" s="15">
        <f t="shared" si="81"/>
        <v>0</v>
      </c>
      <c r="Y429" s="15">
        <f>ROUNDDOWN(W429/HLOOKUP(D429,Table!$C$3:$D$4,2,0)*8,2)</f>
        <v>0</v>
      </c>
      <c r="Z429" s="15">
        <v>0.1</v>
      </c>
      <c r="AA429" s="15" t="s">
        <v>74</v>
      </c>
      <c r="AB429" s="19">
        <v>43994</v>
      </c>
      <c r="AC429" s="19">
        <v>43986</v>
      </c>
      <c r="AD429" s="172">
        <v>43996</v>
      </c>
      <c r="AE429" s="19">
        <v>43987</v>
      </c>
      <c r="AF429" s="19">
        <v>43987</v>
      </c>
      <c r="AG429" s="19" t="s">
        <v>176</v>
      </c>
      <c r="AH429" s="79" t="s">
        <v>61</v>
      </c>
      <c r="AI429" s="79" t="s">
        <v>61</v>
      </c>
      <c r="AJ429" s="79" t="s">
        <v>61</v>
      </c>
      <c r="AK429" s="19" t="s">
        <v>150</v>
      </c>
      <c r="AL429" s="17" t="s">
        <v>61</v>
      </c>
      <c r="AM429" s="17" t="s">
        <v>61</v>
      </c>
      <c r="AN429" s="17" t="s">
        <v>656</v>
      </c>
    </row>
    <row r="430" spans="2:40" x14ac:dyDescent="0.25">
      <c r="B430" s="209">
        <f t="shared" si="75"/>
        <v>371</v>
      </c>
      <c r="C430" s="16">
        <v>20200604</v>
      </c>
      <c r="D430" s="15" t="s">
        <v>3</v>
      </c>
      <c r="E430" s="15" t="s">
        <v>1250</v>
      </c>
      <c r="F430" s="169" t="s">
        <v>1299</v>
      </c>
      <c r="G430" s="17">
        <v>1498232</v>
      </c>
      <c r="H430" s="52" t="s">
        <v>61</v>
      </c>
      <c r="I430" s="15" t="s">
        <v>1144</v>
      </c>
      <c r="J430" s="52" t="s">
        <v>61</v>
      </c>
      <c r="K430" s="15" t="s">
        <v>146</v>
      </c>
      <c r="L430" s="15" t="s">
        <v>1261</v>
      </c>
      <c r="M430" s="15" t="s">
        <v>1262</v>
      </c>
      <c r="N430" s="15" t="s">
        <v>1260</v>
      </c>
      <c r="O430" s="17" t="s">
        <v>61</v>
      </c>
      <c r="P430" s="17" t="s">
        <v>1162</v>
      </c>
      <c r="Q430" s="18"/>
      <c r="R430" s="52" t="s">
        <v>61</v>
      </c>
      <c r="S430" s="15" t="s">
        <v>142</v>
      </c>
      <c r="T430" s="15"/>
      <c r="U430" s="15"/>
      <c r="V430" s="15">
        <v>60</v>
      </c>
      <c r="W430" s="15">
        <v>0</v>
      </c>
      <c r="X430" s="15">
        <f t="shared" si="81"/>
        <v>0</v>
      </c>
      <c r="Y430" s="15">
        <f>ROUNDDOWN(W430/HLOOKUP(D430,Table!$C$3:$D$4,2,0)*8,2)</f>
        <v>0</v>
      </c>
      <c r="Z430" s="15">
        <v>0.1</v>
      </c>
      <c r="AA430" s="15" t="s">
        <v>74</v>
      </c>
      <c r="AB430" s="19">
        <v>43994</v>
      </c>
      <c r="AC430" s="19">
        <v>43986</v>
      </c>
      <c r="AD430" s="172">
        <v>43996</v>
      </c>
      <c r="AE430" s="19">
        <v>43987</v>
      </c>
      <c r="AF430" s="19">
        <v>43987</v>
      </c>
      <c r="AG430" s="19" t="s">
        <v>176</v>
      </c>
      <c r="AH430" s="79" t="s">
        <v>61</v>
      </c>
      <c r="AI430" s="79" t="s">
        <v>61</v>
      </c>
      <c r="AJ430" s="79" t="s">
        <v>61</v>
      </c>
      <c r="AK430" s="19" t="s">
        <v>150</v>
      </c>
      <c r="AL430" s="17" t="s">
        <v>61</v>
      </c>
      <c r="AM430" s="17" t="s">
        <v>61</v>
      </c>
      <c r="AN430" s="17" t="s">
        <v>656</v>
      </c>
    </row>
    <row r="431" spans="2:40" x14ac:dyDescent="0.25">
      <c r="B431" s="209">
        <f t="shared" si="75"/>
        <v>372</v>
      </c>
      <c r="C431" s="16">
        <v>20200604</v>
      </c>
      <c r="D431" s="15" t="s">
        <v>3</v>
      </c>
      <c r="E431" s="15" t="s">
        <v>1250</v>
      </c>
      <c r="F431" s="169" t="s">
        <v>1299</v>
      </c>
      <c r="G431" s="17">
        <v>1498232</v>
      </c>
      <c r="H431" s="52" t="s">
        <v>61</v>
      </c>
      <c r="I431" s="15" t="s">
        <v>1145</v>
      </c>
      <c r="J431" s="52" t="s">
        <v>61</v>
      </c>
      <c r="K431" s="15" t="s">
        <v>146</v>
      </c>
      <c r="L431" s="15" t="s">
        <v>1261</v>
      </c>
      <c r="M431" s="15" t="s">
        <v>1262</v>
      </c>
      <c r="N431" s="15" t="s">
        <v>1260</v>
      </c>
      <c r="O431" s="17" t="s">
        <v>61</v>
      </c>
      <c r="P431" s="17" t="s">
        <v>1162</v>
      </c>
      <c r="Q431" s="18"/>
      <c r="R431" s="52" t="s">
        <v>61</v>
      </c>
      <c r="S431" s="15" t="s">
        <v>142</v>
      </c>
      <c r="T431" s="15"/>
      <c r="U431" s="15"/>
      <c r="V431" s="15">
        <v>33</v>
      </c>
      <c r="W431" s="15">
        <v>0</v>
      </c>
      <c r="X431" s="15">
        <f t="shared" si="81"/>
        <v>0</v>
      </c>
      <c r="Y431" s="15">
        <f>ROUNDDOWN(W431/HLOOKUP(D431,Table!$C$3:$D$4,2,0)*8,2)</f>
        <v>0</v>
      </c>
      <c r="Z431" s="15">
        <v>0.1</v>
      </c>
      <c r="AA431" s="15" t="s">
        <v>74</v>
      </c>
      <c r="AB431" s="19">
        <v>43994</v>
      </c>
      <c r="AC431" s="19">
        <v>43986</v>
      </c>
      <c r="AD431" s="172">
        <v>43996</v>
      </c>
      <c r="AE431" s="19">
        <v>43987</v>
      </c>
      <c r="AF431" s="19">
        <v>43987</v>
      </c>
      <c r="AG431" s="19" t="s">
        <v>176</v>
      </c>
      <c r="AH431" s="79" t="s">
        <v>61</v>
      </c>
      <c r="AI431" s="79" t="s">
        <v>61</v>
      </c>
      <c r="AJ431" s="79" t="s">
        <v>61</v>
      </c>
      <c r="AK431" s="19" t="s">
        <v>150</v>
      </c>
      <c r="AL431" s="17" t="s">
        <v>61</v>
      </c>
      <c r="AM431" s="17" t="s">
        <v>61</v>
      </c>
      <c r="AN431" s="17" t="s">
        <v>656</v>
      </c>
    </row>
    <row r="432" spans="2:40" x14ac:dyDescent="0.25">
      <c r="B432" s="209">
        <f t="shared" si="75"/>
        <v>373</v>
      </c>
      <c r="C432" s="16">
        <v>20200604</v>
      </c>
      <c r="D432" s="15" t="s">
        <v>3</v>
      </c>
      <c r="E432" s="15" t="s">
        <v>1250</v>
      </c>
      <c r="F432" s="169" t="s">
        <v>1299</v>
      </c>
      <c r="G432" s="17">
        <v>1498232</v>
      </c>
      <c r="H432" s="52" t="s">
        <v>61</v>
      </c>
      <c r="I432" s="15" t="s">
        <v>1146</v>
      </c>
      <c r="J432" s="52" t="s">
        <v>61</v>
      </c>
      <c r="K432" s="15" t="s">
        <v>146</v>
      </c>
      <c r="L432" s="15" t="s">
        <v>1261</v>
      </c>
      <c r="M432" s="15" t="s">
        <v>1262</v>
      </c>
      <c r="N432" s="15" t="s">
        <v>1260</v>
      </c>
      <c r="O432" s="17" t="s">
        <v>61</v>
      </c>
      <c r="P432" s="17" t="s">
        <v>1162</v>
      </c>
      <c r="Q432" s="18"/>
      <c r="R432" s="52" t="s">
        <v>61</v>
      </c>
      <c r="S432" s="15" t="s">
        <v>142</v>
      </c>
      <c r="T432" s="15"/>
      <c r="U432" s="15"/>
      <c r="V432" s="15">
        <v>19</v>
      </c>
      <c r="W432" s="15">
        <v>0</v>
      </c>
      <c r="X432" s="15">
        <f t="shared" si="81"/>
        <v>0</v>
      </c>
      <c r="Y432" s="15">
        <f>ROUNDDOWN(W432/HLOOKUP(D432,Table!$C$3:$D$4,2,0)*8,2)</f>
        <v>0</v>
      </c>
      <c r="Z432" s="15">
        <v>0.1</v>
      </c>
      <c r="AA432" s="15" t="s">
        <v>74</v>
      </c>
      <c r="AB432" s="19">
        <v>43994</v>
      </c>
      <c r="AC432" s="19">
        <v>43986</v>
      </c>
      <c r="AD432" s="172">
        <v>43996</v>
      </c>
      <c r="AE432" s="19">
        <v>43987</v>
      </c>
      <c r="AF432" s="19">
        <v>43987</v>
      </c>
      <c r="AG432" s="19" t="s">
        <v>176</v>
      </c>
      <c r="AH432" s="79" t="s">
        <v>61</v>
      </c>
      <c r="AI432" s="79" t="s">
        <v>61</v>
      </c>
      <c r="AJ432" s="79" t="s">
        <v>61</v>
      </c>
      <c r="AK432" s="19" t="s">
        <v>150</v>
      </c>
      <c r="AL432" s="17" t="s">
        <v>61</v>
      </c>
      <c r="AM432" s="17" t="s">
        <v>61</v>
      </c>
      <c r="AN432" s="17" t="s">
        <v>656</v>
      </c>
    </row>
    <row r="433" spans="2:40" x14ac:dyDescent="0.25">
      <c r="B433" s="209">
        <f t="shared" si="75"/>
        <v>374</v>
      </c>
      <c r="C433" s="16">
        <v>20200604</v>
      </c>
      <c r="D433" s="15" t="s">
        <v>3</v>
      </c>
      <c r="E433" s="15" t="s">
        <v>1250</v>
      </c>
      <c r="F433" s="169" t="s">
        <v>1299</v>
      </c>
      <c r="G433" s="17">
        <v>1498232</v>
      </c>
      <c r="H433" s="52" t="s">
        <v>61</v>
      </c>
      <c r="I433" s="15" t="s">
        <v>1147</v>
      </c>
      <c r="J433" s="52" t="s">
        <v>61</v>
      </c>
      <c r="K433" s="15" t="s">
        <v>146</v>
      </c>
      <c r="L433" s="15" t="s">
        <v>1261</v>
      </c>
      <c r="M433" s="15" t="s">
        <v>1262</v>
      </c>
      <c r="N433" s="15" t="s">
        <v>1260</v>
      </c>
      <c r="O433" s="17" t="s">
        <v>61</v>
      </c>
      <c r="P433" s="17" t="s">
        <v>1162</v>
      </c>
      <c r="Q433" s="18"/>
      <c r="R433" s="52" t="s">
        <v>61</v>
      </c>
      <c r="S433" s="15" t="s">
        <v>142</v>
      </c>
      <c r="T433" s="15"/>
      <c r="U433" s="15"/>
      <c r="V433" s="15">
        <v>33</v>
      </c>
      <c r="W433" s="15">
        <v>0</v>
      </c>
      <c r="X433" s="15">
        <f t="shared" si="81"/>
        <v>0</v>
      </c>
      <c r="Y433" s="15">
        <f>ROUNDDOWN(W433/HLOOKUP(D433,Table!$C$3:$D$4,2,0)*8,2)</f>
        <v>0</v>
      </c>
      <c r="Z433" s="15">
        <v>0.1</v>
      </c>
      <c r="AA433" s="15" t="s">
        <v>74</v>
      </c>
      <c r="AB433" s="19">
        <v>43994</v>
      </c>
      <c r="AC433" s="19">
        <v>43986</v>
      </c>
      <c r="AD433" s="172">
        <v>43996</v>
      </c>
      <c r="AE433" s="19">
        <v>43987</v>
      </c>
      <c r="AF433" s="19">
        <v>43987</v>
      </c>
      <c r="AG433" s="19" t="s">
        <v>176</v>
      </c>
      <c r="AH433" s="79" t="s">
        <v>61</v>
      </c>
      <c r="AI433" s="79" t="s">
        <v>61</v>
      </c>
      <c r="AJ433" s="79" t="s">
        <v>61</v>
      </c>
      <c r="AK433" s="19" t="s">
        <v>150</v>
      </c>
      <c r="AL433" s="17" t="s">
        <v>61</v>
      </c>
      <c r="AM433" s="17" t="s">
        <v>61</v>
      </c>
      <c r="AN433" s="17" t="s">
        <v>656</v>
      </c>
    </row>
    <row r="434" spans="2:40" x14ac:dyDescent="0.25">
      <c r="B434" s="209">
        <f t="shared" si="75"/>
        <v>375</v>
      </c>
      <c r="C434" s="16">
        <v>20200604</v>
      </c>
      <c r="D434" s="15" t="s">
        <v>3</v>
      </c>
      <c r="E434" s="15" t="s">
        <v>1250</v>
      </c>
      <c r="F434" s="169" t="s">
        <v>1299</v>
      </c>
      <c r="G434" s="17">
        <v>1498232</v>
      </c>
      <c r="H434" s="52" t="s">
        <v>61</v>
      </c>
      <c r="I434" s="15" t="s">
        <v>1148</v>
      </c>
      <c r="J434" s="52" t="s">
        <v>61</v>
      </c>
      <c r="K434" s="15" t="s">
        <v>146</v>
      </c>
      <c r="L434" s="15" t="s">
        <v>1261</v>
      </c>
      <c r="M434" s="15" t="s">
        <v>1262</v>
      </c>
      <c r="N434" s="15" t="s">
        <v>1260</v>
      </c>
      <c r="O434" s="17" t="s">
        <v>61</v>
      </c>
      <c r="P434" s="17" t="s">
        <v>1162</v>
      </c>
      <c r="Q434" s="18"/>
      <c r="R434" s="52" t="s">
        <v>61</v>
      </c>
      <c r="S434" s="15" t="s">
        <v>69</v>
      </c>
      <c r="T434" s="15"/>
      <c r="U434" s="15"/>
      <c r="V434" s="15">
        <v>40</v>
      </c>
      <c r="W434" s="15">
        <v>0</v>
      </c>
      <c r="X434" s="15">
        <f t="shared" si="81"/>
        <v>0</v>
      </c>
      <c r="Y434" s="15">
        <f>ROUNDDOWN(W434/HLOOKUP(D434,Table!$C$3:$D$4,2,0)*8,2)</f>
        <v>0</v>
      </c>
      <c r="Z434" s="15">
        <v>0.1</v>
      </c>
      <c r="AA434" s="15" t="s">
        <v>74</v>
      </c>
      <c r="AB434" s="19">
        <v>43994</v>
      </c>
      <c r="AC434" s="19">
        <v>43986</v>
      </c>
      <c r="AD434" s="172">
        <v>43996</v>
      </c>
      <c r="AE434" s="19">
        <v>43992</v>
      </c>
      <c r="AF434" s="19">
        <v>43992</v>
      </c>
      <c r="AG434" s="19" t="s">
        <v>176</v>
      </c>
      <c r="AH434" s="31" t="s">
        <v>61</v>
      </c>
      <c r="AI434" s="31" t="s">
        <v>61</v>
      </c>
      <c r="AJ434" s="31" t="s">
        <v>61</v>
      </c>
      <c r="AK434" s="19" t="s">
        <v>150</v>
      </c>
      <c r="AL434" s="17" t="s">
        <v>61</v>
      </c>
      <c r="AM434" s="17" t="s">
        <v>61</v>
      </c>
      <c r="AN434" s="17" t="s">
        <v>656</v>
      </c>
    </row>
    <row r="435" spans="2:40" x14ac:dyDescent="0.25">
      <c r="B435" s="209">
        <f t="shared" si="75"/>
        <v>376</v>
      </c>
      <c r="C435" s="16">
        <v>20200604</v>
      </c>
      <c r="D435" s="15" t="s">
        <v>3</v>
      </c>
      <c r="E435" s="15" t="s">
        <v>1250</v>
      </c>
      <c r="F435" s="169" t="s">
        <v>1299</v>
      </c>
      <c r="G435" s="17">
        <v>1498232</v>
      </c>
      <c r="H435" s="52" t="s">
        <v>61</v>
      </c>
      <c r="I435" s="15" t="s">
        <v>1149</v>
      </c>
      <c r="J435" s="52" t="s">
        <v>61</v>
      </c>
      <c r="K435" s="15" t="s">
        <v>146</v>
      </c>
      <c r="L435" s="15" t="s">
        <v>1261</v>
      </c>
      <c r="M435" s="15" t="s">
        <v>1262</v>
      </c>
      <c r="N435" s="15" t="s">
        <v>1260</v>
      </c>
      <c r="O435" s="17" t="s">
        <v>61</v>
      </c>
      <c r="P435" s="17" t="s">
        <v>1162</v>
      </c>
      <c r="Q435" s="18"/>
      <c r="R435" s="52" t="s">
        <v>61</v>
      </c>
      <c r="S435" s="15" t="s">
        <v>69</v>
      </c>
      <c r="T435" s="15"/>
      <c r="U435" s="15"/>
      <c r="V435" s="15">
        <v>29</v>
      </c>
      <c r="W435" s="15">
        <v>0</v>
      </c>
      <c r="X435" s="15">
        <f t="shared" si="81"/>
        <v>0</v>
      </c>
      <c r="Y435" s="15">
        <f>ROUNDDOWN(W435/HLOOKUP(D435,Table!$C$3:$D$4,2,0)*8,2)</f>
        <v>0</v>
      </c>
      <c r="Z435" s="15">
        <v>0.1</v>
      </c>
      <c r="AA435" s="15" t="s">
        <v>74</v>
      </c>
      <c r="AB435" s="19">
        <v>43994</v>
      </c>
      <c r="AC435" s="19">
        <v>43986</v>
      </c>
      <c r="AD435" s="172">
        <v>43996</v>
      </c>
      <c r="AE435" s="19">
        <v>43992</v>
      </c>
      <c r="AF435" s="19">
        <v>43992</v>
      </c>
      <c r="AG435" s="19" t="s">
        <v>176</v>
      </c>
      <c r="AH435" s="31" t="s">
        <v>61</v>
      </c>
      <c r="AI435" s="31" t="s">
        <v>61</v>
      </c>
      <c r="AJ435" s="31" t="s">
        <v>61</v>
      </c>
      <c r="AK435" s="19" t="s">
        <v>150</v>
      </c>
      <c r="AL435" s="17" t="s">
        <v>61</v>
      </c>
      <c r="AM435" s="17" t="s">
        <v>61</v>
      </c>
      <c r="AN435" s="17" t="s">
        <v>656</v>
      </c>
    </row>
    <row r="436" spans="2:40" x14ac:dyDescent="0.25">
      <c r="B436" s="209">
        <f t="shared" si="75"/>
        <v>377</v>
      </c>
      <c r="C436" s="16">
        <v>20200604</v>
      </c>
      <c r="D436" s="15" t="s">
        <v>3</v>
      </c>
      <c r="E436" s="15" t="s">
        <v>1250</v>
      </c>
      <c r="F436" s="169" t="s">
        <v>1299</v>
      </c>
      <c r="G436" s="17">
        <v>1498232</v>
      </c>
      <c r="H436" s="52" t="s">
        <v>61</v>
      </c>
      <c r="I436" s="15" t="s">
        <v>1150</v>
      </c>
      <c r="J436" s="52" t="s">
        <v>61</v>
      </c>
      <c r="K436" s="15" t="s">
        <v>146</v>
      </c>
      <c r="L436" s="15" t="s">
        <v>1261</v>
      </c>
      <c r="M436" s="15" t="s">
        <v>1262</v>
      </c>
      <c r="N436" s="15" t="s">
        <v>1260</v>
      </c>
      <c r="O436" s="17" t="s">
        <v>61</v>
      </c>
      <c r="P436" s="17" t="s">
        <v>1162</v>
      </c>
      <c r="Q436" s="18"/>
      <c r="R436" s="52" t="s">
        <v>61</v>
      </c>
      <c r="S436" s="15" t="s">
        <v>69</v>
      </c>
      <c r="T436" s="15"/>
      <c r="U436" s="15"/>
      <c r="V436" s="15">
        <v>29</v>
      </c>
      <c r="W436" s="15">
        <v>0</v>
      </c>
      <c r="X436" s="15">
        <f t="shared" si="81"/>
        <v>0</v>
      </c>
      <c r="Y436" s="15">
        <f>ROUNDDOWN(W436/HLOOKUP(D436,Table!$C$3:$D$4,2,0)*8,2)</f>
        <v>0</v>
      </c>
      <c r="Z436" s="15">
        <v>0.1</v>
      </c>
      <c r="AA436" s="15" t="s">
        <v>74</v>
      </c>
      <c r="AB436" s="19">
        <v>43994</v>
      </c>
      <c r="AC436" s="19">
        <v>43986</v>
      </c>
      <c r="AD436" s="172">
        <v>43996</v>
      </c>
      <c r="AE436" s="19">
        <v>43992</v>
      </c>
      <c r="AF436" s="19">
        <v>43992</v>
      </c>
      <c r="AG436" s="19" t="s">
        <v>176</v>
      </c>
      <c r="AH436" s="31" t="s">
        <v>61</v>
      </c>
      <c r="AI436" s="31" t="s">
        <v>61</v>
      </c>
      <c r="AJ436" s="31" t="s">
        <v>61</v>
      </c>
      <c r="AK436" s="19" t="s">
        <v>150</v>
      </c>
      <c r="AL436" s="17" t="s">
        <v>61</v>
      </c>
      <c r="AM436" s="17" t="s">
        <v>61</v>
      </c>
      <c r="AN436" s="17" t="s">
        <v>656</v>
      </c>
    </row>
    <row r="437" spans="2:40" x14ac:dyDescent="0.25">
      <c r="B437" s="209">
        <f t="shared" si="75"/>
        <v>378</v>
      </c>
      <c r="C437" s="16">
        <v>20200604</v>
      </c>
      <c r="D437" s="15" t="s">
        <v>3</v>
      </c>
      <c r="E437" s="15" t="s">
        <v>1250</v>
      </c>
      <c r="F437" s="169" t="s">
        <v>1299</v>
      </c>
      <c r="G437" s="17">
        <v>1498232</v>
      </c>
      <c r="H437" s="52" t="s">
        <v>61</v>
      </c>
      <c r="I437" s="15" t="s">
        <v>1151</v>
      </c>
      <c r="J437" s="52" t="s">
        <v>61</v>
      </c>
      <c r="K437" s="15" t="s">
        <v>146</v>
      </c>
      <c r="L437" s="15" t="s">
        <v>1261</v>
      </c>
      <c r="M437" s="15" t="s">
        <v>1262</v>
      </c>
      <c r="N437" s="15" t="s">
        <v>1260</v>
      </c>
      <c r="O437" s="17" t="s">
        <v>61</v>
      </c>
      <c r="P437" s="17" t="s">
        <v>1162</v>
      </c>
      <c r="Q437" s="18"/>
      <c r="R437" s="52" t="s">
        <v>61</v>
      </c>
      <c r="S437" s="15" t="s">
        <v>69</v>
      </c>
      <c r="T437" s="15"/>
      <c r="U437" s="15"/>
      <c r="V437" s="15">
        <v>24</v>
      </c>
      <c r="W437" s="15">
        <v>0</v>
      </c>
      <c r="X437" s="15">
        <f t="shared" si="81"/>
        <v>0</v>
      </c>
      <c r="Y437" s="15">
        <f>ROUNDDOWN(W437/HLOOKUP(D437,Table!$C$3:$D$4,2,0)*8,2)</f>
        <v>0</v>
      </c>
      <c r="Z437" s="15">
        <v>0.1</v>
      </c>
      <c r="AA437" s="15" t="s">
        <v>74</v>
      </c>
      <c r="AB437" s="19">
        <v>43994</v>
      </c>
      <c r="AC437" s="19">
        <v>43986</v>
      </c>
      <c r="AD437" s="172">
        <v>43996</v>
      </c>
      <c r="AE437" s="19">
        <v>43992</v>
      </c>
      <c r="AF437" s="19">
        <v>43992</v>
      </c>
      <c r="AG437" s="19" t="s">
        <v>176</v>
      </c>
      <c r="AH437" s="31" t="s">
        <v>61</v>
      </c>
      <c r="AI437" s="31" t="s">
        <v>61</v>
      </c>
      <c r="AJ437" s="31" t="s">
        <v>61</v>
      </c>
      <c r="AK437" s="19" t="s">
        <v>150</v>
      </c>
      <c r="AL437" s="17" t="s">
        <v>61</v>
      </c>
      <c r="AM437" s="17" t="s">
        <v>61</v>
      </c>
      <c r="AN437" s="17" t="s">
        <v>656</v>
      </c>
    </row>
    <row r="438" spans="2:40" x14ac:dyDescent="0.25">
      <c r="B438" s="209">
        <f t="shared" si="75"/>
        <v>379</v>
      </c>
      <c r="C438" s="16">
        <v>20200604</v>
      </c>
      <c r="D438" s="15" t="s">
        <v>3</v>
      </c>
      <c r="E438" s="15" t="s">
        <v>1250</v>
      </c>
      <c r="F438" s="169" t="s">
        <v>1299</v>
      </c>
      <c r="G438" s="17">
        <v>1498232</v>
      </c>
      <c r="H438" s="52" t="s">
        <v>61</v>
      </c>
      <c r="I438" s="15" t="s">
        <v>1152</v>
      </c>
      <c r="J438" s="52" t="s">
        <v>61</v>
      </c>
      <c r="K438" s="15" t="s">
        <v>146</v>
      </c>
      <c r="L438" s="15" t="s">
        <v>1261</v>
      </c>
      <c r="M438" s="15" t="s">
        <v>1262</v>
      </c>
      <c r="N438" s="15" t="s">
        <v>1260</v>
      </c>
      <c r="O438" s="17" t="s">
        <v>61</v>
      </c>
      <c r="P438" s="17" t="s">
        <v>1162</v>
      </c>
      <c r="Q438" s="18"/>
      <c r="R438" s="52" t="s">
        <v>61</v>
      </c>
      <c r="S438" s="15" t="s">
        <v>69</v>
      </c>
      <c r="T438" s="15"/>
      <c r="U438" s="15"/>
      <c r="V438" s="15">
        <v>23</v>
      </c>
      <c r="W438" s="15">
        <v>0</v>
      </c>
      <c r="X438" s="15">
        <f t="shared" si="81"/>
        <v>0</v>
      </c>
      <c r="Y438" s="15">
        <f>ROUNDDOWN(W438/HLOOKUP(D438,Table!$C$3:$D$4,2,0)*8,2)</f>
        <v>0</v>
      </c>
      <c r="Z438" s="15">
        <v>0.1</v>
      </c>
      <c r="AA438" s="15" t="s">
        <v>74</v>
      </c>
      <c r="AB438" s="19">
        <v>43994</v>
      </c>
      <c r="AC438" s="19">
        <v>43986</v>
      </c>
      <c r="AD438" s="172">
        <v>43996</v>
      </c>
      <c r="AE438" s="19">
        <v>43992</v>
      </c>
      <c r="AF438" s="19">
        <v>43992</v>
      </c>
      <c r="AG438" s="19" t="s">
        <v>176</v>
      </c>
      <c r="AH438" s="31" t="s">
        <v>61</v>
      </c>
      <c r="AI438" s="31" t="s">
        <v>61</v>
      </c>
      <c r="AJ438" s="31" t="s">
        <v>61</v>
      </c>
      <c r="AK438" s="19" t="s">
        <v>150</v>
      </c>
      <c r="AL438" s="17" t="s">
        <v>61</v>
      </c>
      <c r="AM438" s="17" t="s">
        <v>61</v>
      </c>
      <c r="AN438" s="17" t="s">
        <v>656</v>
      </c>
    </row>
    <row r="439" spans="2:40" x14ac:dyDescent="0.25">
      <c r="B439" s="209">
        <f t="shared" si="75"/>
        <v>380</v>
      </c>
      <c r="C439" s="16">
        <v>20200604</v>
      </c>
      <c r="D439" s="15" t="s">
        <v>3</v>
      </c>
      <c r="E439" s="15" t="s">
        <v>1250</v>
      </c>
      <c r="F439" s="169" t="s">
        <v>1302</v>
      </c>
      <c r="G439" s="17">
        <v>1498232</v>
      </c>
      <c r="H439" s="52" t="s">
        <v>61</v>
      </c>
      <c r="I439" s="15" t="s">
        <v>1255</v>
      </c>
      <c r="J439" s="52" t="s">
        <v>61</v>
      </c>
      <c r="K439" s="15" t="s">
        <v>146</v>
      </c>
      <c r="L439" s="15" t="s">
        <v>1261</v>
      </c>
      <c r="M439" s="15" t="s">
        <v>1262</v>
      </c>
      <c r="N439" s="15" t="s">
        <v>1260</v>
      </c>
      <c r="O439" s="17" t="s">
        <v>61</v>
      </c>
      <c r="P439" s="17" t="s">
        <v>1162</v>
      </c>
      <c r="Q439" s="18"/>
      <c r="R439" s="52" t="s">
        <v>61</v>
      </c>
      <c r="S439" s="15" t="s">
        <v>69</v>
      </c>
      <c r="T439" s="15"/>
      <c r="U439" s="15"/>
      <c r="V439" s="15">
        <v>20</v>
      </c>
      <c r="W439" s="15">
        <f t="shared" si="80"/>
        <v>20</v>
      </c>
      <c r="X439" s="15">
        <f t="shared" ref="X434:X440" si="82">W439</f>
        <v>20</v>
      </c>
      <c r="Y439" s="15">
        <f>ROUNDDOWN(W439/HLOOKUP(D439,Table!$C$3:$D$4,2,0)*8,2)</f>
        <v>0.35</v>
      </c>
      <c r="Z439" s="15">
        <v>0.2</v>
      </c>
      <c r="AA439" s="15" t="s">
        <v>74</v>
      </c>
      <c r="AB439" s="19">
        <v>43994</v>
      </c>
      <c r="AC439" s="19">
        <v>43986</v>
      </c>
      <c r="AD439" s="172">
        <v>43996</v>
      </c>
      <c r="AE439" s="19">
        <v>43992</v>
      </c>
      <c r="AF439" s="19">
        <v>43992</v>
      </c>
      <c r="AG439" s="19" t="s">
        <v>176</v>
      </c>
      <c r="AH439" s="31">
        <v>1</v>
      </c>
      <c r="AI439" s="31">
        <v>1</v>
      </c>
      <c r="AJ439" s="31">
        <v>1</v>
      </c>
      <c r="AK439" s="19" t="s">
        <v>150</v>
      </c>
      <c r="AL439" s="17" t="s">
        <v>61</v>
      </c>
      <c r="AM439" s="17" t="s">
        <v>61</v>
      </c>
      <c r="AN439" s="17" t="s">
        <v>61</v>
      </c>
    </row>
    <row r="440" spans="2:40" x14ac:dyDescent="0.25">
      <c r="B440" s="209">
        <f t="shared" si="75"/>
        <v>381</v>
      </c>
      <c r="C440" s="16">
        <v>20200604</v>
      </c>
      <c r="D440" s="15" t="s">
        <v>3</v>
      </c>
      <c r="E440" s="15" t="s">
        <v>1250</v>
      </c>
      <c r="F440" s="169" t="s">
        <v>1302</v>
      </c>
      <c r="G440" s="17">
        <v>1498232</v>
      </c>
      <c r="H440" s="52" t="s">
        <v>61</v>
      </c>
      <c r="I440" s="15" t="s">
        <v>1256</v>
      </c>
      <c r="J440" s="52" t="s">
        <v>61</v>
      </c>
      <c r="K440" s="15" t="s">
        <v>146</v>
      </c>
      <c r="L440" s="15" t="s">
        <v>1261</v>
      </c>
      <c r="M440" s="15" t="s">
        <v>1262</v>
      </c>
      <c r="N440" s="15" t="s">
        <v>1260</v>
      </c>
      <c r="O440" s="17" t="s">
        <v>61</v>
      </c>
      <c r="P440" s="17" t="s">
        <v>1162</v>
      </c>
      <c r="Q440" s="18"/>
      <c r="R440" s="52" t="s">
        <v>61</v>
      </c>
      <c r="S440" s="15" t="s">
        <v>69</v>
      </c>
      <c r="T440" s="15"/>
      <c r="U440" s="15"/>
      <c r="V440" s="15">
        <v>20</v>
      </c>
      <c r="W440" s="15">
        <f t="shared" si="80"/>
        <v>20</v>
      </c>
      <c r="X440" s="15">
        <f t="shared" si="82"/>
        <v>20</v>
      </c>
      <c r="Y440" s="15">
        <f>ROUNDDOWN(W440/HLOOKUP(D440,Table!$C$3:$D$4,2,0)*8,2)</f>
        <v>0.35</v>
      </c>
      <c r="Z440" s="15">
        <v>0.2</v>
      </c>
      <c r="AA440" s="15" t="s">
        <v>74</v>
      </c>
      <c r="AB440" s="19">
        <v>43994</v>
      </c>
      <c r="AC440" s="19">
        <v>43986</v>
      </c>
      <c r="AD440" s="172">
        <v>43996</v>
      </c>
      <c r="AE440" s="19">
        <v>43992</v>
      </c>
      <c r="AF440" s="19">
        <v>43992</v>
      </c>
      <c r="AG440" s="19" t="s">
        <v>176</v>
      </c>
      <c r="AH440" s="31">
        <v>1</v>
      </c>
      <c r="AI440" s="31">
        <v>1</v>
      </c>
      <c r="AJ440" s="31">
        <v>1</v>
      </c>
      <c r="AK440" s="19" t="s">
        <v>150</v>
      </c>
      <c r="AL440" s="17" t="s">
        <v>61</v>
      </c>
      <c r="AM440" s="17" t="s">
        <v>61</v>
      </c>
      <c r="AN440" s="17" t="s">
        <v>61</v>
      </c>
    </row>
    <row r="441" spans="2:40" x14ac:dyDescent="0.25">
      <c r="B441" s="209">
        <f t="shared" si="75"/>
        <v>382</v>
      </c>
      <c r="C441" s="16">
        <v>20200604</v>
      </c>
      <c r="D441" s="15" t="s">
        <v>2</v>
      </c>
      <c r="E441" s="15" t="s">
        <v>1264</v>
      </c>
      <c r="F441" s="77" t="s">
        <v>61</v>
      </c>
      <c r="G441" s="17">
        <v>1502055</v>
      </c>
      <c r="H441" s="52" t="s">
        <v>61</v>
      </c>
      <c r="I441" s="15" t="s">
        <v>1263</v>
      </c>
      <c r="J441" s="52" t="s">
        <v>61</v>
      </c>
      <c r="K441" s="15" t="s">
        <v>184</v>
      </c>
      <c r="L441" s="15" t="s">
        <v>150</v>
      </c>
      <c r="M441" s="15" t="s">
        <v>1265</v>
      </c>
      <c r="N441" s="15" t="s">
        <v>1266</v>
      </c>
      <c r="O441" s="17" t="s">
        <v>1101</v>
      </c>
      <c r="P441" s="17" t="s">
        <v>1103</v>
      </c>
      <c r="Q441" s="18"/>
      <c r="R441" s="52" t="s">
        <v>61</v>
      </c>
      <c r="S441" s="15" t="s">
        <v>67</v>
      </c>
      <c r="T441" s="15"/>
      <c r="U441" s="15"/>
      <c r="V441" s="15">
        <v>0</v>
      </c>
      <c r="W441" s="15">
        <f>V441</f>
        <v>0</v>
      </c>
      <c r="X441" s="15">
        <v>0</v>
      </c>
      <c r="Y441" s="15">
        <f>ROUNDDOWN(W441/HLOOKUP(D441,Table!$C$3:$D$4,2,0)*8,2)</f>
        <v>0</v>
      </c>
      <c r="Z441" s="15">
        <v>0.1</v>
      </c>
      <c r="AA441" s="15" t="s">
        <v>74</v>
      </c>
      <c r="AB441" s="19">
        <v>43992</v>
      </c>
      <c r="AC441" s="19">
        <v>43986</v>
      </c>
      <c r="AD441" s="99">
        <v>43992</v>
      </c>
      <c r="AE441" s="19">
        <v>43990</v>
      </c>
      <c r="AF441" s="19">
        <v>43990</v>
      </c>
      <c r="AG441" s="19" t="s">
        <v>176</v>
      </c>
      <c r="AH441" s="31">
        <v>1</v>
      </c>
      <c r="AI441" s="31">
        <v>1</v>
      </c>
      <c r="AJ441" s="31">
        <v>1</v>
      </c>
      <c r="AK441" s="19" t="s">
        <v>150</v>
      </c>
      <c r="AL441" s="15" t="s">
        <v>61</v>
      </c>
      <c r="AM441" s="15" t="s">
        <v>61</v>
      </c>
      <c r="AN441" s="84" t="s">
        <v>1396</v>
      </c>
    </row>
    <row r="442" spans="2:40" x14ac:dyDescent="0.25">
      <c r="B442" s="209">
        <f t="shared" si="75"/>
        <v>383</v>
      </c>
      <c r="C442" s="16">
        <v>20200604</v>
      </c>
      <c r="D442" s="15" t="s">
        <v>2</v>
      </c>
      <c r="E442" s="15" t="s">
        <v>1264</v>
      </c>
      <c r="F442" s="77" t="s">
        <v>61</v>
      </c>
      <c r="G442" s="17">
        <v>1502055</v>
      </c>
      <c r="H442" s="52" t="s">
        <v>61</v>
      </c>
      <c r="I442" s="15" t="s">
        <v>1096</v>
      </c>
      <c r="J442" s="52" t="s">
        <v>61</v>
      </c>
      <c r="K442" s="15" t="s">
        <v>184</v>
      </c>
      <c r="L442" s="15" t="s">
        <v>150</v>
      </c>
      <c r="M442" s="15" t="s">
        <v>1265</v>
      </c>
      <c r="N442" s="15" t="s">
        <v>1266</v>
      </c>
      <c r="O442" s="17">
        <v>1.3</v>
      </c>
      <c r="P442" s="17" t="s">
        <v>1103</v>
      </c>
      <c r="Q442" s="18"/>
      <c r="R442" s="52" t="s">
        <v>61</v>
      </c>
      <c r="S442" s="15" t="s">
        <v>67</v>
      </c>
      <c r="T442" s="15"/>
      <c r="U442" s="15"/>
      <c r="V442" s="15">
        <v>0</v>
      </c>
      <c r="W442" s="15">
        <f>V442</f>
        <v>0</v>
      </c>
      <c r="X442" s="15">
        <v>0</v>
      </c>
      <c r="Y442" s="15">
        <f>ROUNDDOWN(W442/HLOOKUP(D442,Table!$C$3:$D$4,2,0)*8,2)</f>
        <v>0</v>
      </c>
      <c r="Z442" s="15">
        <v>0.1</v>
      </c>
      <c r="AA442" s="15" t="s">
        <v>74</v>
      </c>
      <c r="AB442" s="19">
        <v>43992</v>
      </c>
      <c r="AC442" s="19">
        <v>43986</v>
      </c>
      <c r="AD442" s="99">
        <v>43992</v>
      </c>
      <c r="AE442" s="19">
        <v>43990</v>
      </c>
      <c r="AF442" s="19">
        <v>43990</v>
      </c>
      <c r="AG442" s="19" t="s">
        <v>176</v>
      </c>
      <c r="AH442" s="31">
        <v>1</v>
      </c>
      <c r="AI442" s="31">
        <v>1</v>
      </c>
      <c r="AJ442" s="31">
        <v>1</v>
      </c>
      <c r="AK442" s="19" t="s">
        <v>150</v>
      </c>
      <c r="AL442" s="15" t="s">
        <v>61</v>
      </c>
      <c r="AM442" s="15" t="s">
        <v>61</v>
      </c>
      <c r="AN442" s="84" t="s">
        <v>1396</v>
      </c>
    </row>
    <row r="443" spans="2:40" x14ac:dyDescent="0.25">
      <c r="B443" s="215">
        <f t="shared" si="75"/>
        <v>384</v>
      </c>
      <c r="C443" s="16">
        <v>20200605</v>
      </c>
      <c r="D443" s="15" t="s">
        <v>3</v>
      </c>
      <c r="E443" s="80" t="s">
        <v>1286</v>
      </c>
      <c r="F443" s="169" t="s">
        <v>1287</v>
      </c>
      <c r="G443" s="80">
        <v>1508787</v>
      </c>
      <c r="H443" s="52" t="s">
        <v>61</v>
      </c>
      <c r="I443" s="80" t="s">
        <v>340</v>
      </c>
      <c r="J443" s="52" t="s">
        <v>61</v>
      </c>
      <c r="K443" s="15" t="s">
        <v>184</v>
      </c>
      <c r="L443" s="15" t="s">
        <v>150</v>
      </c>
      <c r="M443" s="80" t="s">
        <v>353</v>
      </c>
      <c r="N443" s="80" t="s">
        <v>354</v>
      </c>
      <c r="O443" s="17" t="s">
        <v>61</v>
      </c>
      <c r="P443" s="77" t="s">
        <v>355</v>
      </c>
      <c r="Q443" s="18"/>
      <c r="R443" s="52" t="s">
        <v>61</v>
      </c>
      <c r="S443" s="15" t="s">
        <v>68</v>
      </c>
      <c r="T443" s="15"/>
      <c r="U443" s="15"/>
      <c r="V443" s="141">
        <v>31</v>
      </c>
      <c r="W443" s="84">
        <f t="shared" ref="W443:W486" si="83">V443*2</f>
        <v>62</v>
      </c>
      <c r="X443" s="15">
        <f t="shared" ref="X443:X479" si="84">W443</f>
        <v>62</v>
      </c>
      <c r="Y443" s="15">
        <f>ROUNDDOWN(W443/HLOOKUP(D443,Table!$C$3:$D$4,2,0)*8,2)</f>
        <v>1.1000000000000001</v>
      </c>
      <c r="Z443" s="15">
        <v>1</v>
      </c>
      <c r="AA443" s="15" t="s">
        <v>74</v>
      </c>
      <c r="AB443" s="19">
        <v>43993</v>
      </c>
      <c r="AC443" s="19">
        <v>43987</v>
      </c>
      <c r="AD443" s="249">
        <v>43993</v>
      </c>
      <c r="AE443" s="19">
        <v>43990</v>
      </c>
      <c r="AF443" s="19">
        <v>43990</v>
      </c>
      <c r="AG443" s="19" t="s">
        <v>177</v>
      </c>
      <c r="AH443" s="31">
        <v>1</v>
      </c>
      <c r="AI443" s="31">
        <v>1</v>
      </c>
      <c r="AJ443" s="31">
        <v>0.5</v>
      </c>
      <c r="AK443" s="19" t="s">
        <v>139</v>
      </c>
      <c r="AL443" s="15" t="s">
        <v>1392</v>
      </c>
      <c r="AM443" s="15"/>
      <c r="AN443" s="84" t="s">
        <v>1394</v>
      </c>
    </row>
    <row r="444" spans="2:40" x14ac:dyDescent="0.25">
      <c r="B444" s="215">
        <f t="shared" si="75"/>
        <v>385</v>
      </c>
      <c r="C444" s="16">
        <v>20200605</v>
      </c>
      <c r="D444" s="15" t="s">
        <v>3</v>
      </c>
      <c r="E444" s="80" t="s">
        <v>1286</v>
      </c>
      <c r="F444" s="169" t="s">
        <v>1288</v>
      </c>
      <c r="G444" s="80">
        <v>1508787</v>
      </c>
      <c r="H444" s="52" t="s">
        <v>61</v>
      </c>
      <c r="I444" s="80" t="s">
        <v>341</v>
      </c>
      <c r="J444" s="52" t="s">
        <v>61</v>
      </c>
      <c r="K444" s="15" t="s">
        <v>184</v>
      </c>
      <c r="L444" s="15" t="s">
        <v>150</v>
      </c>
      <c r="M444" s="15" t="s">
        <v>353</v>
      </c>
      <c r="N444" s="80" t="s">
        <v>354</v>
      </c>
      <c r="O444" s="17" t="s">
        <v>61</v>
      </c>
      <c r="P444" s="77" t="s">
        <v>355</v>
      </c>
      <c r="Q444" s="18"/>
      <c r="R444" s="52" t="s">
        <v>61</v>
      </c>
      <c r="S444" s="15" t="s">
        <v>68</v>
      </c>
      <c r="T444" s="15"/>
      <c r="U444" s="15"/>
      <c r="V444" s="141">
        <v>181</v>
      </c>
      <c r="W444" s="84">
        <f t="shared" si="83"/>
        <v>362</v>
      </c>
      <c r="X444" s="15">
        <f t="shared" si="84"/>
        <v>362</v>
      </c>
      <c r="Y444" s="15">
        <f>ROUNDDOWN(W444/HLOOKUP(D444,Table!$C$3:$D$4,2,0)*8,2)</f>
        <v>6.43</v>
      </c>
      <c r="Z444" s="15">
        <v>6</v>
      </c>
      <c r="AA444" s="15" t="s">
        <v>74</v>
      </c>
      <c r="AB444" s="19">
        <v>43993</v>
      </c>
      <c r="AC444" s="19">
        <v>43987</v>
      </c>
      <c r="AD444" s="249">
        <v>43993</v>
      </c>
      <c r="AE444" s="19">
        <v>43990</v>
      </c>
      <c r="AF444" s="19">
        <v>43990</v>
      </c>
      <c r="AG444" s="19" t="s">
        <v>176</v>
      </c>
      <c r="AH444" s="31">
        <v>1</v>
      </c>
      <c r="AI444" s="31">
        <v>1</v>
      </c>
      <c r="AJ444" s="31">
        <v>1</v>
      </c>
      <c r="AK444" s="19" t="s">
        <v>150</v>
      </c>
      <c r="AL444" s="15"/>
      <c r="AM444" s="15"/>
      <c r="AN444" s="84" t="s">
        <v>1395</v>
      </c>
    </row>
    <row r="445" spans="2:40" x14ac:dyDescent="0.25">
      <c r="B445" s="215">
        <f t="shared" si="75"/>
        <v>386</v>
      </c>
      <c r="C445" s="16">
        <v>20200605</v>
      </c>
      <c r="D445" s="15" t="s">
        <v>3</v>
      </c>
      <c r="E445" s="80" t="s">
        <v>1286</v>
      </c>
      <c r="F445" s="169" t="s">
        <v>1289</v>
      </c>
      <c r="G445" s="80">
        <v>1508787</v>
      </c>
      <c r="H445" s="52" t="s">
        <v>61</v>
      </c>
      <c r="I445" s="80" t="s">
        <v>292</v>
      </c>
      <c r="J445" s="52" t="s">
        <v>61</v>
      </c>
      <c r="K445" s="15" t="s">
        <v>184</v>
      </c>
      <c r="L445" s="15" t="s">
        <v>150</v>
      </c>
      <c r="M445" s="15" t="s">
        <v>353</v>
      </c>
      <c r="N445" s="80" t="s">
        <v>354</v>
      </c>
      <c r="O445" s="17" t="s">
        <v>61</v>
      </c>
      <c r="P445" s="77" t="s">
        <v>355</v>
      </c>
      <c r="Q445" s="18"/>
      <c r="R445" s="52" t="s">
        <v>61</v>
      </c>
      <c r="S445" s="15" t="s">
        <v>69</v>
      </c>
      <c r="T445" s="15"/>
      <c r="U445" s="15"/>
      <c r="V445" s="219">
        <v>119</v>
      </c>
      <c r="W445" s="84">
        <f t="shared" si="83"/>
        <v>238</v>
      </c>
      <c r="X445" s="15">
        <f t="shared" si="84"/>
        <v>238</v>
      </c>
      <c r="Y445" s="15">
        <f>ROUNDDOWN(W445/HLOOKUP(D445,Table!$C$3:$D$4,2,0)*8,2)</f>
        <v>4.2300000000000004</v>
      </c>
      <c r="Z445" s="15">
        <v>4</v>
      </c>
      <c r="AA445" s="15" t="s">
        <v>74</v>
      </c>
      <c r="AB445" s="19">
        <v>43993</v>
      </c>
      <c r="AC445" s="19">
        <v>43987</v>
      </c>
      <c r="AD445" s="249">
        <v>43993</v>
      </c>
      <c r="AE445" s="19">
        <v>43991</v>
      </c>
      <c r="AF445" s="19">
        <v>43991</v>
      </c>
      <c r="AG445" s="19" t="s">
        <v>176</v>
      </c>
      <c r="AH445" s="31">
        <v>1</v>
      </c>
      <c r="AI445" s="31">
        <v>1</v>
      </c>
      <c r="AJ445" s="31">
        <v>1</v>
      </c>
      <c r="AK445" s="19" t="s">
        <v>150</v>
      </c>
      <c r="AL445" s="15"/>
      <c r="AM445" s="15"/>
      <c r="AN445" s="84" t="s">
        <v>1395</v>
      </c>
    </row>
    <row r="446" spans="2:40" x14ac:dyDescent="0.25">
      <c r="B446" s="215">
        <f t="shared" ref="B446:B509" si="85">B445+1</f>
        <v>387</v>
      </c>
      <c r="C446" s="16">
        <v>20200605</v>
      </c>
      <c r="D446" s="15" t="s">
        <v>3</v>
      </c>
      <c r="E446" s="80" t="s">
        <v>1286</v>
      </c>
      <c r="F446" s="169" t="s">
        <v>1290</v>
      </c>
      <c r="G446" s="80">
        <v>1508787</v>
      </c>
      <c r="H446" s="52" t="s">
        <v>61</v>
      </c>
      <c r="I446" s="80" t="s">
        <v>342</v>
      </c>
      <c r="J446" s="52" t="s">
        <v>61</v>
      </c>
      <c r="K446" s="15" t="s">
        <v>184</v>
      </c>
      <c r="L446" s="15" t="s">
        <v>150</v>
      </c>
      <c r="M446" s="15" t="s">
        <v>353</v>
      </c>
      <c r="N446" s="80" t="s">
        <v>354</v>
      </c>
      <c r="O446" s="17" t="s">
        <v>61</v>
      </c>
      <c r="P446" s="77" t="s">
        <v>355</v>
      </c>
      <c r="Q446" s="18"/>
      <c r="R446" s="52" t="s">
        <v>61</v>
      </c>
      <c r="S446" s="15" t="s">
        <v>69</v>
      </c>
      <c r="T446" s="15"/>
      <c r="U446" s="15"/>
      <c r="V446" s="219">
        <v>106</v>
      </c>
      <c r="W446" s="84">
        <f t="shared" si="83"/>
        <v>212</v>
      </c>
      <c r="X446" s="15">
        <f t="shared" si="84"/>
        <v>212</v>
      </c>
      <c r="Y446" s="15">
        <f>ROUNDDOWN(W446/HLOOKUP(D446,Table!$C$3:$D$4,2,0)*8,2)</f>
        <v>3.76</v>
      </c>
      <c r="Z446" s="15">
        <v>3</v>
      </c>
      <c r="AA446" s="15" t="s">
        <v>74</v>
      </c>
      <c r="AB446" s="19">
        <v>43993</v>
      </c>
      <c r="AC446" s="19">
        <v>43987</v>
      </c>
      <c r="AD446" s="249">
        <v>43993</v>
      </c>
      <c r="AE446" s="19">
        <v>43990</v>
      </c>
      <c r="AF446" s="19">
        <v>43990</v>
      </c>
      <c r="AG446" s="19" t="s">
        <v>176</v>
      </c>
      <c r="AH446" s="31">
        <v>1</v>
      </c>
      <c r="AI446" s="31">
        <v>1</v>
      </c>
      <c r="AJ446" s="31">
        <v>1</v>
      </c>
      <c r="AK446" s="19" t="s">
        <v>150</v>
      </c>
      <c r="AL446" s="15"/>
      <c r="AM446" s="15"/>
      <c r="AN446" s="84" t="s">
        <v>1395</v>
      </c>
    </row>
    <row r="447" spans="2:40" x14ac:dyDescent="0.25">
      <c r="B447" s="215">
        <f t="shared" si="85"/>
        <v>388</v>
      </c>
      <c r="C447" s="16">
        <v>20200605</v>
      </c>
      <c r="D447" s="15" t="s">
        <v>3</v>
      </c>
      <c r="E447" s="80" t="s">
        <v>1286</v>
      </c>
      <c r="F447" s="169" t="s">
        <v>1291</v>
      </c>
      <c r="G447" s="80">
        <v>1508787</v>
      </c>
      <c r="H447" s="52" t="s">
        <v>61</v>
      </c>
      <c r="I447" s="80" t="s">
        <v>215</v>
      </c>
      <c r="J447" s="52" t="s">
        <v>61</v>
      </c>
      <c r="K447" s="15" t="s">
        <v>184</v>
      </c>
      <c r="L447" s="15" t="s">
        <v>150</v>
      </c>
      <c r="M447" s="15" t="s">
        <v>353</v>
      </c>
      <c r="N447" s="80" t="s">
        <v>354</v>
      </c>
      <c r="O447" s="17" t="s">
        <v>61</v>
      </c>
      <c r="P447" s="77" t="s">
        <v>355</v>
      </c>
      <c r="Q447" s="18"/>
      <c r="R447" s="52" t="s">
        <v>61</v>
      </c>
      <c r="S447" s="15" t="s">
        <v>69</v>
      </c>
      <c r="T447" s="15"/>
      <c r="U447" s="15"/>
      <c r="V447" s="219">
        <v>90</v>
      </c>
      <c r="W447" s="84">
        <f t="shared" si="83"/>
        <v>180</v>
      </c>
      <c r="X447" s="15">
        <f t="shared" si="84"/>
        <v>180</v>
      </c>
      <c r="Y447" s="15">
        <f>ROUNDDOWN(W447/HLOOKUP(D447,Table!$C$3:$D$4,2,0)*8,2)</f>
        <v>3.2</v>
      </c>
      <c r="Z447" s="15">
        <v>3</v>
      </c>
      <c r="AA447" s="15" t="s">
        <v>74</v>
      </c>
      <c r="AB447" s="19">
        <v>43993</v>
      </c>
      <c r="AC447" s="19">
        <v>43987</v>
      </c>
      <c r="AD447" s="249">
        <v>43993</v>
      </c>
      <c r="AE447" s="19">
        <v>43990</v>
      </c>
      <c r="AF447" s="19">
        <v>43990</v>
      </c>
      <c r="AG447" s="19" t="s">
        <v>176</v>
      </c>
      <c r="AH447" s="31">
        <v>1</v>
      </c>
      <c r="AI447" s="31">
        <v>1</v>
      </c>
      <c r="AJ447" s="31">
        <v>1</v>
      </c>
      <c r="AK447" s="19" t="s">
        <v>150</v>
      </c>
      <c r="AL447" s="15"/>
      <c r="AM447" s="15"/>
      <c r="AN447" s="84" t="s">
        <v>1395</v>
      </c>
    </row>
    <row r="448" spans="2:40" x14ac:dyDescent="0.25">
      <c r="B448" s="215">
        <f t="shared" si="85"/>
        <v>389</v>
      </c>
      <c r="C448" s="16">
        <v>20200605</v>
      </c>
      <c r="D448" s="15" t="s">
        <v>3</v>
      </c>
      <c r="E448" s="80" t="s">
        <v>1286</v>
      </c>
      <c r="F448" s="169" t="s">
        <v>1292</v>
      </c>
      <c r="G448" s="80">
        <v>1508787</v>
      </c>
      <c r="H448" s="52" t="s">
        <v>61</v>
      </c>
      <c r="I448" s="80" t="s">
        <v>336</v>
      </c>
      <c r="J448" s="52" t="s">
        <v>61</v>
      </c>
      <c r="K448" s="15" t="s">
        <v>184</v>
      </c>
      <c r="L448" s="15" t="s">
        <v>150</v>
      </c>
      <c r="M448" s="15" t="s">
        <v>353</v>
      </c>
      <c r="N448" s="80" t="s">
        <v>354</v>
      </c>
      <c r="O448" s="17" t="s">
        <v>61</v>
      </c>
      <c r="P448" s="77" t="s">
        <v>355</v>
      </c>
      <c r="Q448" s="18"/>
      <c r="R448" s="52" t="s">
        <v>61</v>
      </c>
      <c r="S448" s="15" t="s">
        <v>69</v>
      </c>
      <c r="T448" s="15"/>
      <c r="U448" s="15"/>
      <c r="V448" s="219">
        <v>30</v>
      </c>
      <c r="W448" s="84">
        <f t="shared" si="83"/>
        <v>60</v>
      </c>
      <c r="X448" s="15">
        <f t="shared" si="84"/>
        <v>60</v>
      </c>
      <c r="Y448" s="15">
        <f>ROUNDDOWN(W448/HLOOKUP(D448,Table!$C$3:$D$4,2,0)*8,2)</f>
        <v>1.06</v>
      </c>
      <c r="Z448" s="15">
        <v>1</v>
      </c>
      <c r="AA448" s="15" t="s">
        <v>74</v>
      </c>
      <c r="AB448" s="19">
        <v>43993</v>
      </c>
      <c r="AC448" s="19">
        <v>43987</v>
      </c>
      <c r="AD448" s="249">
        <v>43993</v>
      </c>
      <c r="AE448" s="19">
        <v>43991</v>
      </c>
      <c r="AF448" s="19">
        <v>43991</v>
      </c>
      <c r="AG448" s="19" t="s">
        <v>176</v>
      </c>
      <c r="AH448" s="31">
        <v>1</v>
      </c>
      <c r="AI448" s="31">
        <v>1</v>
      </c>
      <c r="AJ448" s="31">
        <v>1</v>
      </c>
      <c r="AK448" s="19" t="s">
        <v>150</v>
      </c>
      <c r="AL448" s="15"/>
      <c r="AM448" s="15"/>
      <c r="AN448" s="84" t="s">
        <v>1395</v>
      </c>
    </row>
    <row r="449" spans="2:40" x14ac:dyDescent="0.25">
      <c r="B449" s="215">
        <f t="shared" si="85"/>
        <v>390</v>
      </c>
      <c r="C449" s="16">
        <v>20200605</v>
      </c>
      <c r="D449" s="15" t="s">
        <v>3</v>
      </c>
      <c r="E449" s="80" t="s">
        <v>1286</v>
      </c>
      <c r="F449" s="169" t="s">
        <v>1293</v>
      </c>
      <c r="G449" s="80">
        <v>1508787</v>
      </c>
      <c r="H449" s="52" t="s">
        <v>61</v>
      </c>
      <c r="I449" s="80" t="s">
        <v>622</v>
      </c>
      <c r="J449" s="52" t="s">
        <v>61</v>
      </c>
      <c r="K449" s="15" t="s">
        <v>184</v>
      </c>
      <c r="L449" s="15" t="s">
        <v>150</v>
      </c>
      <c r="M449" s="15" t="s">
        <v>353</v>
      </c>
      <c r="N449" s="80" t="s">
        <v>354</v>
      </c>
      <c r="O449" s="17" t="s">
        <v>61</v>
      </c>
      <c r="P449" s="77" t="s">
        <v>355</v>
      </c>
      <c r="Q449" s="18"/>
      <c r="R449" s="52" t="s">
        <v>61</v>
      </c>
      <c r="S449" s="15" t="s">
        <v>69</v>
      </c>
      <c r="T449" s="15"/>
      <c r="U449" s="15"/>
      <c r="V449" s="219">
        <v>51</v>
      </c>
      <c r="W449" s="84">
        <f t="shared" si="83"/>
        <v>102</v>
      </c>
      <c r="X449" s="15">
        <f t="shared" si="84"/>
        <v>102</v>
      </c>
      <c r="Y449" s="15">
        <f>ROUNDDOWN(W449/HLOOKUP(D449,Table!$C$3:$D$4,2,0)*8,2)</f>
        <v>1.81</v>
      </c>
      <c r="Z449" s="15">
        <v>1</v>
      </c>
      <c r="AA449" s="15" t="s">
        <v>74</v>
      </c>
      <c r="AB449" s="19">
        <v>43993</v>
      </c>
      <c r="AC449" s="19">
        <v>43987</v>
      </c>
      <c r="AD449" s="249">
        <v>43993</v>
      </c>
      <c r="AE449" s="19">
        <v>43991</v>
      </c>
      <c r="AF449" s="19">
        <v>43991</v>
      </c>
      <c r="AG449" s="19" t="s">
        <v>176</v>
      </c>
      <c r="AH449" s="31">
        <v>1</v>
      </c>
      <c r="AI449" s="31">
        <v>1</v>
      </c>
      <c r="AJ449" s="31">
        <v>1</v>
      </c>
      <c r="AK449" s="19" t="s">
        <v>150</v>
      </c>
      <c r="AL449" s="15"/>
      <c r="AM449" s="15"/>
      <c r="AN449" s="84" t="s">
        <v>1395</v>
      </c>
    </row>
    <row r="450" spans="2:40" x14ac:dyDescent="0.25">
      <c r="B450" s="215">
        <f t="shared" si="85"/>
        <v>391</v>
      </c>
      <c r="C450" s="16">
        <v>20200605</v>
      </c>
      <c r="D450" s="15" t="s">
        <v>3</v>
      </c>
      <c r="E450" s="80" t="s">
        <v>1286</v>
      </c>
      <c r="F450" s="169" t="s">
        <v>1294</v>
      </c>
      <c r="G450" s="80">
        <v>1508787</v>
      </c>
      <c r="H450" s="52" t="s">
        <v>61</v>
      </c>
      <c r="I450" s="80" t="s">
        <v>226</v>
      </c>
      <c r="J450" s="52" t="s">
        <v>61</v>
      </c>
      <c r="K450" s="15" t="s">
        <v>184</v>
      </c>
      <c r="L450" s="15" t="s">
        <v>150</v>
      </c>
      <c r="M450" s="15" t="s">
        <v>353</v>
      </c>
      <c r="N450" s="80" t="s">
        <v>354</v>
      </c>
      <c r="O450" s="17" t="s">
        <v>61</v>
      </c>
      <c r="P450" s="77" t="s">
        <v>355</v>
      </c>
      <c r="Q450" s="18"/>
      <c r="R450" s="52" t="s">
        <v>61</v>
      </c>
      <c r="S450" s="15" t="s">
        <v>142</v>
      </c>
      <c r="T450" s="15"/>
      <c r="U450" s="15"/>
      <c r="V450" s="219">
        <v>109</v>
      </c>
      <c r="W450" s="84">
        <f t="shared" si="83"/>
        <v>218</v>
      </c>
      <c r="X450" s="15">
        <f t="shared" si="84"/>
        <v>218</v>
      </c>
      <c r="Y450" s="15">
        <f>ROUNDDOWN(W450/HLOOKUP(D450,Table!$C$3:$D$4,2,0)*8,2)</f>
        <v>3.87</v>
      </c>
      <c r="Z450" s="15">
        <v>0.5</v>
      </c>
      <c r="AA450" s="15" t="s">
        <v>74</v>
      </c>
      <c r="AB450" s="19">
        <v>43993</v>
      </c>
      <c r="AC450" s="19">
        <v>43987</v>
      </c>
      <c r="AD450" s="249">
        <v>43993</v>
      </c>
      <c r="AE450" s="19">
        <v>43987</v>
      </c>
      <c r="AF450" s="19">
        <v>43990</v>
      </c>
      <c r="AG450" s="19" t="s">
        <v>176</v>
      </c>
      <c r="AH450" s="31">
        <v>1</v>
      </c>
      <c r="AI450" s="31">
        <v>1</v>
      </c>
      <c r="AJ450" s="31">
        <v>1</v>
      </c>
      <c r="AK450" s="19" t="s">
        <v>150</v>
      </c>
      <c r="AL450" s="17" t="s">
        <v>61</v>
      </c>
      <c r="AM450" s="17" t="s">
        <v>61</v>
      </c>
      <c r="AN450" s="84" t="s">
        <v>1395</v>
      </c>
    </row>
    <row r="451" spans="2:40" x14ac:dyDescent="0.25">
      <c r="B451" s="215">
        <f t="shared" si="85"/>
        <v>392</v>
      </c>
      <c r="C451" s="16">
        <v>20200605</v>
      </c>
      <c r="D451" s="15" t="s">
        <v>3</v>
      </c>
      <c r="E451" s="80" t="s">
        <v>1286</v>
      </c>
      <c r="F451" s="169" t="s">
        <v>1295</v>
      </c>
      <c r="G451" s="80">
        <v>1508787</v>
      </c>
      <c r="H451" s="52" t="s">
        <v>61</v>
      </c>
      <c r="I451" s="80" t="s">
        <v>630</v>
      </c>
      <c r="J451" s="52" t="s">
        <v>61</v>
      </c>
      <c r="K451" s="15" t="s">
        <v>184</v>
      </c>
      <c r="L451" s="15" t="s">
        <v>150</v>
      </c>
      <c r="M451" s="15" t="s">
        <v>353</v>
      </c>
      <c r="N451" s="80" t="s">
        <v>354</v>
      </c>
      <c r="O451" s="17" t="s">
        <v>61</v>
      </c>
      <c r="P451" s="77" t="s">
        <v>355</v>
      </c>
      <c r="Q451" s="18"/>
      <c r="R451" s="52" t="s">
        <v>61</v>
      </c>
      <c r="S451" s="15" t="s">
        <v>142</v>
      </c>
      <c r="T451" s="15"/>
      <c r="U451" s="15"/>
      <c r="V451" s="219">
        <v>6</v>
      </c>
      <c r="W451" s="84">
        <f t="shared" si="83"/>
        <v>12</v>
      </c>
      <c r="X451" s="15">
        <f t="shared" si="84"/>
        <v>12</v>
      </c>
      <c r="Y451" s="15">
        <f>ROUNDDOWN(W451/HLOOKUP(D451,Table!$C$3:$D$4,2,0)*8,2)</f>
        <v>0.21</v>
      </c>
      <c r="Z451" s="15">
        <v>0.1</v>
      </c>
      <c r="AA451" s="15" t="s">
        <v>74</v>
      </c>
      <c r="AB451" s="19">
        <v>43993</v>
      </c>
      <c r="AC451" s="19">
        <v>43987</v>
      </c>
      <c r="AD451" s="249">
        <v>43993</v>
      </c>
      <c r="AE451" s="19">
        <v>43987</v>
      </c>
      <c r="AF451" s="19">
        <v>43990</v>
      </c>
      <c r="AG451" s="19" t="s">
        <v>176</v>
      </c>
      <c r="AH451" s="79" t="s">
        <v>61</v>
      </c>
      <c r="AI451" s="79" t="s">
        <v>61</v>
      </c>
      <c r="AJ451" s="79" t="s">
        <v>61</v>
      </c>
      <c r="AK451" s="19" t="s">
        <v>150</v>
      </c>
      <c r="AL451" s="17" t="s">
        <v>61</v>
      </c>
      <c r="AM451" s="17" t="s">
        <v>61</v>
      </c>
      <c r="AN451" s="84" t="s">
        <v>1395</v>
      </c>
    </row>
    <row r="452" spans="2:40" x14ac:dyDescent="0.25">
      <c r="B452" s="215">
        <f t="shared" si="85"/>
        <v>393</v>
      </c>
      <c r="C452" s="16">
        <v>20200605</v>
      </c>
      <c r="D452" s="15" t="s">
        <v>3</v>
      </c>
      <c r="E452" s="80" t="s">
        <v>1286</v>
      </c>
      <c r="F452" s="169" t="s">
        <v>1296</v>
      </c>
      <c r="G452" s="80">
        <v>1508787</v>
      </c>
      <c r="H452" s="52" t="s">
        <v>61</v>
      </c>
      <c r="I452" s="80" t="s">
        <v>207</v>
      </c>
      <c r="J452" s="52" t="s">
        <v>61</v>
      </c>
      <c r="K452" s="15" t="s">
        <v>184</v>
      </c>
      <c r="L452" s="15" t="s">
        <v>150</v>
      </c>
      <c r="M452" s="15" t="s">
        <v>353</v>
      </c>
      <c r="N452" s="80" t="s">
        <v>354</v>
      </c>
      <c r="O452" s="17" t="s">
        <v>61</v>
      </c>
      <c r="P452" s="77" t="s">
        <v>355</v>
      </c>
      <c r="Q452" s="18"/>
      <c r="R452" s="52" t="s">
        <v>61</v>
      </c>
      <c r="S452" s="15" t="s">
        <v>142</v>
      </c>
      <c r="T452" s="15"/>
      <c r="U452" s="15"/>
      <c r="V452" s="219">
        <v>177</v>
      </c>
      <c r="W452" s="84">
        <f t="shared" si="83"/>
        <v>354</v>
      </c>
      <c r="X452" s="15">
        <f t="shared" si="84"/>
        <v>354</v>
      </c>
      <c r="Y452" s="15">
        <f>ROUNDDOWN(W452/HLOOKUP(D452,Table!$C$3:$D$4,2,0)*8,2)</f>
        <v>6.29</v>
      </c>
      <c r="Z452" s="15">
        <v>2</v>
      </c>
      <c r="AA452" s="15" t="s">
        <v>74</v>
      </c>
      <c r="AB452" s="19">
        <v>43993</v>
      </c>
      <c r="AC452" s="19">
        <v>43987</v>
      </c>
      <c r="AD452" s="249">
        <v>43993</v>
      </c>
      <c r="AE452" s="19">
        <v>43987</v>
      </c>
      <c r="AF452" s="19">
        <v>43990</v>
      </c>
      <c r="AG452" s="19" t="s">
        <v>176</v>
      </c>
      <c r="AH452" s="31">
        <v>1</v>
      </c>
      <c r="AI452" s="31">
        <v>1</v>
      </c>
      <c r="AJ452" s="31">
        <v>1</v>
      </c>
      <c r="AK452" s="19" t="s">
        <v>150</v>
      </c>
      <c r="AL452" s="17" t="s">
        <v>61</v>
      </c>
      <c r="AM452" s="17" t="s">
        <v>61</v>
      </c>
      <c r="AN452" s="84" t="s">
        <v>1395</v>
      </c>
    </row>
    <row r="453" spans="2:40" x14ac:dyDescent="0.25">
      <c r="B453" s="215">
        <f t="shared" si="85"/>
        <v>394</v>
      </c>
      <c r="C453" s="16">
        <v>20200605</v>
      </c>
      <c r="D453" s="15" t="s">
        <v>3</v>
      </c>
      <c r="E453" s="80" t="s">
        <v>1286</v>
      </c>
      <c r="F453" s="169" t="s">
        <v>1297</v>
      </c>
      <c r="G453" s="80">
        <v>1508787</v>
      </c>
      <c r="H453" s="52" t="s">
        <v>61</v>
      </c>
      <c r="I453" s="80" t="s">
        <v>206</v>
      </c>
      <c r="J453" s="52" t="s">
        <v>61</v>
      </c>
      <c r="K453" s="15" t="s">
        <v>184</v>
      </c>
      <c r="L453" s="15" t="s">
        <v>150</v>
      </c>
      <c r="M453" s="15" t="s">
        <v>353</v>
      </c>
      <c r="N453" s="80" t="s">
        <v>354</v>
      </c>
      <c r="O453" s="17" t="s">
        <v>61</v>
      </c>
      <c r="P453" s="77" t="s">
        <v>355</v>
      </c>
      <c r="Q453" s="18"/>
      <c r="R453" s="52" t="s">
        <v>61</v>
      </c>
      <c r="S453" s="15" t="s">
        <v>142</v>
      </c>
      <c r="T453" s="15"/>
      <c r="U453" s="15"/>
      <c r="V453" s="219">
        <v>199</v>
      </c>
      <c r="W453" s="84">
        <f t="shared" si="83"/>
        <v>398</v>
      </c>
      <c r="X453" s="15">
        <f t="shared" si="84"/>
        <v>398</v>
      </c>
      <c r="Y453" s="15">
        <f>ROUNDDOWN(W453/HLOOKUP(D453,Table!$C$3:$D$4,2,0)*8,2)</f>
        <v>7.07</v>
      </c>
      <c r="Z453" s="15">
        <v>2.5</v>
      </c>
      <c r="AA453" s="15" t="s">
        <v>74</v>
      </c>
      <c r="AB453" s="19">
        <v>43993</v>
      </c>
      <c r="AC453" s="19">
        <v>43987</v>
      </c>
      <c r="AD453" s="249">
        <v>43993</v>
      </c>
      <c r="AE453" s="19">
        <v>43987</v>
      </c>
      <c r="AF453" s="19">
        <v>43990</v>
      </c>
      <c r="AG453" s="19" t="s">
        <v>176</v>
      </c>
      <c r="AH453" s="31">
        <v>1</v>
      </c>
      <c r="AI453" s="31">
        <v>1</v>
      </c>
      <c r="AJ453" s="31">
        <v>1</v>
      </c>
      <c r="AK453" s="19" t="s">
        <v>150</v>
      </c>
      <c r="AL453" s="17" t="s">
        <v>61</v>
      </c>
      <c r="AM453" s="17" t="s">
        <v>61</v>
      </c>
      <c r="AN453" s="84" t="s">
        <v>1395</v>
      </c>
    </row>
    <row r="454" spans="2:40" x14ac:dyDescent="0.25">
      <c r="B454" s="215">
        <f t="shared" si="85"/>
        <v>395</v>
      </c>
      <c r="C454" s="16">
        <v>20200605</v>
      </c>
      <c r="D454" s="15" t="s">
        <v>3</v>
      </c>
      <c r="E454" s="80" t="s">
        <v>600</v>
      </c>
      <c r="F454" s="169" t="s">
        <v>1549</v>
      </c>
      <c r="G454" s="80">
        <v>1507572</v>
      </c>
      <c r="H454" s="52" t="s">
        <v>61</v>
      </c>
      <c r="I454" s="80" t="s">
        <v>602</v>
      </c>
      <c r="J454" s="52" t="s">
        <v>61</v>
      </c>
      <c r="K454" s="15" t="s">
        <v>146</v>
      </c>
      <c r="L454" s="15" t="s">
        <v>150</v>
      </c>
      <c r="M454" s="242" t="s">
        <v>614</v>
      </c>
      <c r="N454" s="80" t="s">
        <v>609</v>
      </c>
      <c r="O454" s="17" t="s">
        <v>61</v>
      </c>
      <c r="P454" s="77" t="s">
        <v>1545</v>
      </c>
      <c r="Q454" s="18"/>
      <c r="R454" s="52" t="s">
        <v>61</v>
      </c>
      <c r="S454" s="15" t="s">
        <v>67</v>
      </c>
      <c r="T454" s="15"/>
      <c r="U454" s="15"/>
      <c r="V454" s="141">
        <v>68</v>
      </c>
      <c r="W454" s="80">
        <v>68</v>
      </c>
      <c r="X454" s="15">
        <f t="shared" ref="X454:X474" si="86">W454</f>
        <v>68</v>
      </c>
      <c r="Y454" s="15">
        <f>ROUNDDOWN(W454/HLOOKUP(D454,Table!$C$3:$D$4,2,0)*8,2)</f>
        <v>1.2</v>
      </c>
      <c r="Z454" s="15">
        <v>1</v>
      </c>
      <c r="AA454" s="15" t="s">
        <v>74</v>
      </c>
      <c r="AB454" s="19">
        <v>43994</v>
      </c>
      <c r="AC454" s="19">
        <v>43994</v>
      </c>
      <c r="AD454" s="99">
        <v>43994</v>
      </c>
      <c r="AE454" s="19">
        <v>43994</v>
      </c>
      <c r="AF454" s="19">
        <v>43994</v>
      </c>
      <c r="AG454" s="19" t="s">
        <v>176</v>
      </c>
      <c r="AH454" s="31">
        <v>1</v>
      </c>
      <c r="AI454" s="31">
        <v>1</v>
      </c>
      <c r="AJ454" s="31">
        <v>1</v>
      </c>
      <c r="AK454" s="19" t="s">
        <v>150</v>
      </c>
      <c r="AL454" s="17"/>
      <c r="AM454" s="17"/>
      <c r="AN454" s="248"/>
    </row>
    <row r="455" spans="2:40" x14ac:dyDescent="0.25">
      <c r="B455" s="215">
        <f t="shared" si="85"/>
        <v>396</v>
      </c>
      <c r="C455" s="16">
        <v>20200605</v>
      </c>
      <c r="D455" s="15" t="s">
        <v>3</v>
      </c>
      <c r="E455" s="80" t="s">
        <v>600</v>
      </c>
      <c r="F455" s="169" t="s">
        <v>1542</v>
      </c>
      <c r="G455" s="80">
        <v>1507572</v>
      </c>
      <c r="H455" s="52" t="s">
        <v>61</v>
      </c>
      <c r="I455" s="80" t="s">
        <v>154</v>
      </c>
      <c r="J455" s="52" t="s">
        <v>61</v>
      </c>
      <c r="K455" s="15" t="s">
        <v>146</v>
      </c>
      <c r="L455" s="15" t="s">
        <v>150</v>
      </c>
      <c r="M455" s="242" t="s">
        <v>614</v>
      </c>
      <c r="N455" s="80" t="s">
        <v>609</v>
      </c>
      <c r="O455" s="17" t="s">
        <v>61</v>
      </c>
      <c r="P455" s="77" t="s">
        <v>1545</v>
      </c>
      <c r="Q455" s="18"/>
      <c r="R455" s="52" t="s">
        <v>61</v>
      </c>
      <c r="S455" s="15" t="s">
        <v>67</v>
      </c>
      <c r="T455" s="15"/>
      <c r="U455" s="15"/>
      <c r="V455" s="141">
        <v>124</v>
      </c>
      <c r="W455" s="243">
        <v>237</v>
      </c>
      <c r="X455" s="15">
        <f t="shared" si="86"/>
        <v>237</v>
      </c>
      <c r="Y455" s="15">
        <f>ROUNDDOWN(W455/HLOOKUP(D455,Table!$C$3:$D$4,2,0)*8,2)</f>
        <v>4.21</v>
      </c>
      <c r="Z455" s="15">
        <v>2</v>
      </c>
      <c r="AA455" s="15" t="s">
        <v>74</v>
      </c>
      <c r="AB455" s="19">
        <v>43994</v>
      </c>
      <c r="AC455" s="19">
        <v>43994</v>
      </c>
      <c r="AD455" s="99">
        <v>43994</v>
      </c>
      <c r="AE455" s="19">
        <v>43994</v>
      </c>
      <c r="AF455" s="19">
        <v>43994</v>
      </c>
      <c r="AG455" s="19" t="s">
        <v>177</v>
      </c>
      <c r="AH455" s="31">
        <v>1</v>
      </c>
      <c r="AI455" s="31">
        <v>1</v>
      </c>
      <c r="AJ455" s="31">
        <v>0.5</v>
      </c>
      <c r="AK455" s="19" t="s">
        <v>139</v>
      </c>
      <c r="AL455" s="17" t="s">
        <v>1550</v>
      </c>
      <c r="AM455" s="17"/>
      <c r="AN455" s="84" t="s">
        <v>1548</v>
      </c>
    </row>
    <row r="456" spans="2:40" x14ac:dyDescent="0.25">
      <c r="B456" s="215">
        <f t="shared" si="85"/>
        <v>397</v>
      </c>
      <c r="C456" s="16">
        <v>20200605</v>
      </c>
      <c r="D456" s="15" t="s">
        <v>3</v>
      </c>
      <c r="E456" s="80" t="s">
        <v>600</v>
      </c>
      <c r="F456" s="169" t="s">
        <v>1542</v>
      </c>
      <c r="G456" s="80">
        <v>1507572</v>
      </c>
      <c r="H456" s="52" t="s">
        <v>61</v>
      </c>
      <c r="I456" s="80" t="s">
        <v>156</v>
      </c>
      <c r="J456" s="52" t="s">
        <v>61</v>
      </c>
      <c r="K456" s="15" t="s">
        <v>146</v>
      </c>
      <c r="L456" s="80" t="s">
        <v>150</v>
      </c>
      <c r="M456" s="242" t="s">
        <v>614</v>
      </c>
      <c r="N456" s="80" t="s">
        <v>609</v>
      </c>
      <c r="O456" s="17" t="s">
        <v>61</v>
      </c>
      <c r="P456" s="77" t="s">
        <v>1545</v>
      </c>
      <c r="Q456" s="18"/>
      <c r="R456" s="52" t="s">
        <v>61</v>
      </c>
      <c r="S456" s="15" t="s">
        <v>67</v>
      </c>
      <c r="T456" s="15"/>
      <c r="U456" s="15"/>
      <c r="V456" s="141">
        <v>145</v>
      </c>
      <c r="W456" s="80">
        <v>146</v>
      </c>
      <c r="X456" s="15">
        <f t="shared" si="86"/>
        <v>146</v>
      </c>
      <c r="Y456" s="15">
        <f>ROUNDDOWN(W456/HLOOKUP(D456,Table!$C$3:$D$4,2,0)*8,2)</f>
        <v>2.59</v>
      </c>
      <c r="Z456" s="15">
        <v>1</v>
      </c>
      <c r="AA456" s="15" t="s">
        <v>74</v>
      </c>
      <c r="AB456" s="19">
        <v>43994</v>
      </c>
      <c r="AC456" s="19">
        <v>43994</v>
      </c>
      <c r="AD456" s="99">
        <v>43994</v>
      </c>
      <c r="AE456" s="19">
        <v>43994</v>
      </c>
      <c r="AF456" s="19">
        <v>43994</v>
      </c>
      <c r="AG456" s="19" t="s">
        <v>176</v>
      </c>
      <c r="AH456" s="31">
        <v>1</v>
      </c>
      <c r="AI456" s="31">
        <v>1</v>
      </c>
      <c r="AJ456" s="31">
        <v>1</v>
      </c>
      <c r="AK456" s="19" t="s">
        <v>150</v>
      </c>
      <c r="AL456" s="17"/>
      <c r="AM456" s="17"/>
      <c r="AN456" s="248"/>
    </row>
    <row r="457" spans="2:40" x14ac:dyDescent="0.25">
      <c r="B457" s="215">
        <f t="shared" si="85"/>
        <v>398</v>
      </c>
      <c r="C457" s="16">
        <v>20200605</v>
      </c>
      <c r="D457" s="15" t="s">
        <v>3</v>
      </c>
      <c r="E457" s="80" t="s">
        <v>1536</v>
      </c>
      <c r="F457" s="169" t="s">
        <v>1537</v>
      </c>
      <c r="G457" s="80">
        <v>1508892</v>
      </c>
      <c r="H457" s="52" t="s">
        <v>61</v>
      </c>
      <c r="I457" s="80" t="s">
        <v>1543</v>
      </c>
      <c r="J457" s="52" t="s">
        <v>61</v>
      </c>
      <c r="K457" s="15" t="s">
        <v>146</v>
      </c>
      <c r="L457" s="80" t="s">
        <v>1547</v>
      </c>
      <c r="M457" s="242" t="s">
        <v>1003</v>
      </c>
      <c r="N457" s="80" t="s">
        <v>1546</v>
      </c>
      <c r="O457" s="17" t="s">
        <v>61</v>
      </c>
      <c r="P457" s="77" t="s">
        <v>1162</v>
      </c>
      <c r="Q457" s="18"/>
      <c r="R457" s="52" t="s">
        <v>61</v>
      </c>
      <c r="S457" s="15" t="s">
        <v>70</v>
      </c>
      <c r="T457" s="15"/>
      <c r="U457" s="15"/>
      <c r="V457" s="141">
        <v>21</v>
      </c>
      <c r="W457" s="16">
        <f t="shared" ref="W457:W472" si="87">V457</f>
        <v>21</v>
      </c>
      <c r="X457" s="15">
        <f t="shared" si="86"/>
        <v>21</v>
      </c>
      <c r="Y457" s="15">
        <f>ROUNDDOWN(W457/HLOOKUP(D457,Table!$C$3:$D$4,2,0)*8,2)</f>
        <v>0.37</v>
      </c>
      <c r="Z457" s="15">
        <v>0.5</v>
      </c>
      <c r="AA457" s="15" t="s">
        <v>74</v>
      </c>
      <c r="AB457" s="19">
        <v>44000</v>
      </c>
      <c r="AC457" s="19">
        <v>43994</v>
      </c>
      <c r="AD457" s="99">
        <v>44000</v>
      </c>
      <c r="AE457" s="19">
        <v>43997</v>
      </c>
      <c r="AF457" s="19">
        <v>43997</v>
      </c>
      <c r="AG457" s="19" t="s">
        <v>176</v>
      </c>
      <c r="AH457" s="31">
        <v>1</v>
      </c>
      <c r="AI457" s="31">
        <v>1</v>
      </c>
      <c r="AJ457" s="31">
        <v>1</v>
      </c>
      <c r="AK457" s="19" t="s">
        <v>150</v>
      </c>
      <c r="AL457" s="15" t="s">
        <v>61</v>
      </c>
      <c r="AM457" s="15" t="s">
        <v>61</v>
      </c>
      <c r="AN457" s="98" t="s">
        <v>61</v>
      </c>
    </row>
    <row r="458" spans="2:40" x14ac:dyDescent="0.25">
      <c r="B458" s="215">
        <f t="shared" si="85"/>
        <v>399</v>
      </c>
      <c r="C458" s="16">
        <v>20200605</v>
      </c>
      <c r="D458" s="15" t="s">
        <v>3</v>
      </c>
      <c r="E458" s="80" t="s">
        <v>1536</v>
      </c>
      <c r="F458" s="169" t="s">
        <v>1537</v>
      </c>
      <c r="G458" s="80">
        <v>1508892</v>
      </c>
      <c r="H458" s="52" t="s">
        <v>61</v>
      </c>
      <c r="I458" s="80" t="s">
        <v>1544</v>
      </c>
      <c r="J458" s="52" t="s">
        <v>61</v>
      </c>
      <c r="K458" s="15" t="s">
        <v>146</v>
      </c>
      <c r="L458" s="15" t="s">
        <v>1547</v>
      </c>
      <c r="M458" s="241" t="s">
        <v>1003</v>
      </c>
      <c r="N458" s="80" t="s">
        <v>1546</v>
      </c>
      <c r="O458" s="17" t="s">
        <v>61</v>
      </c>
      <c r="P458" s="77" t="s">
        <v>1162</v>
      </c>
      <c r="Q458" s="18"/>
      <c r="R458" s="52" t="s">
        <v>61</v>
      </c>
      <c r="S458" s="15" t="s">
        <v>70</v>
      </c>
      <c r="T458" s="15"/>
      <c r="U458" s="15"/>
      <c r="V458" s="141">
        <v>21</v>
      </c>
      <c r="W458" s="16">
        <f t="shared" si="87"/>
        <v>21</v>
      </c>
      <c r="X458" s="15">
        <f t="shared" si="86"/>
        <v>21</v>
      </c>
      <c r="Y458" s="15">
        <f>ROUNDDOWN(W458/HLOOKUP(D458,Table!$C$3:$D$4,2,0)*8,2)</f>
        <v>0.37</v>
      </c>
      <c r="Z458" s="15">
        <v>0.5</v>
      </c>
      <c r="AA458" s="15" t="s">
        <v>74</v>
      </c>
      <c r="AB458" s="19">
        <v>44000</v>
      </c>
      <c r="AC458" s="19">
        <v>43994</v>
      </c>
      <c r="AD458" s="99">
        <v>44000</v>
      </c>
      <c r="AE458" s="19">
        <v>43997</v>
      </c>
      <c r="AF458" s="19">
        <v>43997</v>
      </c>
      <c r="AG458" s="19" t="s">
        <v>176</v>
      </c>
      <c r="AH458" s="31">
        <v>1</v>
      </c>
      <c r="AI458" s="31">
        <v>1</v>
      </c>
      <c r="AJ458" s="31">
        <v>1</v>
      </c>
      <c r="AK458" s="19" t="s">
        <v>150</v>
      </c>
      <c r="AL458" s="15" t="s">
        <v>61</v>
      </c>
      <c r="AM458" s="15" t="s">
        <v>61</v>
      </c>
      <c r="AN458" s="98" t="s">
        <v>61</v>
      </c>
    </row>
    <row r="459" spans="2:40" x14ac:dyDescent="0.25">
      <c r="B459" s="215">
        <f t="shared" si="85"/>
        <v>400</v>
      </c>
      <c r="C459" s="16">
        <v>20200605</v>
      </c>
      <c r="D459" s="15" t="s">
        <v>3</v>
      </c>
      <c r="E459" s="80" t="s">
        <v>1536</v>
      </c>
      <c r="F459" s="169" t="s">
        <v>1537</v>
      </c>
      <c r="G459" s="80">
        <v>1508892</v>
      </c>
      <c r="H459" s="52" t="s">
        <v>61</v>
      </c>
      <c r="I459" s="80" t="s">
        <v>197</v>
      </c>
      <c r="J459" s="52" t="s">
        <v>61</v>
      </c>
      <c r="K459" s="15" t="s">
        <v>146</v>
      </c>
      <c r="L459" s="15" t="s">
        <v>1547</v>
      </c>
      <c r="M459" s="241" t="s">
        <v>1003</v>
      </c>
      <c r="N459" s="80" t="s">
        <v>1546</v>
      </c>
      <c r="O459" s="17" t="s">
        <v>61</v>
      </c>
      <c r="P459" s="77" t="s">
        <v>1162</v>
      </c>
      <c r="Q459" s="18"/>
      <c r="R459" s="52" t="s">
        <v>61</v>
      </c>
      <c r="S459" s="15" t="s">
        <v>70</v>
      </c>
      <c r="T459" s="15"/>
      <c r="U459" s="15"/>
      <c r="V459" s="141">
        <v>371</v>
      </c>
      <c r="W459" s="16">
        <f t="shared" si="87"/>
        <v>371</v>
      </c>
      <c r="X459" s="15">
        <f t="shared" si="86"/>
        <v>371</v>
      </c>
      <c r="Y459" s="15">
        <f>ROUNDDOWN(W459/HLOOKUP(D459,Table!$C$3:$D$4,2,0)*8,2)</f>
        <v>6.59</v>
      </c>
      <c r="Z459" s="15">
        <v>0.5</v>
      </c>
      <c r="AA459" s="15" t="s">
        <v>74</v>
      </c>
      <c r="AB459" s="19">
        <v>44000</v>
      </c>
      <c r="AC459" s="19">
        <v>43994</v>
      </c>
      <c r="AD459" s="99">
        <v>44000</v>
      </c>
      <c r="AE459" s="19">
        <v>43994</v>
      </c>
      <c r="AF459" s="19">
        <v>43994</v>
      </c>
      <c r="AG459" s="19" t="s">
        <v>176</v>
      </c>
      <c r="AH459" s="31">
        <v>1</v>
      </c>
      <c r="AI459" s="31">
        <v>1</v>
      </c>
      <c r="AJ459" s="31">
        <v>1</v>
      </c>
      <c r="AK459" s="19" t="s">
        <v>150</v>
      </c>
      <c r="AL459" s="15" t="s">
        <v>61</v>
      </c>
      <c r="AM459" s="15" t="s">
        <v>61</v>
      </c>
      <c r="AN459" s="98" t="s">
        <v>61</v>
      </c>
    </row>
    <row r="460" spans="2:40" x14ac:dyDescent="0.25">
      <c r="B460" s="215">
        <f t="shared" si="85"/>
        <v>401</v>
      </c>
      <c r="C460" s="16">
        <v>20200605</v>
      </c>
      <c r="D460" s="15" t="s">
        <v>3</v>
      </c>
      <c r="E460" s="80" t="s">
        <v>1536</v>
      </c>
      <c r="F460" s="169" t="s">
        <v>1537</v>
      </c>
      <c r="G460" s="80">
        <v>1508892</v>
      </c>
      <c r="H460" s="52" t="s">
        <v>61</v>
      </c>
      <c r="I460" s="16" t="s">
        <v>1517</v>
      </c>
      <c r="J460" s="52" t="s">
        <v>61</v>
      </c>
      <c r="K460" s="15" t="s">
        <v>146</v>
      </c>
      <c r="L460" s="15" t="s">
        <v>1547</v>
      </c>
      <c r="M460" s="241" t="s">
        <v>1003</v>
      </c>
      <c r="N460" s="141" t="s">
        <v>1546</v>
      </c>
      <c r="O460" s="17" t="s">
        <v>61</v>
      </c>
      <c r="P460" s="77" t="s">
        <v>1162</v>
      </c>
      <c r="Q460" s="18"/>
      <c r="R460" s="52" t="s">
        <v>61</v>
      </c>
      <c r="S460" s="15" t="s">
        <v>68</v>
      </c>
      <c r="T460" s="15"/>
      <c r="U460" s="15"/>
      <c r="V460" s="141">
        <v>32</v>
      </c>
      <c r="W460" s="16">
        <f t="shared" si="87"/>
        <v>32</v>
      </c>
      <c r="X460" s="15">
        <f t="shared" si="86"/>
        <v>32</v>
      </c>
      <c r="Y460" s="15">
        <f>ROUNDDOWN(W460/HLOOKUP(D460,Table!$C$3:$D$4,2,0)*8,2)</f>
        <v>0.56000000000000005</v>
      </c>
      <c r="Z460" s="15">
        <f>Y460</f>
        <v>0.56000000000000005</v>
      </c>
      <c r="AA460" s="15" t="s">
        <v>74</v>
      </c>
      <c r="AB460" s="19">
        <v>44000</v>
      </c>
      <c r="AC460" s="19">
        <v>43994</v>
      </c>
      <c r="AD460" s="99">
        <v>44000</v>
      </c>
      <c r="AE460" s="19">
        <v>43997</v>
      </c>
      <c r="AF460" s="19">
        <v>43997</v>
      </c>
      <c r="AG460" s="19" t="s">
        <v>176</v>
      </c>
      <c r="AH460" s="31">
        <v>1</v>
      </c>
      <c r="AI460" s="31">
        <v>1</v>
      </c>
      <c r="AJ460" s="31">
        <v>1</v>
      </c>
      <c r="AK460" s="19" t="s">
        <v>150</v>
      </c>
      <c r="AL460" s="15" t="s">
        <v>61</v>
      </c>
      <c r="AM460" s="15" t="s">
        <v>61</v>
      </c>
      <c r="AN460" s="98" t="s">
        <v>61</v>
      </c>
    </row>
    <row r="461" spans="2:40" x14ac:dyDescent="0.25">
      <c r="B461" s="215">
        <f t="shared" si="85"/>
        <v>402</v>
      </c>
      <c r="C461" s="16">
        <v>20200605</v>
      </c>
      <c r="D461" s="15" t="s">
        <v>3</v>
      </c>
      <c r="E461" s="80" t="s">
        <v>1536</v>
      </c>
      <c r="F461" s="169" t="s">
        <v>1537</v>
      </c>
      <c r="G461" s="80">
        <v>1508892</v>
      </c>
      <c r="H461" s="52" t="s">
        <v>61</v>
      </c>
      <c r="I461" s="16" t="s">
        <v>604</v>
      </c>
      <c r="J461" s="52" t="s">
        <v>61</v>
      </c>
      <c r="K461" s="15" t="s">
        <v>146</v>
      </c>
      <c r="L461" s="15" t="s">
        <v>1547</v>
      </c>
      <c r="M461" s="241" t="s">
        <v>1003</v>
      </c>
      <c r="N461" s="80" t="s">
        <v>1546</v>
      </c>
      <c r="O461" s="17" t="s">
        <v>61</v>
      </c>
      <c r="P461" s="77" t="s">
        <v>1162</v>
      </c>
      <c r="Q461" s="18"/>
      <c r="R461" s="52" t="s">
        <v>61</v>
      </c>
      <c r="S461" s="15" t="s">
        <v>68</v>
      </c>
      <c r="T461" s="15"/>
      <c r="U461" s="15"/>
      <c r="V461" s="141">
        <v>300</v>
      </c>
      <c r="W461" s="16">
        <f t="shared" si="87"/>
        <v>300</v>
      </c>
      <c r="X461" s="15">
        <f t="shared" si="86"/>
        <v>300</v>
      </c>
      <c r="Y461" s="15">
        <f>ROUNDDOWN(W461/HLOOKUP(D461,Table!$C$3:$D$4,2,0)*8,2)</f>
        <v>5.33</v>
      </c>
      <c r="Z461" s="15">
        <v>5</v>
      </c>
      <c r="AA461" s="15" t="s">
        <v>74</v>
      </c>
      <c r="AB461" s="19">
        <v>44000</v>
      </c>
      <c r="AC461" s="19">
        <v>43994</v>
      </c>
      <c r="AD461" s="99">
        <v>44000</v>
      </c>
      <c r="AE461" s="19">
        <v>43997</v>
      </c>
      <c r="AF461" s="19">
        <v>43997</v>
      </c>
      <c r="AG461" s="19" t="s">
        <v>177</v>
      </c>
      <c r="AH461" s="31">
        <v>0.99</v>
      </c>
      <c r="AI461" s="31">
        <v>0.97</v>
      </c>
      <c r="AJ461" s="31">
        <v>1</v>
      </c>
      <c r="AK461" s="19" t="s">
        <v>150</v>
      </c>
      <c r="AL461" s="17" t="s">
        <v>1729</v>
      </c>
      <c r="AM461" s="15" t="s">
        <v>61</v>
      </c>
      <c r="AN461" s="98" t="s">
        <v>61</v>
      </c>
    </row>
    <row r="462" spans="2:40" x14ac:dyDescent="0.25">
      <c r="B462" s="215">
        <f t="shared" si="85"/>
        <v>403</v>
      </c>
      <c r="C462" s="16">
        <v>20200605</v>
      </c>
      <c r="D462" s="15" t="s">
        <v>3</v>
      </c>
      <c r="E462" s="80" t="s">
        <v>1536</v>
      </c>
      <c r="F462" s="169" t="s">
        <v>1537</v>
      </c>
      <c r="G462" s="80">
        <v>1508892</v>
      </c>
      <c r="H462" s="52" t="s">
        <v>61</v>
      </c>
      <c r="I462" s="16" t="s">
        <v>198</v>
      </c>
      <c r="J462" s="52" t="s">
        <v>61</v>
      </c>
      <c r="K462" s="15" t="s">
        <v>146</v>
      </c>
      <c r="L462" s="15" t="s">
        <v>1547</v>
      </c>
      <c r="M462" s="241" t="s">
        <v>1003</v>
      </c>
      <c r="N462" s="80" t="s">
        <v>1546</v>
      </c>
      <c r="O462" s="17" t="s">
        <v>61</v>
      </c>
      <c r="P462" s="77" t="s">
        <v>1162</v>
      </c>
      <c r="Q462" s="18"/>
      <c r="R462" s="52" t="s">
        <v>61</v>
      </c>
      <c r="S462" s="15" t="s">
        <v>68</v>
      </c>
      <c r="T462" s="15"/>
      <c r="U462" s="15"/>
      <c r="V462" s="141">
        <v>115</v>
      </c>
      <c r="W462" s="16">
        <f t="shared" si="87"/>
        <v>115</v>
      </c>
      <c r="X462" s="15">
        <f t="shared" si="86"/>
        <v>115</v>
      </c>
      <c r="Y462" s="15">
        <f>ROUNDDOWN(W462/HLOOKUP(D462,Table!$C$3:$D$4,2,0)*8,2)</f>
        <v>2.04</v>
      </c>
      <c r="Z462" s="15">
        <f>Y462</f>
        <v>2.04</v>
      </c>
      <c r="AA462" s="15" t="s">
        <v>74</v>
      </c>
      <c r="AB462" s="19">
        <v>44000</v>
      </c>
      <c r="AC462" s="19">
        <v>43994</v>
      </c>
      <c r="AD462" s="99">
        <v>44000</v>
      </c>
      <c r="AE462" s="19">
        <v>43997</v>
      </c>
      <c r="AF462" s="19">
        <v>43997</v>
      </c>
      <c r="AG462" s="19" t="s">
        <v>176</v>
      </c>
      <c r="AH462" s="31">
        <v>1</v>
      </c>
      <c r="AI462" s="31">
        <v>1</v>
      </c>
      <c r="AJ462" s="31">
        <v>1</v>
      </c>
      <c r="AK462" s="19" t="s">
        <v>150</v>
      </c>
      <c r="AL462" s="15" t="s">
        <v>61</v>
      </c>
      <c r="AM462" s="15" t="s">
        <v>61</v>
      </c>
      <c r="AN462" s="98" t="s">
        <v>61</v>
      </c>
    </row>
    <row r="463" spans="2:40" x14ac:dyDescent="0.25">
      <c r="B463" s="215">
        <f t="shared" si="85"/>
        <v>404</v>
      </c>
      <c r="C463" s="16">
        <v>20200605</v>
      </c>
      <c r="D463" s="15" t="s">
        <v>3</v>
      </c>
      <c r="E463" s="80" t="s">
        <v>1536</v>
      </c>
      <c r="F463" s="169" t="s">
        <v>1538</v>
      </c>
      <c r="G463" s="80">
        <v>1508892</v>
      </c>
      <c r="H463" s="52" t="s">
        <v>61</v>
      </c>
      <c r="I463" s="16" t="s">
        <v>252</v>
      </c>
      <c r="J463" s="52" t="s">
        <v>61</v>
      </c>
      <c r="K463" s="15" t="s">
        <v>146</v>
      </c>
      <c r="L463" s="15" t="s">
        <v>1547</v>
      </c>
      <c r="M463" s="241" t="s">
        <v>1003</v>
      </c>
      <c r="N463" s="80" t="s">
        <v>1546</v>
      </c>
      <c r="O463" s="17" t="s">
        <v>61</v>
      </c>
      <c r="P463" s="77" t="s">
        <v>1162</v>
      </c>
      <c r="Q463" s="18"/>
      <c r="R463" s="52" t="s">
        <v>61</v>
      </c>
      <c r="S463" s="15" t="s">
        <v>68</v>
      </c>
      <c r="T463" s="15"/>
      <c r="U463" s="15"/>
      <c r="V463" s="141">
        <v>16</v>
      </c>
      <c r="W463" s="15">
        <v>0</v>
      </c>
      <c r="X463" s="15">
        <f t="shared" si="86"/>
        <v>0</v>
      </c>
      <c r="Y463" s="15">
        <f>ROUNDDOWN(W463/HLOOKUP(D463,Table!$C$3:$D$4,2,0)*8,2)</f>
        <v>0</v>
      </c>
      <c r="Z463" s="15">
        <f>Y463</f>
        <v>0</v>
      </c>
      <c r="AA463" s="15" t="s">
        <v>74</v>
      </c>
      <c r="AB463" s="19">
        <v>44000</v>
      </c>
      <c r="AC463" s="19">
        <v>43994</v>
      </c>
      <c r="AD463" s="99">
        <v>44000</v>
      </c>
      <c r="AE463" s="19">
        <v>43997</v>
      </c>
      <c r="AF463" s="19">
        <v>43997</v>
      </c>
      <c r="AG463" s="19" t="s">
        <v>176</v>
      </c>
      <c r="AH463" s="17" t="s">
        <v>61</v>
      </c>
      <c r="AI463" s="17" t="s">
        <v>61</v>
      </c>
      <c r="AJ463" s="17" t="s">
        <v>61</v>
      </c>
      <c r="AK463" s="19" t="s">
        <v>150</v>
      </c>
      <c r="AL463" s="15" t="s">
        <v>61</v>
      </c>
      <c r="AM463" s="15" t="s">
        <v>61</v>
      </c>
      <c r="AN463" s="259" t="s">
        <v>1730</v>
      </c>
    </row>
    <row r="464" spans="2:40" x14ac:dyDescent="0.25">
      <c r="B464" s="215">
        <f t="shared" si="85"/>
        <v>405</v>
      </c>
      <c r="C464" s="16">
        <v>20200605</v>
      </c>
      <c r="D464" s="15" t="s">
        <v>3</v>
      </c>
      <c r="E464" s="80" t="s">
        <v>1536</v>
      </c>
      <c r="F464" s="169" t="s">
        <v>1539</v>
      </c>
      <c r="G464" s="80">
        <v>1508892</v>
      </c>
      <c r="H464" s="52" t="s">
        <v>61</v>
      </c>
      <c r="I464" s="16" t="s">
        <v>252</v>
      </c>
      <c r="J464" s="52" t="s">
        <v>61</v>
      </c>
      <c r="K464" s="15" t="s">
        <v>146</v>
      </c>
      <c r="L464" s="15" t="s">
        <v>1547</v>
      </c>
      <c r="M464" s="241" t="s">
        <v>1003</v>
      </c>
      <c r="N464" s="80" t="s">
        <v>1546</v>
      </c>
      <c r="O464" s="17" t="s">
        <v>61</v>
      </c>
      <c r="P464" s="77" t="s">
        <v>1162</v>
      </c>
      <c r="Q464" s="18"/>
      <c r="R464" s="52" t="s">
        <v>61</v>
      </c>
      <c r="S464" s="80" t="s">
        <v>68</v>
      </c>
      <c r="T464" s="15"/>
      <c r="U464" s="15"/>
      <c r="V464" s="141">
        <v>16</v>
      </c>
      <c r="W464" s="15">
        <v>0</v>
      </c>
      <c r="X464" s="15">
        <f t="shared" si="86"/>
        <v>0</v>
      </c>
      <c r="Y464" s="15">
        <f>ROUNDDOWN(W464/HLOOKUP(D464,Table!$C$3:$D$4,2,0)*8,2)</f>
        <v>0</v>
      </c>
      <c r="Z464" s="15">
        <v>0.2</v>
      </c>
      <c r="AA464" s="15" t="s">
        <v>74</v>
      </c>
      <c r="AB464" s="19">
        <v>44000</v>
      </c>
      <c r="AC464" s="19">
        <v>43994</v>
      </c>
      <c r="AD464" s="99">
        <v>44000</v>
      </c>
      <c r="AE464" s="19">
        <v>43997</v>
      </c>
      <c r="AF464" s="19">
        <v>43997</v>
      </c>
      <c r="AG464" s="19" t="s">
        <v>176</v>
      </c>
      <c r="AH464" s="17" t="s">
        <v>61</v>
      </c>
      <c r="AI464" s="17" t="s">
        <v>61</v>
      </c>
      <c r="AJ464" s="17" t="s">
        <v>61</v>
      </c>
      <c r="AK464" s="19" t="s">
        <v>150</v>
      </c>
      <c r="AL464" s="15" t="s">
        <v>61</v>
      </c>
      <c r="AM464" s="15" t="s">
        <v>61</v>
      </c>
      <c r="AN464" s="259" t="s">
        <v>1730</v>
      </c>
    </row>
    <row r="465" spans="2:40" x14ac:dyDescent="0.25">
      <c r="B465" s="215">
        <f t="shared" si="85"/>
        <v>406</v>
      </c>
      <c r="C465" s="16">
        <v>20200605</v>
      </c>
      <c r="D465" s="15" t="s">
        <v>3</v>
      </c>
      <c r="E465" s="80" t="s">
        <v>1536</v>
      </c>
      <c r="F465" s="169" t="s">
        <v>1540</v>
      </c>
      <c r="G465" s="80">
        <v>1508892</v>
      </c>
      <c r="H465" s="52" t="s">
        <v>61</v>
      </c>
      <c r="I465" s="80" t="s">
        <v>200</v>
      </c>
      <c r="J465" s="52" t="s">
        <v>61</v>
      </c>
      <c r="K465" s="15" t="s">
        <v>146</v>
      </c>
      <c r="L465" s="15" t="s">
        <v>1547</v>
      </c>
      <c r="M465" s="241" t="s">
        <v>1003</v>
      </c>
      <c r="N465" s="80" t="s">
        <v>1546</v>
      </c>
      <c r="O465" s="17" t="s">
        <v>61</v>
      </c>
      <c r="P465" s="77" t="s">
        <v>1162</v>
      </c>
      <c r="Q465" s="18"/>
      <c r="R465" s="52" t="s">
        <v>61</v>
      </c>
      <c r="S465" s="15" t="s">
        <v>69</v>
      </c>
      <c r="T465" s="15"/>
      <c r="U465" s="15"/>
      <c r="V465" s="141">
        <v>69</v>
      </c>
      <c r="W465" s="84">
        <f>V465+129-69</f>
        <v>129</v>
      </c>
      <c r="X465" s="15">
        <f t="shared" si="86"/>
        <v>129</v>
      </c>
      <c r="Y465" s="15">
        <f>ROUNDDOWN(W465/HLOOKUP(D465,Table!$C$3:$D$4,2,0)*8,2)</f>
        <v>2.29</v>
      </c>
      <c r="Z465" s="15">
        <v>2</v>
      </c>
      <c r="AA465" s="15" t="s">
        <v>74</v>
      </c>
      <c r="AB465" s="19">
        <v>44000</v>
      </c>
      <c r="AC465" s="19">
        <v>43994</v>
      </c>
      <c r="AD465" s="99">
        <v>44000</v>
      </c>
      <c r="AE465" s="19">
        <v>43997</v>
      </c>
      <c r="AF465" s="19">
        <v>43997</v>
      </c>
      <c r="AG465" s="19" t="s">
        <v>176</v>
      </c>
      <c r="AH465" s="31">
        <v>1</v>
      </c>
      <c r="AI465" s="31">
        <v>1</v>
      </c>
      <c r="AJ465" s="31">
        <v>1</v>
      </c>
      <c r="AK465" s="19" t="s">
        <v>150</v>
      </c>
      <c r="AL465" s="15" t="s">
        <v>61</v>
      </c>
      <c r="AM465" s="15" t="s">
        <v>61</v>
      </c>
      <c r="AN465" s="98" t="s">
        <v>61</v>
      </c>
    </row>
    <row r="466" spans="2:40" x14ac:dyDescent="0.25">
      <c r="B466" s="215">
        <f t="shared" si="85"/>
        <v>407</v>
      </c>
      <c r="C466" s="16">
        <v>20200605</v>
      </c>
      <c r="D466" s="15" t="s">
        <v>3</v>
      </c>
      <c r="E466" s="80" t="s">
        <v>1536</v>
      </c>
      <c r="F466" s="169" t="s">
        <v>1541</v>
      </c>
      <c r="G466" s="80">
        <v>1508892</v>
      </c>
      <c r="H466" s="52" t="s">
        <v>61</v>
      </c>
      <c r="I466" s="80" t="s">
        <v>200</v>
      </c>
      <c r="J466" s="52" t="s">
        <v>61</v>
      </c>
      <c r="K466" s="15" t="s">
        <v>146</v>
      </c>
      <c r="L466" s="15" t="s">
        <v>1547</v>
      </c>
      <c r="M466" s="241" t="s">
        <v>1003</v>
      </c>
      <c r="N466" s="80" t="s">
        <v>1546</v>
      </c>
      <c r="O466" s="17" t="s">
        <v>61</v>
      </c>
      <c r="P466" s="77" t="s">
        <v>1162</v>
      </c>
      <c r="Q466" s="18"/>
      <c r="R466" s="52" t="s">
        <v>61</v>
      </c>
      <c r="S466" s="15" t="s">
        <v>69</v>
      </c>
      <c r="T466" s="15"/>
      <c r="U466" s="15"/>
      <c r="V466" s="141">
        <v>69</v>
      </c>
      <c r="W466" s="84">
        <f>V466+94-69</f>
        <v>94</v>
      </c>
      <c r="X466" s="15">
        <f t="shared" si="86"/>
        <v>94</v>
      </c>
      <c r="Y466" s="15">
        <f>ROUNDDOWN(W466/HLOOKUP(D466,Table!$C$3:$D$4,2,0)*8,2)</f>
        <v>1.67</v>
      </c>
      <c r="Z466" s="15">
        <v>1</v>
      </c>
      <c r="AA466" s="15" t="s">
        <v>74</v>
      </c>
      <c r="AB466" s="19">
        <v>44000</v>
      </c>
      <c r="AC466" s="19">
        <v>43994</v>
      </c>
      <c r="AD466" s="99">
        <v>44000</v>
      </c>
      <c r="AE466" s="19">
        <v>43997</v>
      </c>
      <c r="AF466" s="19">
        <v>43997</v>
      </c>
      <c r="AG466" s="19" t="s">
        <v>176</v>
      </c>
      <c r="AH466" s="31">
        <v>1</v>
      </c>
      <c r="AI466" s="31">
        <v>1</v>
      </c>
      <c r="AJ466" s="31">
        <v>1</v>
      </c>
      <c r="AK466" s="19" t="s">
        <v>150</v>
      </c>
      <c r="AL466" s="15" t="s">
        <v>61</v>
      </c>
      <c r="AM466" s="15" t="s">
        <v>61</v>
      </c>
      <c r="AN466" s="98" t="s">
        <v>61</v>
      </c>
    </row>
    <row r="467" spans="2:40" x14ac:dyDescent="0.25">
      <c r="B467" s="215">
        <f t="shared" si="85"/>
        <v>408</v>
      </c>
      <c r="C467" s="16">
        <v>20200605</v>
      </c>
      <c r="D467" s="15" t="s">
        <v>3</v>
      </c>
      <c r="E467" s="80" t="s">
        <v>1536</v>
      </c>
      <c r="F467" s="169" t="s">
        <v>1540</v>
      </c>
      <c r="G467" s="80">
        <v>1508892</v>
      </c>
      <c r="H467" s="52" t="s">
        <v>61</v>
      </c>
      <c r="I467" s="80" t="s">
        <v>1138</v>
      </c>
      <c r="J467" s="52" t="s">
        <v>61</v>
      </c>
      <c r="K467" s="15" t="s">
        <v>146</v>
      </c>
      <c r="L467" s="15" t="s">
        <v>1547</v>
      </c>
      <c r="M467" s="241" t="s">
        <v>1003</v>
      </c>
      <c r="N467" s="80" t="s">
        <v>1546</v>
      </c>
      <c r="O467" s="17" t="s">
        <v>61</v>
      </c>
      <c r="P467" s="77" t="s">
        <v>1162</v>
      </c>
      <c r="Q467" s="18"/>
      <c r="R467" s="52" t="s">
        <v>61</v>
      </c>
      <c r="S467" s="15" t="s">
        <v>142</v>
      </c>
      <c r="T467" s="15"/>
      <c r="U467" s="15"/>
      <c r="V467" s="141">
        <v>33</v>
      </c>
      <c r="W467" s="16">
        <f t="shared" si="87"/>
        <v>33</v>
      </c>
      <c r="X467" s="15">
        <f t="shared" si="86"/>
        <v>33</v>
      </c>
      <c r="Y467" s="15">
        <f>ROUNDDOWN(W467/HLOOKUP(D467,Table!$C$3:$D$4,2,0)*8,2)</f>
        <v>0.57999999999999996</v>
      </c>
      <c r="Z467" s="15">
        <v>0.2</v>
      </c>
      <c r="AA467" s="15" t="s">
        <v>74</v>
      </c>
      <c r="AB467" s="19">
        <v>44000</v>
      </c>
      <c r="AC467" s="19">
        <v>43994</v>
      </c>
      <c r="AD467" s="99">
        <v>44000</v>
      </c>
      <c r="AE467" s="19">
        <v>43997</v>
      </c>
      <c r="AF467" s="19">
        <v>43997</v>
      </c>
      <c r="AG467" s="19" t="s">
        <v>176</v>
      </c>
      <c r="AH467" s="31">
        <v>1</v>
      </c>
      <c r="AI467" s="31">
        <v>1</v>
      </c>
      <c r="AJ467" s="31">
        <v>1</v>
      </c>
      <c r="AK467" s="19" t="s">
        <v>150</v>
      </c>
      <c r="AL467" s="15" t="s">
        <v>61</v>
      </c>
      <c r="AM467" s="15" t="s">
        <v>61</v>
      </c>
      <c r="AN467" s="98" t="s">
        <v>61</v>
      </c>
    </row>
    <row r="468" spans="2:40" x14ac:dyDescent="0.25">
      <c r="B468" s="215">
        <f t="shared" si="85"/>
        <v>409</v>
      </c>
      <c r="C468" s="16">
        <v>20200605</v>
      </c>
      <c r="D468" s="15" t="s">
        <v>3</v>
      </c>
      <c r="E468" s="80" t="s">
        <v>1536</v>
      </c>
      <c r="F468" s="169" t="s">
        <v>1541</v>
      </c>
      <c r="G468" s="80">
        <v>1508892</v>
      </c>
      <c r="H468" s="52" t="s">
        <v>61</v>
      </c>
      <c r="I468" s="80" t="s">
        <v>1138</v>
      </c>
      <c r="J468" s="52" t="s">
        <v>61</v>
      </c>
      <c r="K468" s="15" t="s">
        <v>146</v>
      </c>
      <c r="L468" s="15" t="s">
        <v>1547</v>
      </c>
      <c r="M468" s="241" t="s">
        <v>1003</v>
      </c>
      <c r="N468" s="80" t="s">
        <v>1546</v>
      </c>
      <c r="O468" s="17" t="s">
        <v>61</v>
      </c>
      <c r="P468" s="77" t="s">
        <v>1162</v>
      </c>
      <c r="Q468" s="18"/>
      <c r="R468" s="52" t="s">
        <v>61</v>
      </c>
      <c r="S468" s="15" t="s">
        <v>142</v>
      </c>
      <c r="T468" s="15"/>
      <c r="U468" s="15"/>
      <c r="V468" s="141">
        <v>33</v>
      </c>
      <c r="W468" s="16">
        <f t="shared" si="87"/>
        <v>33</v>
      </c>
      <c r="X468" s="15">
        <f t="shared" si="86"/>
        <v>33</v>
      </c>
      <c r="Y468" s="15">
        <f>ROUNDDOWN(W468/HLOOKUP(D468,Table!$C$3:$D$4,2,0)*8,2)</f>
        <v>0.57999999999999996</v>
      </c>
      <c r="Z468" s="15">
        <v>0.2</v>
      </c>
      <c r="AA468" s="15" t="s">
        <v>74</v>
      </c>
      <c r="AB468" s="19">
        <v>44000</v>
      </c>
      <c r="AC468" s="19">
        <v>43994</v>
      </c>
      <c r="AD468" s="99">
        <v>44000</v>
      </c>
      <c r="AE468" s="19">
        <v>43997</v>
      </c>
      <c r="AF468" s="19">
        <v>43997</v>
      </c>
      <c r="AG468" s="19" t="s">
        <v>176</v>
      </c>
      <c r="AH468" s="31">
        <v>1</v>
      </c>
      <c r="AI468" s="31">
        <v>1</v>
      </c>
      <c r="AJ468" s="31">
        <v>1</v>
      </c>
      <c r="AK468" s="19" t="s">
        <v>150</v>
      </c>
      <c r="AL468" s="15" t="s">
        <v>61</v>
      </c>
      <c r="AM468" s="15" t="s">
        <v>61</v>
      </c>
      <c r="AN468" s="98" t="s">
        <v>61</v>
      </c>
    </row>
    <row r="469" spans="2:40" x14ac:dyDescent="0.25">
      <c r="B469" s="215">
        <f t="shared" si="85"/>
        <v>410</v>
      </c>
      <c r="C469" s="16">
        <v>20200605</v>
      </c>
      <c r="D469" s="15" t="s">
        <v>3</v>
      </c>
      <c r="E469" s="80" t="s">
        <v>1536</v>
      </c>
      <c r="F469" s="169" t="s">
        <v>1743</v>
      </c>
      <c r="G469" s="80">
        <v>1508892</v>
      </c>
      <c r="H469" s="52" t="s">
        <v>61</v>
      </c>
      <c r="I469" s="80" t="s">
        <v>602</v>
      </c>
      <c r="J469" s="52" t="s">
        <v>61</v>
      </c>
      <c r="K469" s="15" t="s">
        <v>146</v>
      </c>
      <c r="L469" s="15" t="s">
        <v>1547</v>
      </c>
      <c r="M469" s="241" t="s">
        <v>1003</v>
      </c>
      <c r="N469" s="80" t="s">
        <v>1546</v>
      </c>
      <c r="O469" s="17" t="s">
        <v>61</v>
      </c>
      <c r="P469" s="77" t="s">
        <v>1162</v>
      </c>
      <c r="Q469" s="18"/>
      <c r="R469" s="52" t="s">
        <v>61</v>
      </c>
      <c r="S469" s="15" t="s">
        <v>69</v>
      </c>
      <c r="T469" s="15"/>
      <c r="U469" s="15"/>
      <c r="V469" s="141">
        <v>66</v>
      </c>
      <c r="W469" s="16">
        <f t="shared" si="87"/>
        <v>66</v>
      </c>
      <c r="X469" s="15">
        <f t="shared" si="86"/>
        <v>66</v>
      </c>
      <c r="Y469" s="15">
        <f>ROUNDDOWN(W469/HLOOKUP(D469,Table!$C$3:$D$4,2,0)*8,2)</f>
        <v>1.17</v>
      </c>
      <c r="Z469" s="15">
        <v>1</v>
      </c>
      <c r="AA469" s="15" t="s">
        <v>74</v>
      </c>
      <c r="AB469" s="19">
        <v>44000</v>
      </c>
      <c r="AC469" s="19">
        <v>43994</v>
      </c>
      <c r="AD469" s="99">
        <v>44000</v>
      </c>
      <c r="AE469" s="19">
        <v>43997</v>
      </c>
      <c r="AF469" s="19">
        <v>43997</v>
      </c>
      <c r="AG469" s="19" t="s">
        <v>176</v>
      </c>
      <c r="AH469" s="31">
        <v>1</v>
      </c>
      <c r="AI469" s="31">
        <v>1</v>
      </c>
      <c r="AJ469" s="31">
        <v>1</v>
      </c>
      <c r="AK469" s="19" t="s">
        <v>150</v>
      </c>
      <c r="AL469" s="15" t="s">
        <v>61</v>
      </c>
      <c r="AM469" s="15" t="s">
        <v>61</v>
      </c>
      <c r="AN469" s="98" t="s">
        <v>61</v>
      </c>
    </row>
    <row r="470" spans="2:40" x14ac:dyDescent="0.25">
      <c r="B470" s="215">
        <f t="shared" si="85"/>
        <v>411</v>
      </c>
      <c r="C470" s="16">
        <v>20200605</v>
      </c>
      <c r="D470" s="15" t="s">
        <v>3</v>
      </c>
      <c r="E470" s="80" t="s">
        <v>1536</v>
      </c>
      <c r="F470" s="169" t="s">
        <v>1742</v>
      </c>
      <c r="G470" s="80">
        <v>1508892</v>
      </c>
      <c r="H470" s="52" t="s">
        <v>61</v>
      </c>
      <c r="I470" s="80" t="s">
        <v>154</v>
      </c>
      <c r="J470" s="52" t="s">
        <v>61</v>
      </c>
      <c r="K470" s="15" t="s">
        <v>146</v>
      </c>
      <c r="L470" s="15" t="s">
        <v>1547</v>
      </c>
      <c r="M470" s="241" t="s">
        <v>1003</v>
      </c>
      <c r="N470" s="80" t="s">
        <v>1546</v>
      </c>
      <c r="O470" s="17" t="s">
        <v>61</v>
      </c>
      <c r="P470" s="77" t="s">
        <v>1162</v>
      </c>
      <c r="Q470" s="18"/>
      <c r="R470" s="52" t="s">
        <v>61</v>
      </c>
      <c r="S470" s="15" t="s">
        <v>69</v>
      </c>
      <c r="T470" s="15"/>
      <c r="U470" s="15"/>
      <c r="V470" s="141">
        <v>101</v>
      </c>
      <c r="W470" s="84">
        <f>V470+197-101</f>
        <v>197</v>
      </c>
      <c r="X470" s="15">
        <f t="shared" si="86"/>
        <v>197</v>
      </c>
      <c r="Y470" s="15">
        <f>ROUNDDOWN(W470/HLOOKUP(D470,Table!$C$3:$D$4,2,0)*8,2)</f>
        <v>3.5</v>
      </c>
      <c r="Z470" s="15">
        <v>3</v>
      </c>
      <c r="AA470" s="15" t="s">
        <v>74</v>
      </c>
      <c r="AB470" s="19">
        <v>44000</v>
      </c>
      <c r="AC470" s="19">
        <v>43994</v>
      </c>
      <c r="AD470" s="99">
        <v>44000</v>
      </c>
      <c r="AE470" s="19">
        <v>43997</v>
      </c>
      <c r="AF470" s="19">
        <v>43997</v>
      </c>
      <c r="AG470" s="19" t="s">
        <v>176</v>
      </c>
      <c r="AH470" s="31">
        <v>1</v>
      </c>
      <c r="AI470" s="31">
        <v>1</v>
      </c>
      <c r="AJ470" s="31">
        <v>1</v>
      </c>
      <c r="AK470" s="19" t="s">
        <v>150</v>
      </c>
      <c r="AL470" s="15" t="s">
        <v>61</v>
      </c>
      <c r="AM470" s="15" t="s">
        <v>61</v>
      </c>
      <c r="AN470" s="98" t="s">
        <v>61</v>
      </c>
    </row>
    <row r="471" spans="2:40" x14ac:dyDescent="0.25">
      <c r="B471" s="215">
        <f t="shared" si="85"/>
        <v>412</v>
      </c>
      <c r="C471" s="16">
        <v>20200605</v>
      </c>
      <c r="D471" s="15" t="s">
        <v>3</v>
      </c>
      <c r="E471" s="80" t="s">
        <v>1526</v>
      </c>
      <c r="F471" s="169" t="s">
        <v>1527</v>
      </c>
      <c r="G471" s="80">
        <v>1509427</v>
      </c>
      <c r="H471" s="52" t="s">
        <v>61</v>
      </c>
      <c r="I471" s="80" t="s">
        <v>1719</v>
      </c>
      <c r="J471" s="52" t="s">
        <v>61</v>
      </c>
      <c r="K471" s="15" t="s">
        <v>146</v>
      </c>
      <c r="L471" s="80" t="s">
        <v>1533</v>
      </c>
      <c r="M471" s="178" t="s">
        <v>1534</v>
      </c>
      <c r="N471" s="80" t="s">
        <v>1532</v>
      </c>
      <c r="O471" s="17" t="s">
        <v>61</v>
      </c>
      <c r="P471" s="77" t="s">
        <v>1521</v>
      </c>
      <c r="Q471" s="18"/>
      <c r="R471" s="52" t="s">
        <v>61</v>
      </c>
      <c r="S471" s="15" t="s">
        <v>69</v>
      </c>
      <c r="T471" s="15"/>
      <c r="U471" s="15"/>
      <c r="V471" s="80">
        <v>126</v>
      </c>
      <c r="W471" s="16">
        <f t="shared" si="87"/>
        <v>126</v>
      </c>
      <c r="X471" s="80">
        <f t="shared" si="86"/>
        <v>126</v>
      </c>
      <c r="Y471" s="15">
        <f>ROUNDDOWN(W471/HLOOKUP(D471,Table!$C$3:$D$4,2,0)*8,2)</f>
        <v>2.2400000000000002</v>
      </c>
      <c r="Z471" s="15">
        <v>2</v>
      </c>
      <c r="AA471" s="15" t="s">
        <v>74</v>
      </c>
      <c r="AB471" s="19">
        <v>43994</v>
      </c>
      <c r="AC471" s="19">
        <v>43987</v>
      </c>
      <c r="AD471" s="99">
        <v>43994</v>
      </c>
      <c r="AE471" s="19">
        <v>43994</v>
      </c>
      <c r="AF471" s="19">
        <v>43994</v>
      </c>
      <c r="AG471" s="19" t="s">
        <v>176</v>
      </c>
      <c r="AH471" s="31">
        <v>1</v>
      </c>
      <c r="AI471" s="31">
        <v>1</v>
      </c>
      <c r="AJ471" s="31">
        <v>1</v>
      </c>
      <c r="AK471" s="19" t="s">
        <v>150</v>
      </c>
      <c r="AL471" s="17"/>
      <c r="AM471" s="17"/>
      <c r="AN471" s="248"/>
    </row>
    <row r="472" spans="2:40" x14ac:dyDescent="0.25">
      <c r="B472" s="215">
        <f t="shared" si="85"/>
        <v>413</v>
      </c>
      <c r="C472" s="16">
        <v>20200605</v>
      </c>
      <c r="D472" s="15" t="s">
        <v>3</v>
      </c>
      <c r="E472" s="80" t="s">
        <v>1526</v>
      </c>
      <c r="F472" s="169" t="s">
        <v>1527</v>
      </c>
      <c r="G472" s="80">
        <v>1509427</v>
      </c>
      <c r="H472" s="52" t="s">
        <v>61</v>
      </c>
      <c r="I472" s="80" t="s">
        <v>705</v>
      </c>
      <c r="J472" s="52" t="s">
        <v>61</v>
      </c>
      <c r="K472" s="15" t="s">
        <v>146</v>
      </c>
      <c r="L472" s="15" t="s">
        <v>1533</v>
      </c>
      <c r="M472" s="238" t="s">
        <v>1534</v>
      </c>
      <c r="N472" s="80" t="s">
        <v>1532</v>
      </c>
      <c r="O472" s="17" t="s">
        <v>61</v>
      </c>
      <c r="P472" s="77" t="s">
        <v>1521</v>
      </c>
      <c r="Q472" s="18"/>
      <c r="R472" s="52" t="s">
        <v>61</v>
      </c>
      <c r="S472" s="15" t="s">
        <v>69</v>
      </c>
      <c r="T472" s="15"/>
      <c r="U472" s="15"/>
      <c r="V472" s="80">
        <v>86</v>
      </c>
      <c r="W472" s="16">
        <f t="shared" si="87"/>
        <v>86</v>
      </c>
      <c r="X472" s="80">
        <f t="shared" si="86"/>
        <v>86</v>
      </c>
      <c r="Y472" s="15">
        <f>ROUNDDOWN(W472/HLOOKUP(D472,Table!$C$3:$D$4,2,0)*8,2)</f>
        <v>1.52</v>
      </c>
      <c r="Z472" s="15">
        <v>1</v>
      </c>
      <c r="AA472" s="15" t="s">
        <v>74</v>
      </c>
      <c r="AB472" s="19">
        <v>43994</v>
      </c>
      <c r="AC472" s="19">
        <v>43987</v>
      </c>
      <c r="AD472" s="99">
        <v>43994</v>
      </c>
      <c r="AE472" s="19">
        <v>43994</v>
      </c>
      <c r="AF472" s="19">
        <v>43994</v>
      </c>
      <c r="AG472" s="19" t="s">
        <v>176</v>
      </c>
      <c r="AH472" s="31">
        <v>1</v>
      </c>
      <c r="AI472" s="31">
        <v>1</v>
      </c>
      <c r="AJ472" s="31">
        <v>1</v>
      </c>
      <c r="AK472" s="19" t="s">
        <v>150</v>
      </c>
      <c r="AL472" s="17"/>
      <c r="AM472" s="17"/>
      <c r="AN472" s="248"/>
    </row>
    <row r="473" spans="2:40" x14ac:dyDescent="0.25">
      <c r="B473" s="215">
        <f t="shared" si="85"/>
        <v>414</v>
      </c>
      <c r="C473" s="16">
        <v>20200605</v>
      </c>
      <c r="D473" s="15" t="s">
        <v>3</v>
      </c>
      <c r="E473" s="80" t="s">
        <v>1526</v>
      </c>
      <c r="F473" s="169" t="s">
        <v>1528</v>
      </c>
      <c r="G473" s="80">
        <v>1509427</v>
      </c>
      <c r="H473" s="52" t="s">
        <v>61</v>
      </c>
      <c r="I473" s="80" t="s">
        <v>160</v>
      </c>
      <c r="J473" s="52" t="s">
        <v>61</v>
      </c>
      <c r="K473" s="15" t="s">
        <v>146</v>
      </c>
      <c r="L473" s="15" t="s">
        <v>1533</v>
      </c>
      <c r="M473" s="238" t="s">
        <v>1534</v>
      </c>
      <c r="N473" s="80" t="s">
        <v>1532</v>
      </c>
      <c r="O473" s="17" t="s">
        <v>61</v>
      </c>
      <c r="P473" s="77" t="s">
        <v>1521</v>
      </c>
      <c r="Q473" s="18"/>
      <c r="R473" s="52" t="s">
        <v>61</v>
      </c>
      <c r="S473" s="15" t="s">
        <v>69</v>
      </c>
      <c r="T473" s="15"/>
      <c r="U473" s="15"/>
      <c r="V473" s="80">
        <v>35</v>
      </c>
      <c r="W473" s="84">
        <f>V473-35+192</f>
        <v>192</v>
      </c>
      <c r="X473" s="80">
        <f t="shared" si="86"/>
        <v>192</v>
      </c>
      <c r="Y473" s="15">
        <f>ROUNDDOWN(W473/HLOOKUP(D473,Table!$C$3:$D$4,2,0)*8,2)</f>
        <v>3.41</v>
      </c>
      <c r="Z473" s="15">
        <v>3</v>
      </c>
      <c r="AA473" s="15" t="s">
        <v>74</v>
      </c>
      <c r="AB473" s="19">
        <v>43994</v>
      </c>
      <c r="AC473" s="19">
        <v>43987</v>
      </c>
      <c r="AD473" s="99">
        <v>43994</v>
      </c>
      <c r="AE473" s="19">
        <v>43994</v>
      </c>
      <c r="AF473" s="19">
        <v>43994</v>
      </c>
      <c r="AG473" s="19" t="s">
        <v>176</v>
      </c>
      <c r="AH473" s="31">
        <v>1</v>
      </c>
      <c r="AI473" s="31">
        <v>1</v>
      </c>
      <c r="AJ473" s="31">
        <v>1</v>
      </c>
      <c r="AK473" s="19" t="s">
        <v>150</v>
      </c>
      <c r="AL473" s="17"/>
      <c r="AM473" s="17"/>
      <c r="AN473" s="248"/>
    </row>
    <row r="474" spans="2:40" x14ac:dyDescent="0.25">
      <c r="B474" s="215">
        <f t="shared" si="85"/>
        <v>415</v>
      </c>
      <c r="C474" s="16">
        <v>20200605</v>
      </c>
      <c r="D474" s="15" t="s">
        <v>3</v>
      </c>
      <c r="E474" s="80" t="s">
        <v>1526</v>
      </c>
      <c r="F474" s="169" t="s">
        <v>1528</v>
      </c>
      <c r="G474" s="80">
        <v>1509427</v>
      </c>
      <c r="H474" s="52" t="s">
        <v>61</v>
      </c>
      <c r="I474" s="80" t="s">
        <v>153</v>
      </c>
      <c r="J474" s="52" t="s">
        <v>61</v>
      </c>
      <c r="K474" s="15" t="s">
        <v>146</v>
      </c>
      <c r="L474" s="15" t="s">
        <v>1533</v>
      </c>
      <c r="M474" s="238" t="s">
        <v>1534</v>
      </c>
      <c r="N474" s="80" t="s">
        <v>1532</v>
      </c>
      <c r="O474" s="17" t="s">
        <v>61</v>
      </c>
      <c r="P474" s="77" t="s">
        <v>1521</v>
      </c>
      <c r="Q474" s="18"/>
      <c r="R474" s="52" t="s">
        <v>61</v>
      </c>
      <c r="S474" s="15" t="s">
        <v>69</v>
      </c>
      <c r="T474" s="15"/>
      <c r="U474" s="15"/>
      <c r="V474" s="80">
        <v>34</v>
      </c>
      <c r="W474" s="84">
        <f>V474+222-34</f>
        <v>222</v>
      </c>
      <c r="X474" s="80">
        <f t="shared" si="86"/>
        <v>222</v>
      </c>
      <c r="Y474" s="15">
        <f>ROUNDDOWN(W474/HLOOKUP(D474,Table!$C$3:$D$4,2,0)*8,2)</f>
        <v>3.94</v>
      </c>
      <c r="Z474" s="15">
        <v>3</v>
      </c>
      <c r="AA474" s="15" t="s">
        <v>74</v>
      </c>
      <c r="AB474" s="19">
        <v>43994</v>
      </c>
      <c r="AC474" s="19">
        <v>43987</v>
      </c>
      <c r="AD474" s="99">
        <v>43994</v>
      </c>
      <c r="AE474" s="19">
        <v>43994</v>
      </c>
      <c r="AF474" s="19">
        <v>43994</v>
      </c>
      <c r="AG474" s="19" t="s">
        <v>176</v>
      </c>
      <c r="AH474" s="31">
        <v>1</v>
      </c>
      <c r="AI474" s="31">
        <v>1</v>
      </c>
      <c r="AJ474" s="31">
        <v>1</v>
      </c>
      <c r="AK474" s="19" t="s">
        <v>150</v>
      </c>
      <c r="AL474" s="17"/>
      <c r="AM474" s="17"/>
      <c r="AN474" s="248"/>
    </row>
    <row r="475" spans="2:40" x14ac:dyDescent="0.25">
      <c r="B475" s="215">
        <f t="shared" si="85"/>
        <v>416</v>
      </c>
      <c r="C475" s="16">
        <v>20200605</v>
      </c>
      <c r="D475" s="15" t="s">
        <v>3</v>
      </c>
      <c r="E475" s="80" t="s">
        <v>1526</v>
      </c>
      <c r="F475" s="169" t="s">
        <v>1529</v>
      </c>
      <c r="G475" s="80">
        <v>1509427</v>
      </c>
      <c r="H475" s="52" t="s">
        <v>61</v>
      </c>
      <c r="I475" s="80" t="s">
        <v>1530</v>
      </c>
      <c r="J475" s="52" t="s">
        <v>61</v>
      </c>
      <c r="K475" s="15" t="s">
        <v>146</v>
      </c>
      <c r="L475" s="15" t="s">
        <v>1533</v>
      </c>
      <c r="M475" s="238" t="s">
        <v>1534</v>
      </c>
      <c r="N475" s="141" t="s">
        <v>1532</v>
      </c>
      <c r="O475" s="17" t="s">
        <v>61</v>
      </c>
      <c r="P475" s="77" t="s">
        <v>1521</v>
      </c>
      <c r="Q475" s="18"/>
      <c r="R475" s="52" t="s">
        <v>61</v>
      </c>
      <c r="S475" s="15" t="s">
        <v>68</v>
      </c>
      <c r="T475" s="15"/>
      <c r="U475" s="15"/>
      <c r="V475" s="80">
        <v>107</v>
      </c>
      <c r="W475" s="16">
        <f t="shared" ref="W475:X477" si="88">V475</f>
        <v>107</v>
      </c>
      <c r="X475" s="80">
        <f t="shared" si="88"/>
        <v>107</v>
      </c>
      <c r="Y475" s="15">
        <f>ROUNDDOWN(W475/HLOOKUP(D475,Table!$C$3:$D$4,2,0)*8,2)</f>
        <v>1.9</v>
      </c>
      <c r="Z475" s="15">
        <v>1</v>
      </c>
      <c r="AA475" s="15" t="s">
        <v>74</v>
      </c>
      <c r="AB475" s="19">
        <v>43994</v>
      </c>
      <c r="AC475" s="19">
        <v>43987</v>
      </c>
      <c r="AD475" s="99">
        <v>43994</v>
      </c>
      <c r="AE475" s="19">
        <v>43994</v>
      </c>
      <c r="AF475" s="19">
        <v>43994</v>
      </c>
      <c r="AG475" s="19" t="s">
        <v>176</v>
      </c>
      <c r="AH475" s="31">
        <v>1</v>
      </c>
      <c r="AI475" s="31">
        <v>1</v>
      </c>
      <c r="AJ475" s="31">
        <v>1</v>
      </c>
      <c r="AK475" s="19" t="s">
        <v>150</v>
      </c>
      <c r="AL475" s="17"/>
      <c r="AM475" s="17"/>
      <c r="AN475" s="248"/>
    </row>
    <row r="476" spans="2:40" x14ac:dyDescent="0.25">
      <c r="B476" s="215">
        <f t="shared" si="85"/>
        <v>417</v>
      </c>
      <c r="C476" s="16">
        <v>20200605</v>
      </c>
      <c r="D476" s="15" t="s">
        <v>3</v>
      </c>
      <c r="E476" s="80" t="s">
        <v>1526</v>
      </c>
      <c r="F476" s="169" t="s">
        <v>1529</v>
      </c>
      <c r="G476" s="80">
        <v>1509427</v>
      </c>
      <c r="H476" s="52" t="s">
        <v>61</v>
      </c>
      <c r="I476" s="80" t="s">
        <v>1531</v>
      </c>
      <c r="J476" s="52" t="s">
        <v>61</v>
      </c>
      <c r="K476" s="15" t="s">
        <v>146</v>
      </c>
      <c r="L476" s="15" t="s">
        <v>1533</v>
      </c>
      <c r="M476" s="238" t="s">
        <v>1534</v>
      </c>
      <c r="N476" s="80" t="s">
        <v>1532</v>
      </c>
      <c r="O476" s="17" t="s">
        <v>61</v>
      </c>
      <c r="P476" s="77" t="s">
        <v>1521</v>
      </c>
      <c r="Q476" s="18"/>
      <c r="R476" s="52" t="s">
        <v>61</v>
      </c>
      <c r="S476" s="15" t="s">
        <v>68</v>
      </c>
      <c r="T476" s="15"/>
      <c r="U476" s="15"/>
      <c r="V476" s="80">
        <v>63</v>
      </c>
      <c r="W476" s="16">
        <f t="shared" si="88"/>
        <v>63</v>
      </c>
      <c r="X476" s="80">
        <f t="shared" si="88"/>
        <v>63</v>
      </c>
      <c r="Y476" s="15">
        <f>ROUNDDOWN(W476/HLOOKUP(D476,Table!$C$3:$D$4,2,0)*8,2)</f>
        <v>1.1200000000000001</v>
      </c>
      <c r="Z476" s="15">
        <v>1</v>
      </c>
      <c r="AA476" s="15" t="s">
        <v>74</v>
      </c>
      <c r="AB476" s="19">
        <v>43994</v>
      </c>
      <c r="AC476" s="19">
        <v>43987</v>
      </c>
      <c r="AD476" s="99">
        <v>43994</v>
      </c>
      <c r="AE476" s="19">
        <v>43994</v>
      </c>
      <c r="AF476" s="19">
        <v>43994</v>
      </c>
      <c r="AG476" s="19" t="s">
        <v>176</v>
      </c>
      <c r="AH476" s="31">
        <v>1</v>
      </c>
      <c r="AI476" s="31">
        <v>1</v>
      </c>
      <c r="AJ476" s="31">
        <v>1</v>
      </c>
      <c r="AK476" s="19" t="s">
        <v>150</v>
      </c>
      <c r="AL476" s="17"/>
      <c r="AM476" s="17"/>
      <c r="AN476" s="248"/>
    </row>
    <row r="477" spans="2:40" x14ac:dyDescent="0.25">
      <c r="B477" s="215">
        <f t="shared" si="85"/>
        <v>418</v>
      </c>
      <c r="C477" s="16">
        <v>20200605</v>
      </c>
      <c r="D477" s="15" t="s">
        <v>3</v>
      </c>
      <c r="E477" s="80" t="s">
        <v>1526</v>
      </c>
      <c r="F477" s="169" t="s">
        <v>1529</v>
      </c>
      <c r="G477" s="80">
        <v>1509427</v>
      </c>
      <c r="H477" s="52" t="s">
        <v>61</v>
      </c>
      <c r="I477" s="80" t="s">
        <v>1718</v>
      </c>
      <c r="J477" s="52" t="s">
        <v>61</v>
      </c>
      <c r="K477" s="15" t="s">
        <v>146</v>
      </c>
      <c r="L477" s="15" t="s">
        <v>1533</v>
      </c>
      <c r="M477" s="239" t="s">
        <v>1534</v>
      </c>
      <c r="N477" s="80" t="s">
        <v>1532</v>
      </c>
      <c r="O477" s="17" t="s">
        <v>61</v>
      </c>
      <c r="P477" s="77" t="s">
        <v>1521</v>
      </c>
      <c r="Q477" s="18"/>
      <c r="R477" s="52" t="s">
        <v>61</v>
      </c>
      <c r="S477" s="15" t="s">
        <v>68</v>
      </c>
      <c r="T477" s="15"/>
      <c r="U477" s="15"/>
      <c r="V477" s="80">
        <v>29</v>
      </c>
      <c r="W477" s="16">
        <f t="shared" si="88"/>
        <v>29</v>
      </c>
      <c r="X477" s="80">
        <f t="shared" si="88"/>
        <v>29</v>
      </c>
      <c r="Y477" s="15">
        <f>ROUNDDOWN(W477/HLOOKUP(D477,Table!$C$3:$D$4,2,0)*8,2)</f>
        <v>0.51</v>
      </c>
      <c r="Z477" s="15">
        <v>0.5</v>
      </c>
      <c r="AA477" s="15" t="s">
        <v>74</v>
      </c>
      <c r="AB477" s="19">
        <v>43994</v>
      </c>
      <c r="AC477" s="19">
        <v>43987</v>
      </c>
      <c r="AD477" s="99">
        <v>43994</v>
      </c>
      <c r="AE477" s="19">
        <v>43994</v>
      </c>
      <c r="AF477" s="19">
        <v>43994</v>
      </c>
      <c r="AG477" s="19" t="s">
        <v>176</v>
      </c>
      <c r="AH477" s="31">
        <v>1</v>
      </c>
      <c r="AI477" s="31">
        <v>1</v>
      </c>
      <c r="AJ477" s="31">
        <v>1</v>
      </c>
      <c r="AK477" s="19" t="s">
        <v>150</v>
      </c>
      <c r="AL477" s="17"/>
      <c r="AM477" s="17"/>
      <c r="AN477" s="248"/>
    </row>
    <row r="478" spans="2:40" x14ac:dyDescent="0.25">
      <c r="B478" s="133">
        <f t="shared" si="85"/>
        <v>419</v>
      </c>
      <c r="C478" s="16">
        <v>20200608</v>
      </c>
      <c r="D478" s="15" t="s">
        <v>3</v>
      </c>
      <c r="E478" s="80" t="s">
        <v>1397</v>
      </c>
      <c r="F478" s="169" t="s">
        <v>1470</v>
      </c>
      <c r="G478" s="80">
        <v>1508795</v>
      </c>
      <c r="H478" s="52" t="s">
        <v>61</v>
      </c>
      <c r="I478" s="80" t="s">
        <v>227</v>
      </c>
      <c r="J478" s="52" t="s">
        <v>61</v>
      </c>
      <c r="K478" s="15" t="s">
        <v>184</v>
      </c>
      <c r="L478" s="15" t="s">
        <v>150</v>
      </c>
      <c r="M478" s="80" t="s">
        <v>1400</v>
      </c>
      <c r="N478" s="80" t="s">
        <v>1399</v>
      </c>
      <c r="O478" s="17" t="s">
        <v>61</v>
      </c>
      <c r="P478" s="77" t="s">
        <v>355</v>
      </c>
      <c r="Q478" s="18"/>
      <c r="R478" s="52" t="s">
        <v>61</v>
      </c>
      <c r="S478" s="15" t="s">
        <v>70</v>
      </c>
      <c r="T478" s="15"/>
      <c r="U478" s="15"/>
      <c r="V478" s="219">
        <v>125</v>
      </c>
      <c r="W478" s="84">
        <f t="shared" si="83"/>
        <v>250</v>
      </c>
      <c r="X478" s="15">
        <f t="shared" si="84"/>
        <v>250</v>
      </c>
      <c r="Y478" s="15">
        <f>ROUNDDOWN(W478/HLOOKUP(D478,Table!$C$3:$D$4,2,0)*8,2)</f>
        <v>4.4400000000000004</v>
      </c>
      <c r="Z478" s="15">
        <v>2</v>
      </c>
      <c r="AA478" s="15" t="s">
        <v>74</v>
      </c>
      <c r="AB478" s="19">
        <v>43997</v>
      </c>
      <c r="AC478" s="19">
        <v>43990</v>
      </c>
      <c r="AD478" s="249">
        <v>43997</v>
      </c>
      <c r="AE478" s="19">
        <v>43991</v>
      </c>
      <c r="AF478" s="19">
        <v>43991</v>
      </c>
      <c r="AG478" s="19" t="s">
        <v>176</v>
      </c>
      <c r="AH478" s="31">
        <v>1</v>
      </c>
      <c r="AI478" s="31">
        <v>1</v>
      </c>
      <c r="AJ478" s="31">
        <v>1</v>
      </c>
      <c r="AK478" s="19" t="s">
        <v>150</v>
      </c>
      <c r="AL478" s="15" t="s">
        <v>61</v>
      </c>
      <c r="AM478" s="15" t="s">
        <v>61</v>
      </c>
      <c r="AN478" s="84" t="s">
        <v>1395</v>
      </c>
    </row>
    <row r="479" spans="2:40" x14ac:dyDescent="0.25">
      <c r="B479" s="133">
        <f t="shared" si="85"/>
        <v>420</v>
      </c>
      <c r="C479" s="16">
        <v>20200608</v>
      </c>
      <c r="D479" s="15" t="s">
        <v>3</v>
      </c>
      <c r="E479" s="80" t="s">
        <v>1397</v>
      </c>
      <c r="F479" s="169" t="s">
        <v>1471</v>
      </c>
      <c r="G479" s="80">
        <v>1508795</v>
      </c>
      <c r="H479" s="52" t="s">
        <v>61</v>
      </c>
      <c r="I479" s="80" t="s">
        <v>227</v>
      </c>
      <c r="J479" s="52" t="s">
        <v>61</v>
      </c>
      <c r="K479" s="15" t="s">
        <v>184</v>
      </c>
      <c r="L479" s="15" t="s">
        <v>150</v>
      </c>
      <c r="M479" s="80" t="s">
        <v>1400</v>
      </c>
      <c r="N479" s="80" t="s">
        <v>1399</v>
      </c>
      <c r="O479" s="17" t="s">
        <v>61</v>
      </c>
      <c r="P479" s="77" t="s">
        <v>355</v>
      </c>
      <c r="Q479" s="18"/>
      <c r="R479" s="52" t="s">
        <v>61</v>
      </c>
      <c r="S479" s="15" t="s">
        <v>70</v>
      </c>
      <c r="T479" s="15"/>
      <c r="U479" s="15"/>
      <c r="V479" s="219">
        <v>125</v>
      </c>
      <c r="W479" s="84">
        <f t="shared" si="83"/>
        <v>250</v>
      </c>
      <c r="X479" s="15">
        <f t="shared" si="84"/>
        <v>250</v>
      </c>
      <c r="Y479" s="15">
        <f>ROUNDDOWN(W479/HLOOKUP(D479,Table!$C$3:$D$4,2,0)*8,2)</f>
        <v>4.4400000000000004</v>
      </c>
      <c r="Z479" s="15">
        <v>1</v>
      </c>
      <c r="AA479" s="15" t="s">
        <v>74</v>
      </c>
      <c r="AB479" s="19">
        <v>43997</v>
      </c>
      <c r="AC479" s="19">
        <v>43990</v>
      </c>
      <c r="AD479" s="249">
        <v>43997</v>
      </c>
      <c r="AE479" s="19">
        <v>43991</v>
      </c>
      <c r="AF479" s="19">
        <v>43991</v>
      </c>
      <c r="AG479" s="19" t="s">
        <v>176</v>
      </c>
      <c r="AH479" s="31">
        <v>1</v>
      </c>
      <c r="AI479" s="31">
        <v>1</v>
      </c>
      <c r="AJ479" s="31">
        <v>1</v>
      </c>
      <c r="AK479" s="19" t="s">
        <v>150</v>
      </c>
      <c r="AL479" s="15" t="s">
        <v>61</v>
      </c>
      <c r="AM479" s="15" t="s">
        <v>61</v>
      </c>
      <c r="AN479" s="84" t="s">
        <v>1395</v>
      </c>
    </row>
    <row r="480" spans="2:40" x14ac:dyDescent="0.25">
      <c r="B480" s="133">
        <f t="shared" si="85"/>
        <v>421</v>
      </c>
      <c r="C480" s="16">
        <v>20200608</v>
      </c>
      <c r="D480" s="15" t="s">
        <v>3</v>
      </c>
      <c r="E480" s="80" t="s">
        <v>1398</v>
      </c>
      <c r="F480" s="169" t="s">
        <v>370</v>
      </c>
      <c r="G480" s="80">
        <v>1508791</v>
      </c>
      <c r="H480" s="52" t="s">
        <v>61</v>
      </c>
      <c r="I480" s="80" t="s">
        <v>340</v>
      </c>
      <c r="J480" s="52" t="s">
        <v>61</v>
      </c>
      <c r="K480" s="15" t="s">
        <v>184</v>
      </c>
      <c r="L480" s="15" t="s">
        <v>150</v>
      </c>
      <c r="M480" s="80" t="s">
        <v>1265</v>
      </c>
      <c r="N480" s="80" t="s">
        <v>195</v>
      </c>
      <c r="O480" s="17" t="s">
        <v>61</v>
      </c>
      <c r="P480" s="77" t="s">
        <v>355</v>
      </c>
      <c r="Q480" s="18"/>
      <c r="R480" s="52" t="s">
        <v>61</v>
      </c>
      <c r="S480" s="15" t="s">
        <v>142</v>
      </c>
      <c r="T480" s="15"/>
      <c r="U480" s="15"/>
      <c r="V480" s="219">
        <v>31</v>
      </c>
      <c r="W480" s="84">
        <f t="shared" si="83"/>
        <v>62</v>
      </c>
      <c r="X480" s="15">
        <v>62</v>
      </c>
      <c r="Y480" s="15">
        <f>ROUNDDOWN(W480/HLOOKUP(D480,Table!$C$3:$D$4,2,0)*8,2)</f>
        <v>1.1000000000000001</v>
      </c>
      <c r="Z480" s="15">
        <v>0.5</v>
      </c>
      <c r="AA480" s="15" t="s">
        <v>74</v>
      </c>
      <c r="AB480" s="19">
        <v>43997</v>
      </c>
      <c r="AC480" s="19">
        <v>43990</v>
      </c>
      <c r="AD480" s="249">
        <v>43997</v>
      </c>
      <c r="AE480" s="19">
        <v>43994</v>
      </c>
      <c r="AF480" s="19">
        <v>43994</v>
      </c>
      <c r="AG480" s="19" t="s">
        <v>177</v>
      </c>
      <c r="AH480" s="31">
        <v>1</v>
      </c>
      <c r="AI480" s="31">
        <v>1</v>
      </c>
      <c r="AJ480" s="31">
        <v>0.5</v>
      </c>
      <c r="AK480" s="19" t="s">
        <v>139</v>
      </c>
      <c r="AL480" s="134" t="s">
        <v>1552</v>
      </c>
      <c r="AM480" s="15"/>
      <c r="AN480" s="84" t="s">
        <v>1744</v>
      </c>
    </row>
    <row r="481" spans="2:40" x14ac:dyDescent="0.25">
      <c r="B481" s="133">
        <f t="shared" si="85"/>
        <v>422</v>
      </c>
      <c r="C481" s="16">
        <v>20200608</v>
      </c>
      <c r="D481" s="15" t="s">
        <v>3</v>
      </c>
      <c r="E481" s="80" t="s">
        <v>1398</v>
      </c>
      <c r="F481" s="240" t="s">
        <v>371</v>
      </c>
      <c r="G481" s="80">
        <v>1508791</v>
      </c>
      <c r="H481" s="52" t="s">
        <v>61</v>
      </c>
      <c r="I481" s="80" t="s">
        <v>341</v>
      </c>
      <c r="J481" s="52" t="s">
        <v>61</v>
      </c>
      <c r="K481" s="15" t="s">
        <v>184</v>
      </c>
      <c r="L481" s="15" t="s">
        <v>150</v>
      </c>
      <c r="M481" s="15" t="s">
        <v>1265</v>
      </c>
      <c r="N481" s="80" t="s">
        <v>195</v>
      </c>
      <c r="O481" s="17" t="s">
        <v>61</v>
      </c>
      <c r="P481" s="77" t="s">
        <v>355</v>
      </c>
      <c r="Q481" s="18"/>
      <c r="R481" s="52" t="s">
        <v>61</v>
      </c>
      <c r="S481" s="15" t="s">
        <v>67</v>
      </c>
      <c r="T481" s="15"/>
      <c r="U481" s="15"/>
      <c r="V481" s="219">
        <v>512</v>
      </c>
      <c r="W481" s="84">
        <f t="shared" si="83"/>
        <v>1024</v>
      </c>
      <c r="X481" s="15">
        <f>W481</f>
        <v>1024</v>
      </c>
      <c r="Y481" s="15">
        <f>ROUNDDOWN(W481/HLOOKUP(D481,Table!$C$3:$D$4,2,0)*8,2)</f>
        <v>18.2</v>
      </c>
      <c r="Z481" s="15">
        <v>4</v>
      </c>
      <c r="AA481" s="15" t="s">
        <v>74</v>
      </c>
      <c r="AB481" s="19">
        <v>43997</v>
      </c>
      <c r="AC481" s="19">
        <v>43990</v>
      </c>
      <c r="AD481" s="99">
        <v>43997</v>
      </c>
      <c r="AE481" s="19">
        <v>43994</v>
      </c>
      <c r="AF481" s="19">
        <v>43994</v>
      </c>
      <c r="AG481" s="19" t="s">
        <v>176</v>
      </c>
      <c r="AH481" s="31">
        <v>1</v>
      </c>
      <c r="AI481" s="31">
        <v>1</v>
      </c>
      <c r="AJ481" s="31">
        <v>1</v>
      </c>
      <c r="AK481" s="19" t="s">
        <v>150</v>
      </c>
      <c r="AL481" s="15" t="s">
        <v>1724</v>
      </c>
      <c r="AM481" s="15"/>
      <c r="AN481" s="84" t="s">
        <v>1395</v>
      </c>
    </row>
    <row r="482" spans="2:40" x14ac:dyDescent="0.25">
      <c r="B482" s="133">
        <f t="shared" si="85"/>
        <v>423</v>
      </c>
      <c r="C482" s="16">
        <v>20200608</v>
      </c>
      <c r="D482" s="15" t="s">
        <v>3</v>
      </c>
      <c r="E482" s="80" t="s">
        <v>1398</v>
      </c>
      <c r="F482" s="169" t="s">
        <v>373</v>
      </c>
      <c r="G482" s="80">
        <v>1508791</v>
      </c>
      <c r="H482" s="52" t="s">
        <v>61</v>
      </c>
      <c r="I482" s="80" t="s">
        <v>292</v>
      </c>
      <c r="J482" s="52" t="s">
        <v>61</v>
      </c>
      <c r="K482" s="15" t="s">
        <v>184</v>
      </c>
      <c r="L482" s="15" t="s">
        <v>150</v>
      </c>
      <c r="M482" s="15" t="s">
        <v>1265</v>
      </c>
      <c r="N482" s="80" t="s">
        <v>195</v>
      </c>
      <c r="O482" s="17" t="s">
        <v>61</v>
      </c>
      <c r="P482" s="77" t="s">
        <v>355</v>
      </c>
      <c r="Q482" s="18"/>
      <c r="R482" s="52" t="s">
        <v>61</v>
      </c>
      <c r="S482" s="15" t="s">
        <v>142</v>
      </c>
      <c r="T482" s="15"/>
      <c r="U482" s="15"/>
      <c r="V482" s="219">
        <v>119</v>
      </c>
      <c r="W482" s="84">
        <f t="shared" si="83"/>
        <v>238</v>
      </c>
      <c r="X482" s="16">
        <f>W482</f>
        <v>238</v>
      </c>
      <c r="Y482" s="15">
        <f>ROUNDDOWN(W482/HLOOKUP(D482,Table!$C$3:$D$4,2,0)*8,2)</f>
        <v>4.2300000000000004</v>
      </c>
      <c r="Z482" s="15">
        <v>0.5</v>
      </c>
      <c r="AA482" s="15" t="s">
        <v>74</v>
      </c>
      <c r="AB482" s="19">
        <v>43997</v>
      </c>
      <c r="AC482" s="19">
        <v>43990</v>
      </c>
      <c r="AD482" s="249">
        <v>43997</v>
      </c>
      <c r="AE482" s="19">
        <v>43994</v>
      </c>
      <c r="AF482" s="19">
        <v>43994</v>
      </c>
      <c r="AG482" s="19" t="s">
        <v>176</v>
      </c>
      <c r="AH482" s="31">
        <v>1</v>
      </c>
      <c r="AI482" s="31">
        <v>1</v>
      </c>
      <c r="AJ482" s="31">
        <v>1</v>
      </c>
      <c r="AK482" s="19" t="s">
        <v>150</v>
      </c>
      <c r="AL482" s="17" t="s">
        <v>61</v>
      </c>
      <c r="AM482" s="17" t="s">
        <v>61</v>
      </c>
      <c r="AN482" s="84" t="s">
        <v>1395</v>
      </c>
    </row>
    <row r="483" spans="2:40" x14ac:dyDescent="0.25">
      <c r="B483" s="133">
        <f t="shared" si="85"/>
        <v>424</v>
      </c>
      <c r="C483" s="16">
        <v>20200608</v>
      </c>
      <c r="D483" s="15" t="s">
        <v>3</v>
      </c>
      <c r="E483" s="80" t="s">
        <v>1398</v>
      </c>
      <c r="F483" s="169" t="s">
        <v>374</v>
      </c>
      <c r="G483" s="80">
        <v>1508791</v>
      </c>
      <c r="H483" s="52" t="s">
        <v>61</v>
      </c>
      <c r="I483" s="80" t="s">
        <v>342</v>
      </c>
      <c r="J483" s="52" t="s">
        <v>61</v>
      </c>
      <c r="K483" s="15" t="s">
        <v>184</v>
      </c>
      <c r="L483" s="15" t="s">
        <v>150</v>
      </c>
      <c r="M483" s="15" t="s">
        <v>1265</v>
      </c>
      <c r="N483" s="80" t="s">
        <v>195</v>
      </c>
      <c r="O483" s="17" t="s">
        <v>61</v>
      </c>
      <c r="P483" s="77" t="s">
        <v>355</v>
      </c>
      <c r="Q483" s="18"/>
      <c r="R483" s="52" t="s">
        <v>61</v>
      </c>
      <c r="S483" s="15" t="s">
        <v>70</v>
      </c>
      <c r="T483" s="15"/>
      <c r="U483" s="15"/>
      <c r="V483" s="219">
        <v>107</v>
      </c>
      <c r="W483" s="84">
        <f t="shared" si="83"/>
        <v>214</v>
      </c>
      <c r="X483" s="15">
        <f>W483</f>
        <v>214</v>
      </c>
      <c r="Y483" s="15">
        <f>ROUNDDOWN(W483/HLOOKUP(D483,Table!$C$3:$D$4,2,0)*8,2)</f>
        <v>3.8</v>
      </c>
      <c r="Z483" s="15">
        <v>2</v>
      </c>
      <c r="AA483" s="15" t="s">
        <v>74</v>
      </c>
      <c r="AB483" s="19">
        <v>43997</v>
      </c>
      <c r="AC483" s="19">
        <v>43990</v>
      </c>
      <c r="AD483" s="249">
        <v>43997</v>
      </c>
      <c r="AE483" s="19">
        <v>43992</v>
      </c>
      <c r="AF483" s="19">
        <v>43992</v>
      </c>
      <c r="AG483" s="19" t="s">
        <v>176</v>
      </c>
      <c r="AH483" s="31">
        <v>1</v>
      </c>
      <c r="AI483" s="31">
        <v>1</v>
      </c>
      <c r="AJ483" s="31">
        <v>1</v>
      </c>
      <c r="AK483" s="19" t="s">
        <v>150</v>
      </c>
      <c r="AL483" s="15" t="s">
        <v>61</v>
      </c>
      <c r="AM483" s="15" t="s">
        <v>61</v>
      </c>
      <c r="AN483" s="84" t="s">
        <v>1395</v>
      </c>
    </row>
    <row r="484" spans="2:40" x14ac:dyDescent="0.25">
      <c r="B484" s="133">
        <f t="shared" si="85"/>
        <v>425</v>
      </c>
      <c r="C484" s="16">
        <v>20200608</v>
      </c>
      <c r="D484" s="15" t="s">
        <v>3</v>
      </c>
      <c r="E484" s="80" t="s">
        <v>1398</v>
      </c>
      <c r="F484" s="169" t="s">
        <v>376</v>
      </c>
      <c r="G484" s="80">
        <v>1508791</v>
      </c>
      <c r="H484" s="52" t="s">
        <v>61</v>
      </c>
      <c r="I484" s="80" t="s">
        <v>215</v>
      </c>
      <c r="J484" s="52" t="s">
        <v>61</v>
      </c>
      <c r="K484" s="15" t="s">
        <v>184</v>
      </c>
      <c r="L484" s="15" t="s">
        <v>150</v>
      </c>
      <c r="M484" s="15" t="s">
        <v>1265</v>
      </c>
      <c r="N484" s="80" t="s">
        <v>195</v>
      </c>
      <c r="O484" s="17" t="s">
        <v>61</v>
      </c>
      <c r="P484" s="77" t="s">
        <v>355</v>
      </c>
      <c r="Q484" s="18"/>
      <c r="R484" s="52" t="s">
        <v>61</v>
      </c>
      <c r="S484" s="15" t="s">
        <v>70</v>
      </c>
      <c r="T484" s="15"/>
      <c r="U484" s="15"/>
      <c r="V484" s="219">
        <v>90</v>
      </c>
      <c r="W484" s="84">
        <f t="shared" si="83"/>
        <v>180</v>
      </c>
      <c r="X484" s="15">
        <f>W484</f>
        <v>180</v>
      </c>
      <c r="Y484" s="15">
        <f>ROUNDDOWN(W484/HLOOKUP(D484,Table!$C$3:$D$4,2,0)*8,2)</f>
        <v>3.2</v>
      </c>
      <c r="Z484" s="15">
        <v>1</v>
      </c>
      <c r="AA484" s="15" t="s">
        <v>74</v>
      </c>
      <c r="AB484" s="19">
        <v>43997</v>
      </c>
      <c r="AC484" s="19">
        <v>43990</v>
      </c>
      <c r="AD484" s="249">
        <v>43997</v>
      </c>
      <c r="AE484" s="19">
        <v>43992</v>
      </c>
      <c r="AF484" s="19">
        <v>43992</v>
      </c>
      <c r="AG484" s="19" t="s">
        <v>176</v>
      </c>
      <c r="AH484" s="31">
        <v>1</v>
      </c>
      <c r="AI484" s="31">
        <v>1</v>
      </c>
      <c r="AJ484" s="31">
        <v>1</v>
      </c>
      <c r="AK484" s="19" t="s">
        <v>150</v>
      </c>
      <c r="AL484" s="15" t="s">
        <v>61</v>
      </c>
      <c r="AM484" s="15" t="s">
        <v>61</v>
      </c>
      <c r="AN484" s="84" t="s">
        <v>1395</v>
      </c>
    </row>
    <row r="485" spans="2:40" x14ac:dyDescent="0.25">
      <c r="B485" s="133">
        <f t="shared" si="85"/>
        <v>426</v>
      </c>
      <c r="C485" s="16">
        <v>20200608</v>
      </c>
      <c r="D485" s="15" t="s">
        <v>3</v>
      </c>
      <c r="E485" s="80" t="s">
        <v>1398</v>
      </c>
      <c r="F485" s="169" t="s">
        <v>365</v>
      </c>
      <c r="G485" s="80">
        <v>1508791</v>
      </c>
      <c r="H485" s="52" t="s">
        <v>61</v>
      </c>
      <c r="I485" s="80" t="s">
        <v>336</v>
      </c>
      <c r="J485" s="52" t="s">
        <v>61</v>
      </c>
      <c r="K485" s="15" t="s">
        <v>184</v>
      </c>
      <c r="L485" s="15" t="s">
        <v>150</v>
      </c>
      <c r="M485" s="15" t="s">
        <v>1265</v>
      </c>
      <c r="N485" s="80" t="s">
        <v>195</v>
      </c>
      <c r="O485" s="17" t="s">
        <v>61</v>
      </c>
      <c r="P485" s="77" t="s">
        <v>355</v>
      </c>
      <c r="Q485" s="18"/>
      <c r="R485" s="52" t="s">
        <v>61</v>
      </c>
      <c r="S485" s="15" t="s">
        <v>142</v>
      </c>
      <c r="T485" s="15"/>
      <c r="U485" s="15"/>
      <c r="V485" s="219">
        <v>31</v>
      </c>
      <c r="W485" s="84">
        <f t="shared" si="83"/>
        <v>62</v>
      </c>
      <c r="X485" s="16">
        <v>62</v>
      </c>
      <c r="Y485" s="15">
        <f>ROUNDDOWN(W485/HLOOKUP(D485,Table!$C$3:$D$4,2,0)*8,2)</f>
        <v>1.1000000000000001</v>
      </c>
      <c r="Z485" s="15">
        <v>0.5</v>
      </c>
      <c r="AA485" s="15" t="s">
        <v>74</v>
      </c>
      <c r="AB485" s="19">
        <v>43997</v>
      </c>
      <c r="AC485" s="19">
        <v>43990</v>
      </c>
      <c r="AD485" s="249">
        <v>43997</v>
      </c>
      <c r="AE485" s="19">
        <v>43991</v>
      </c>
      <c r="AF485" s="19">
        <v>43991</v>
      </c>
      <c r="AG485" s="19" t="s">
        <v>176</v>
      </c>
      <c r="AH485" s="31">
        <v>1</v>
      </c>
      <c r="AI485" s="31">
        <v>1</v>
      </c>
      <c r="AJ485" s="31">
        <v>1</v>
      </c>
      <c r="AK485" s="19" t="s">
        <v>150</v>
      </c>
      <c r="AL485" s="17" t="s">
        <v>61</v>
      </c>
      <c r="AM485" s="17" t="s">
        <v>61</v>
      </c>
      <c r="AN485" s="84" t="s">
        <v>1395</v>
      </c>
    </row>
    <row r="486" spans="2:40" x14ac:dyDescent="0.25">
      <c r="B486" s="133">
        <f t="shared" si="85"/>
        <v>427</v>
      </c>
      <c r="C486" s="16">
        <v>20200608</v>
      </c>
      <c r="D486" s="15" t="s">
        <v>3</v>
      </c>
      <c r="E486" s="80" t="s">
        <v>1398</v>
      </c>
      <c r="F486" s="169" t="s">
        <v>1472</v>
      </c>
      <c r="G486" s="80">
        <v>1508791</v>
      </c>
      <c r="H486" s="52" t="s">
        <v>61</v>
      </c>
      <c r="I486" s="80" t="s">
        <v>622</v>
      </c>
      <c r="J486" s="52" t="s">
        <v>61</v>
      </c>
      <c r="K486" s="15" t="s">
        <v>184</v>
      </c>
      <c r="L486" s="15" t="s">
        <v>150</v>
      </c>
      <c r="M486" s="15" t="s">
        <v>1265</v>
      </c>
      <c r="N486" s="80" t="s">
        <v>195</v>
      </c>
      <c r="O486" s="17" t="s">
        <v>61</v>
      </c>
      <c r="P486" s="77" t="s">
        <v>355</v>
      </c>
      <c r="Q486" s="18"/>
      <c r="R486" s="52" t="s">
        <v>61</v>
      </c>
      <c r="S486" s="15" t="s">
        <v>142</v>
      </c>
      <c r="T486" s="15"/>
      <c r="U486" s="15"/>
      <c r="V486" s="219">
        <v>51</v>
      </c>
      <c r="W486" s="84">
        <f t="shared" si="83"/>
        <v>102</v>
      </c>
      <c r="X486" s="15">
        <v>102</v>
      </c>
      <c r="Y486" s="15">
        <f>ROUNDDOWN(W486/HLOOKUP(D486,Table!$C$3:$D$4,2,0)*8,2)</f>
        <v>1.81</v>
      </c>
      <c r="Z486" s="15">
        <v>1</v>
      </c>
      <c r="AA486" s="15" t="s">
        <v>74</v>
      </c>
      <c r="AB486" s="19">
        <v>43997</v>
      </c>
      <c r="AC486" s="19">
        <v>43990</v>
      </c>
      <c r="AD486" s="249">
        <v>43997</v>
      </c>
      <c r="AE486" s="19">
        <v>43991</v>
      </c>
      <c r="AF486" s="19">
        <v>43991</v>
      </c>
      <c r="AG486" s="19" t="s">
        <v>176</v>
      </c>
      <c r="AH486" s="31">
        <v>1</v>
      </c>
      <c r="AI486" s="31">
        <v>1</v>
      </c>
      <c r="AJ486" s="31">
        <v>1</v>
      </c>
      <c r="AK486" s="19" t="s">
        <v>150</v>
      </c>
      <c r="AL486" s="17" t="s">
        <v>61</v>
      </c>
      <c r="AM486" s="17" t="s">
        <v>61</v>
      </c>
      <c r="AN486" s="84" t="s">
        <v>1395</v>
      </c>
    </row>
    <row r="487" spans="2:40" x14ac:dyDescent="0.25">
      <c r="B487" s="133">
        <f t="shared" si="85"/>
        <v>428</v>
      </c>
      <c r="C487" s="16">
        <v>20200608</v>
      </c>
      <c r="D487" s="15" t="s">
        <v>3</v>
      </c>
      <c r="E487" s="80" t="s">
        <v>1398</v>
      </c>
      <c r="F487" s="169" t="s">
        <v>1474</v>
      </c>
      <c r="G487" s="80">
        <v>1508791</v>
      </c>
      <c r="H487" s="52" t="s">
        <v>61</v>
      </c>
      <c r="I487" s="80" t="s">
        <v>226</v>
      </c>
      <c r="J487" s="52" t="s">
        <v>61</v>
      </c>
      <c r="K487" s="15" t="s">
        <v>184</v>
      </c>
      <c r="L487" s="15" t="s">
        <v>150</v>
      </c>
      <c r="M487" s="15" t="s">
        <v>1265</v>
      </c>
      <c r="N487" s="80" t="s">
        <v>195</v>
      </c>
      <c r="O487" s="17" t="s">
        <v>61</v>
      </c>
      <c r="P487" s="77" t="s">
        <v>355</v>
      </c>
      <c r="Q487" s="18"/>
      <c r="R487" s="52" t="s">
        <v>61</v>
      </c>
      <c r="S487" s="15" t="s">
        <v>69</v>
      </c>
      <c r="T487" s="15"/>
      <c r="U487" s="15"/>
      <c r="V487" s="219">
        <v>67</v>
      </c>
      <c r="W487" s="84">
        <f>V487*2*2</f>
        <v>268</v>
      </c>
      <c r="X487" s="15">
        <f>W487</f>
        <v>268</v>
      </c>
      <c r="Y487" s="15">
        <f>ROUNDDOWN(W487/HLOOKUP(D487,Table!$C$3:$D$4,2,0)*8,2)</f>
        <v>4.76</v>
      </c>
      <c r="Z487" s="15">
        <v>4</v>
      </c>
      <c r="AA487" s="15" t="s">
        <v>74</v>
      </c>
      <c r="AB487" s="19">
        <v>43997</v>
      </c>
      <c r="AC487" s="19">
        <v>43990</v>
      </c>
      <c r="AD487" s="249">
        <v>43997</v>
      </c>
      <c r="AE487" s="19">
        <v>43991</v>
      </c>
      <c r="AF487" s="19">
        <v>43991</v>
      </c>
      <c r="AG487" s="19" t="s">
        <v>176</v>
      </c>
      <c r="AH487" s="31">
        <v>1</v>
      </c>
      <c r="AI487" s="31">
        <v>1</v>
      </c>
      <c r="AJ487" s="31">
        <v>1</v>
      </c>
      <c r="AK487" s="19" t="s">
        <v>150</v>
      </c>
      <c r="AL487" s="17"/>
      <c r="AM487" s="15"/>
      <c r="AN487" s="84" t="s">
        <v>1495</v>
      </c>
    </row>
    <row r="488" spans="2:40" x14ac:dyDescent="0.25">
      <c r="B488" s="133">
        <f t="shared" si="85"/>
        <v>429</v>
      </c>
      <c r="C488" s="16">
        <v>20200608</v>
      </c>
      <c r="D488" s="15" t="s">
        <v>3</v>
      </c>
      <c r="E488" s="80" t="s">
        <v>1398</v>
      </c>
      <c r="F488" s="199" t="s">
        <v>1491</v>
      </c>
      <c r="G488" s="80">
        <v>1508791</v>
      </c>
      <c r="H488" s="52" t="s">
        <v>61</v>
      </c>
      <c r="I488" s="80" t="s">
        <v>630</v>
      </c>
      <c r="J488" s="52" t="s">
        <v>61</v>
      </c>
      <c r="K488" s="15" t="s">
        <v>184</v>
      </c>
      <c r="L488" s="15" t="s">
        <v>150</v>
      </c>
      <c r="M488" s="15" t="s">
        <v>1265</v>
      </c>
      <c r="N488" s="80" t="s">
        <v>195</v>
      </c>
      <c r="O488" s="17" t="s">
        <v>61</v>
      </c>
      <c r="P488" s="77" t="s">
        <v>355</v>
      </c>
      <c r="Q488" s="18"/>
      <c r="R488" s="52" t="s">
        <v>61</v>
      </c>
      <c r="S488" s="15" t="s">
        <v>69</v>
      </c>
      <c r="T488" s="15"/>
      <c r="U488" s="15"/>
      <c r="V488" s="219">
        <v>6</v>
      </c>
      <c r="W488" s="84">
        <f>V488*2</f>
        <v>12</v>
      </c>
      <c r="X488" s="15">
        <f>W488</f>
        <v>12</v>
      </c>
      <c r="Y488" s="15">
        <f>ROUNDDOWN(W488/HLOOKUP(D488,Table!$C$3:$D$4,2,0)*8,2)</f>
        <v>0.21</v>
      </c>
      <c r="Z488" s="15">
        <v>0.1</v>
      </c>
      <c r="AA488" s="15" t="s">
        <v>74</v>
      </c>
      <c r="AB488" s="19">
        <v>43997</v>
      </c>
      <c r="AC488" s="19">
        <v>43990</v>
      </c>
      <c r="AD488" s="249">
        <v>43997</v>
      </c>
      <c r="AE488" s="19">
        <v>43992</v>
      </c>
      <c r="AF488" s="19">
        <v>43992</v>
      </c>
      <c r="AG488" s="19" t="s">
        <v>176</v>
      </c>
      <c r="AH488" s="31" t="s">
        <v>61</v>
      </c>
      <c r="AI488" s="31" t="s">
        <v>61</v>
      </c>
      <c r="AJ488" s="31" t="s">
        <v>61</v>
      </c>
      <c r="AK488" s="19" t="s">
        <v>150</v>
      </c>
      <c r="AL488" s="17" t="s">
        <v>656</v>
      </c>
      <c r="AM488" s="15"/>
      <c r="AN488" s="84" t="s">
        <v>1395</v>
      </c>
    </row>
    <row r="489" spans="2:40" x14ac:dyDescent="0.25">
      <c r="B489" s="133">
        <f t="shared" si="85"/>
        <v>430</v>
      </c>
      <c r="C489" s="16">
        <v>20200608</v>
      </c>
      <c r="D489" s="15" t="s">
        <v>3</v>
      </c>
      <c r="E489" s="80" t="s">
        <v>1398</v>
      </c>
      <c r="F489" s="169" t="s">
        <v>378</v>
      </c>
      <c r="G489" s="80">
        <v>1508791</v>
      </c>
      <c r="H489" s="52" t="s">
        <v>61</v>
      </c>
      <c r="I489" s="80" t="s">
        <v>207</v>
      </c>
      <c r="J489" s="52" t="s">
        <v>61</v>
      </c>
      <c r="K489" s="15" t="s">
        <v>184</v>
      </c>
      <c r="L489" s="15" t="s">
        <v>150</v>
      </c>
      <c r="M489" s="15" t="s">
        <v>1265</v>
      </c>
      <c r="N489" s="80" t="s">
        <v>195</v>
      </c>
      <c r="O489" s="17" t="s">
        <v>61</v>
      </c>
      <c r="P489" s="77" t="s">
        <v>355</v>
      </c>
      <c r="Q489" s="18"/>
      <c r="R489" s="52" t="s">
        <v>61</v>
      </c>
      <c r="S489" s="15" t="s">
        <v>142</v>
      </c>
      <c r="T489" s="15"/>
      <c r="U489" s="15"/>
      <c r="V489" s="219">
        <v>178</v>
      </c>
      <c r="W489" s="84">
        <f>V489*2</f>
        <v>356</v>
      </c>
      <c r="X489" s="15">
        <v>356</v>
      </c>
      <c r="Y489" s="15">
        <f>ROUNDDOWN(W489/HLOOKUP(D489,Table!$C$3:$D$4,2,0)*8,2)</f>
        <v>6.32</v>
      </c>
      <c r="Z489" s="15">
        <v>2</v>
      </c>
      <c r="AA489" s="15" t="s">
        <v>74</v>
      </c>
      <c r="AB489" s="19">
        <v>43997</v>
      </c>
      <c r="AC489" s="19">
        <v>43990</v>
      </c>
      <c r="AD489" s="249">
        <v>43997</v>
      </c>
      <c r="AE489" s="19">
        <v>43991</v>
      </c>
      <c r="AF489" s="19">
        <v>43991</v>
      </c>
      <c r="AG489" s="19" t="s">
        <v>176</v>
      </c>
      <c r="AH489" s="31">
        <v>1</v>
      </c>
      <c r="AI489" s="31">
        <v>1</v>
      </c>
      <c r="AJ489" s="31">
        <v>1</v>
      </c>
      <c r="AK489" s="19" t="s">
        <v>150</v>
      </c>
      <c r="AL489" s="17" t="s">
        <v>61</v>
      </c>
      <c r="AM489" s="17" t="s">
        <v>61</v>
      </c>
      <c r="AN489" s="84" t="s">
        <v>1395</v>
      </c>
    </row>
    <row r="490" spans="2:40" x14ac:dyDescent="0.25">
      <c r="B490" s="133">
        <f t="shared" si="85"/>
        <v>431</v>
      </c>
      <c r="C490" s="16">
        <v>20200608</v>
      </c>
      <c r="D490" s="15" t="s">
        <v>3</v>
      </c>
      <c r="E490" s="80" t="s">
        <v>1398</v>
      </c>
      <c r="F490" s="169" t="s">
        <v>372</v>
      </c>
      <c r="G490" s="80">
        <v>1508791</v>
      </c>
      <c r="H490" s="52" t="s">
        <v>61</v>
      </c>
      <c r="I490" s="80" t="s">
        <v>206</v>
      </c>
      <c r="J490" s="52" t="s">
        <v>61</v>
      </c>
      <c r="K490" s="15" t="s">
        <v>184</v>
      </c>
      <c r="L490" s="15" t="s">
        <v>150</v>
      </c>
      <c r="M490" s="15" t="s">
        <v>1265</v>
      </c>
      <c r="N490" s="80" t="s">
        <v>195</v>
      </c>
      <c r="O490" s="17" t="s">
        <v>61</v>
      </c>
      <c r="P490" s="77" t="s">
        <v>355</v>
      </c>
      <c r="Q490" s="18"/>
      <c r="R490" s="52" t="s">
        <v>61</v>
      </c>
      <c r="S490" s="15" t="s">
        <v>69</v>
      </c>
      <c r="T490" s="15"/>
      <c r="U490" s="15"/>
      <c r="V490" s="219">
        <v>212</v>
      </c>
      <c r="W490" s="84">
        <f t="shared" ref="W490" si="89">V490*2</f>
        <v>424</v>
      </c>
      <c r="X490" s="15">
        <f t="shared" ref="X490:X502" si="90">W490</f>
        <v>424</v>
      </c>
      <c r="Y490" s="15">
        <f>ROUNDDOWN(W490/HLOOKUP(D490,Table!$C$3:$D$4,2,0)*8,2)</f>
        <v>7.53</v>
      </c>
      <c r="Z490" s="15">
        <v>7</v>
      </c>
      <c r="AA490" s="15" t="s">
        <v>74</v>
      </c>
      <c r="AB490" s="19">
        <v>43997</v>
      </c>
      <c r="AC490" s="19">
        <v>43990</v>
      </c>
      <c r="AD490" s="249">
        <v>43997</v>
      </c>
      <c r="AE490" s="19">
        <v>43993</v>
      </c>
      <c r="AF490" s="19">
        <v>43993</v>
      </c>
      <c r="AG490" s="19" t="s">
        <v>176</v>
      </c>
      <c r="AH490" s="31">
        <v>1</v>
      </c>
      <c r="AI490" s="31">
        <v>1</v>
      </c>
      <c r="AJ490" s="31">
        <v>1</v>
      </c>
      <c r="AK490" s="19" t="s">
        <v>150</v>
      </c>
      <c r="AL490" s="15"/>
      <c r="AM490" s="15"/>
      <c r="AN490" s="84" t="s">
        <v>1395</v>
      </c>
    </row>
    <row r="491" spans="2:40" x14ac:dyDescent="0.25">
      <c r="B491" s="41">
        <f t="shared" si="85"/>
        <v>432</v>
      </c>
      <c r="C491" s="16">
        <v>20200608</v>
      </c>
      <c r="D491" s="15" t="s">
        <v>3</v>
      </c>
      <c r="E491" s="80" t="s">
        <v>1401</v>
      </c>
      <c r="F491" s="169" t="s">
        <v>1475</v>
      </c>
      <c r="G491" s="80">
        <v>1509577</v>
      </c>
      <c r="H491" s="52" t="s">
        <v>61</v>
      </c>
      <c r="I491" s="80" t="s">
        <v>218</v>
      </c>
      <c r="J491" s="52" t="s">
        <v>61</v>
      </c>
      <c r="K491" s="15" t="s">
        <v>146</v>
      </c>
      <c r="L491" s="80" t="s">
        <v>453</v>
      </c>
      <c r="M491" s="80" t="s">
        <v>1412</v>
      </c>
      <c r="N491" s="80" t="s">
        <v>228</v>
      </c>
      <c r="O491" s="17" t="s">
        <v>61</v>
      </c>
      <c r="P491" s="17" t="s">
        <v>1416</v>
      </c>
      <c r="Q491" s="18"/>
      <c r="R491" s="52" t="s">
        <v>61</v>
      </c>
      <c r="S491" s="15" t="s">
        <v>67</v>
      </c>
      <c r="T491" s="15"/>
      <c r="U491" s="15"/>
      <c r="V491" s="80">
        <v>134</v>
      </c>
      <c r="W491" s="15">
        <f>V491-V491+146</f>
        <v>146</v>
      </c>
      <c r="X491" s="15">
        <f t="shared" si="90"/>
        <v>146</v>
      </c>
      <c r="Y491" s="15">
        <f>ROUNDDOWN(W491/HLOOKUP(D491,Table!$C$3:$D$4,2,0)*8,2)</f>
        <v>2.59</v>
      </c>
      <c r="Z491" s="15">
        <v>1</v>
      </c>
      <c r="AA491" s="15" t="s">
        <v>74</v>
      </c>
      <c r="AB491" s="19">
        <v>43993</v>
      </c>
      <c r="AC491" s="19">
        <v>43991</v>
      </c>
      <c r="AD491" s="99">
        <v>43993</v>
      </c>
      <c r="AE491" s="19">
        <v>43992</v>
      </c>
      <c r="AF491" s="19">
        <v>43992</v>
      </c>
      <c r="AG491" s="19" t="s">
        <v>176</v>
      </c>
      <c r="AH491" s="31">
        <v>1</v>
      </c>
      <c r="AI491" s="31">
        <v>1</v>
      </c>
      <c r="AJ491" s="31">
        <v>1</v>
      </c>
      <c r="AK491" s="19" t="s">
        <v>150</v>
      </c>
      <c r="AL491" s="15"/>
      <c r="AM491" s="15"/>
      <c r="AN491" s="15"/>
    </row>
    <row r="492" spans="2:40" x14ac:dyDescent="0.25">
      <c r="B492" s="41">
        <f t="shared" si="85"/>
        <v>433</v>
      </c>
      <c r="C492" s="16">
        <v>20200608</v>
      </c>
      <c r="D492" s="15" t="s">
        <v>3</v>
      </c>
      <c r="E492" s="80" t="s">
        <v>1401</v>
      </c>
      <c r="F492" s="169" t="s">
        <v>1476</v>
      </c>
      <c r="G492" s="80">
        <v>1509577</v>
      </c>
      <c r="H492" s="52" t="s">
        <v>61</v>
      </c>
      <c r="I492" s="80" t="s">
        <v>219</v>
      </c>
      <c r="J492" s="52" t="s">
        <v>61</v>
      </c>
      <c r="K492" s="15" t="s">
        <v>146</v>
      </c>
      <c r="L492" s="15" t="s">
        <v>453</v>
      </c>
      <c r="M492" s="80" t="s">
        <v>1412</v>
      </c>
      <c r="N492" s="15" t="s">
        <v>228</v>
      </c>
      <c r="O492" s="17" t="s">
        <v>61</v>
      </c>
      <c r="P492" s="17" t="s">
        <v>1416</v>
      </c>
      <c r="Q492" s="18"/>
      <c r="R492" s="52" t="s">
        <v>61</v>
      </c>
      <c r="S492" s="15" t="s">
        <v>67</v>
      </c>
      <c r="T492" s="15"/>
      <c r="U492" s="15"/>
      <c r="V492" s="80">
        <v>200</v>
      </c>
      <c r="W492" s="15">
        <f>V492-V492+211</f>
        <v>211</v>
      </c>
      <c r="X492" s="15">
        <f t="shared" si="90"/>
        <v>211</v>
      </c>
      <c r="Y492" s="15">
        <f>ROUNDDOWN(W492/HLOOKUP(D492,Table!$C$3:$D$4,2,0)*8,2)</f>
        <v>3.75</v>
      </c>
      <c r="Z492" s="15">
        <v>3</v>
      </c>
      <c r="AA492" s="15" t="s">
        <v>74</v>
      </c>
      <c r="AB492" s="19">
        <v>43993</v>
      </c>
      <c r="AC492" s="19">
        <v>43991</v>
      </c>
      <c r="AD492" s="99">
        <v>43993</v>
      </c>
      <c r="AE492" s="19">
        <v>43993</v>
      </c>
      <c r="AF492" s="19">
        <v>43993</v>
      </c>
      <c r="AG492" s="19" t="s">
        <v>176</v>
      </c>
      <c r="AH492" s="31">
        <v>1</v>
      </c>
      <c r="AI492" s="31">
        <v>1</v>
      </c>
      <c r="AJ492" s="31">
        <v>1</v>
      </c>
      <c r="AK492" s="19" t="s">
        <v>150</v>
      </c>
      <c r="AL492" s="15"/>
      <c r="AM492" s="15"/>
      <c r="AN492" s="15"/>
    </row>
    <row r="493" spans="2:40" x14ac:dyDescent="0.25">
      <c r="B493" s="41">
        <f t="shared" si="85"/>
        <v>434</v>
      </c>
      <c r="C493" s="16">
        <v>20200608</v>
      </c>
      <c r="D493" s="15" t="s">
        <v>3</v>
      </c>
      <c r="E493" s="80" t="s">
        <v>1401</v>
      </c>
      <c r="F493" s="169" t="s">
        <v>1477</v>
      </c>
      <c r="G493" s="80">
        <v>1509577</v>
      </c>
      <c r="H493" s="52" t="s">
        <v>61</v>
      </c>
      <c r="I493" s="80" t="s">
        <v>156</v>
      </c>
      <c r="J493" s="52" t="s">
        <v>61</v>
      </c>
      <c r="K493" s="15" t="s">
        <v>146</v>
      </c>
      <c r="L493" s="15" t="s">
        <v>453</v>
      </c>
      <c r="M493" s="80" t="s">
        <v>1412</v>
      </c>
      <c r="N493" s="15" t="s">
        <v>228</v>
      </c>
      <c r="O493" s="17" t="s">
        <v>61</v>
      </c>
      <c r="P493" s="17" t="s">
        <v>1416</v>
      </c>
      <c r="Q493" s="18"/>
      <c r="R493" s="52" t="s">
        <v>61</v>
      </c>
      <c r="S493" s="15" t="s">
        <v>67</v>
      </c>
      <c r="T493" s="15"/>
      <c r="U493" s="15"/>
      <c r="V493" s="80">
        <v>145</v>
      </c>
      <c r="W493" s="84">
        <f>V493-V493+236</f>
        <v>236</v>
      </c>
      <c r="X493" s="15">
        <f t="shared" si="90"/>
        <v>236</v>
      </c>
      <c r="Y493" s="15">
        <f>ROUNDDOWN(W493/HLOOKUP(D493,Table!$C$3:$D$4,2,0)*8,2)</f>
        <v>4.1900000000000004</v>
      </c>
      <c r="Z493" s="15">
        <v>3</v>
      </c>
      <c r="AA493" s="15" t="s">
        <v>74</v>
      </c>
      <c r="AB493" s="19">
        <v>43993</v>
      </c>
      <c r="AC493" s="19">
        <v>43991</v>
      </c>
      <c r="AD493" s="99">
        <v>43993</v>
      </c>
      <c r="AE493" s="19">
        <v>43992</v>
      </c>
      <c r="AF493" s="19">
        <v>43992</v>
      </c>
      <c r="AG493" s="19" t="s">
        <v>176</v>
      </c>
      <c r="AH493" s="31">
        <v>1</v>
      </c>
      <c r="AI493" s="31">
        <v>1</v>
      </c>
      <c r="AJ493" s="31">
        <v>1</v>
      </c>
      <c r="AK493" s="19" t="s">
        <v>150</v>
      </c>
      <c r="AL493" s="15"/>
      <c r="AM493" s="15"/>
      <c r="AN493" s="15"/>
    </row>
    <row r="494" spans="2:40" x14ac:dyDescent="0.25">
      <c r="B494" s="41">
        <f t="shared" si="85"/>
        <v>435</v>
      </c>
      <c r="C494" s="16">
        <v>20200608</v>
      </c>
      <c r="D494" s="15" t="s">
        <v>3</v>
      </c>
      <c r="E494" s="80" t="s">
        <v>1401</v>
      </c>
      <c r="F494" s="169" t="s">
        <v>1478</v>
      </c>
      <c r="G494" s="80">
        <v>1509577</v>
      </c>
      <c r="H494" s="52" t="s">
        <v>61</v>
      </c>
      <c r="I494" s="80" t="s">
        <v>154</v>
      </c>
      <c r="J494" s="52" t="s">
        <v>61</v>
      </c>
      <c r="K494" s="15" t="s">
        <v>146</v>
      </c>
      <c r="L494" s="15" t="s">
        <v>453</v>
      </c>
      <c r="M494" s="80" t="s">
        <v>1412</v>
      </c>
      <c r="N494" s="15" t="s">
        <v>228</v>
      </c>
      <c r="O494" s="17" t="s">
        <v>61</v>
      </c>
      <c r="P494" s="17" t="s">
        <v>1416</v>
      </c>
      <c r="Q494" s="18"/>
      <c r="R494" s="52" t="s">
        <v>61</v>
      </c>
      <c r="S494" s="15" t="s">
        <v>70</v>
      </c>
      <c r="T494" s="15"/>
      <c r="U494" s="15"/>
      <c r="V494" s="80">
        <v>124</v>
      </c>
      <c r="W494" s="84">
        <v>168</v>
      </c>
      <c r="X494" s="15">
        <f t="shared" si="90"/>
        <v>168</v>
      </c>
      <c r="Y494" s="15">
        <f>ROUNDDOWN(W494/HLOOKUP(D494,Table!$C$3:$D$4,2,0)*8,2)</f>
        <v>2.98</v>
      </c>
      <c r="Z494" s="15">
        <v>2</v>
      </c>
      <c r="AA494" s="15" t="s">
        <v>74</v>
      </c>
      <c r="AB494" s="19">
        <v>43993</v>
      </c>
      <c r="AC494" s="19">
        <v>43991</v>
      </c>
      <c r="AD494" s="99">
        <v>43993</v>
      </c>
      <c r="AE494" s="19">
        <v>43992</v>
      </c>
      <c r="AF494" s="19">
        <v>43992</v>
      </c>
      <c r="AG494" s="19" t="s">
        <v>177</v>
      </c>
      <c r="AH494" s="31">
        <v>1</v>
      </c>
      <c r="AI494" s="31">
        <v>1</v>
      </c>
      <c r="AJ494" s="31">
        <v>0.5</v>
      </c>
      <c r="AK494" s="19" t="s">
        <v>139</v>
      </c>
      <c r="AL494" s="17" t="s">
        <v>1509</v>
      </c>
      <c r="AM494" s="15" t="s">
        <v>61</v>
      </c>
      <c r="AN494" s="77" t="s">
        <v>1510</v>
      </c>
    </row>
    <row r="495" spans="2:40" x14ac:dyDescent="0.25">
      <c r="B495" s="41">
        <f t="shared" si="85"/>
        <v>436</v>
      </c>
      <c r="C495" s="16">
        <v>20200608</v>
      </c>
      <c r="D495" s="15" t="s">
        <v>3</v>
      </c>
      <c r="E495" s="80" t="s">
        <v>1401</v>
      </c>
      <c r="F495" s="169" t="s">
        <v>1479</v>
      </c>
      <c r="G495" s="80">
        <v>1509577</v>
      </c>
      <c r="H495" s="52" t="s">
        <v>61</v>
      </c>
      <c r="I495" s="80" t="s">
        <v>1156</v>
      </c>
      <c r="J495" s="52" t="s">
        <v>61</v>
      </c>
      <c r="K495" s="15" t="s">
        <v>146</v>
      </c>
      <c r="L495" s="15" t="s">
        <v>453</v>
      </c>
      <c r="M495" s="80" t="s">
        <v>1412</v>
      </c>
      <c r="N495" s="15" t="s">
        <v>228</v>
      </c>
      <c r="O495" s="17" t="s">
        <v>61</v>
      </c>
      <c r="P495" s="17" t="s">
        <v>1416</v>
      </c>
      <c r="Q495" s="18"/>
      <c r="R495" s="52" t="s">
        <v>61</v>
      </c>
      <c r="S495" s="15" t="s">
        <v>70</v>
      </c>
      <c r="T495" s="15"/>
      <c r="U495" s="15"/>
      <c r="V495" s="80">
        <v>154</v>
      </c>
      <c r="W495" s="84">
        <v>475</v>
      </c>
      <c r="X495" s="15">
        <f t="shared" si="90"/>
        <v>475</v>
      </c>
      <c r="Y495" s="15">
        <f>ROUNDDOWN(W495/HLOOKUP(D495,Table!$C$3:$D$4,2,0)*8,2)</f>
        <v>8.44</v>
      </c>
      <c r="Z495" s="15">
        <v>2</v>
      </c>
      <c r="AA495" s="15" t="s">
        <v>74</v>
      </c>
      <c r="AB495" s="19">
        <v>43993</v>
      </c>
      <c r="AC495" s="19">
        <v>43991</v>
      </c>
      <c r="AD495" s="99">
        <v>43993</v>
      </c>
      <c r="AE495" s="19">
        <v>43993</v>
      </c>
      <c r="AF495" s="19">
        <v>43993</v>
      </c>
      <c r="AG495" s="19" t="s">
        <v>177</v>
      </c>
      <c r="AH495" s="31">
        <v>0.98</v>
      </c>
      <c r="AI495" s="31">
        <v>0.96</v>
      </c>
      <c r="AJ495" s="31">
        <v>1</v>
      </c>
      <c r="AK495" s="19" t="s">
        <v>139</v>
      </c>
      <c r="AL495" s="17" t="s">
        <v>1511</v>
      </c>
      <c r="AM495" s="15" t="s">
        <v>61</v>
      </c>
      <c r="AN495" s="17" t="s">
        <v>1512</v>
      </c>
    </row>
    <row r="496" spans="2:40" x14ac:dyDescent="0.25">
      <c r="B496" s="41">
        <f t="shared" si="85"/>
        <v>437</v>
      </c>
      <c r="C496" s="16">
        <v>20200608</v>
      </c>
      <c r="D496" s="15" t="s">
        <v>3</v>
      </c>
      <c r="E496" s="80" t="s">
        <v>1401</v>
      </c>
      <c r="F496" s="169" t="s">
        <v>1480</v>
      </c>
      <c r="G496" s="80">
        <v>1509577</v>
      </c>
      <c r="H496" s="52" t="s">
        <v>61</v>
      </c>
      <c r="I496" s="80" t="s">
        <v>155</v>
      </c>
      <c r="J496" s="52" t="s">
        <v>61</v>
      </c>
      <c r="K496" s="15" t="s">
        <v>146</v>
      </c>
      <c r="L496" s="15" t="s">
        <v>453</v>
      </c>
      <c r="M496" s="80" t="s">
        <v>1412</v>
      </c>
      <c r="N496" s="15" t="s">
        <v>228</v>
      </c>
      <c r="O496" s="17" t="s">
        <v>61</v>
      </c>
      <c r="P496" s="17" t="s">
        <v>1416</v>
      </c>
      <c r="Q496" s="18"/>
      <c r="R496" s="52" t="s">
        <v>61</v>
      </c>
      <c r="S496" s="15" t="s">
        <v>70</v>
      </c>
      <c r="T496" s="15"/>
      <c r="U496" s="15"/>
      <c r="V496" s="80">
        <v>71</v>
      </c>
      <c r="W496" s="84">
        <v>209</v>
      </c>
      <c r="X496" s="15">
        <f t="shared" si="90"/>
        <v>209</v>
      </c>
      <c r="Y496" s="15">
        <f>ROUNDDOWN(W496/HLOOKUP(D496,Table!$C$3:$D$4,2,0)*8,2)</f>
        <v>3.71</v>
      </c>
      <c r="Z496" s="15">
        <v>2</v>
      </c>
      <c r="AA496" s="15" t="s">
        <v>74</v>
      </c>
      <c r="AB496" s="19">
        <v>43993</v>
      </c>
      <c r="AC496" s="19">
        <v>43991</v>
      </c>
      <c r="AD496" s="99">
        <v>43993</v>
      </c>
      <c r="AE496" s="19">
        <v>43993</v>
      </c>
      <c r="AF496" s="19">
        <v>43993</v>
      </c>
      <c r="AG496" s="19" t="s">
        <v>176</v>
      </c>
      <c r="AH496" s="31">
        <v>1</v>
      </c>
      <c r="AI496" s="31">
        <v>1</v>
      </c>
      <c r="AJ496" s="31">
        <v>1</v>
      </c>
      <c r="AK496" s="19" t="s">
        <v>150</v>
      </c>
      <c r="AL496" s="15" t="s">
        <v>61</v>
      </c>
      <c r="AM496" s="15" t="s">
        <v>61</v>
      </c>
      <c r="AN496" s="15" t="s">
        <v>61</v>
      </c>
    </row>
    <row r="497" spans="2:40" x14ac:dyDescent="0.25">
      <c r="B497" s="41">
        <f t="shared" si="85"/>
        <v>438</v>
      </c>
      <c r="C497" s="16">
        <v>20200608</v>
      </c>
      <c r="D497" s="15" t="s">
        <v>3</v>
      </c>
      <c r="E497" s="80" t="s">
        <v>1401</v>
      </c>
      <c r="F497" s="169" t="s">
        <v>1481</v>
      </c>
      <c r="G497" s="80">
        <v>1509577</v>
      </c>
      <c r="H497" s="52" t="s">
        <v>61</v>
      </c>
      <c r="I497" s="80" t="s">
        <v>1157</v>
      </c>
      <c r="J497" s="52" t="s">
        <v>61</v>
      </c>
      <c r="K497" s="15" t="s">
        <v>146</v>
      </c>
      <c r="L497" s="15" t="s">
        <v>453</v>
      </c>
      <c r="M497" s="80" t="s">
        <v>1412</v>
      </c>
      <c r="N497" s="15" t="s">
        <v>228</v>
      </c>
      <c r="O497" s="17" t="s">
        <v>61</v>
      </c>
      <c r="P497" s="17" t="s">
        <v>1416</v>
      </c>
      <c r="Q497" s="18"/>
      <c r="R497" s="52" t="s">
        <v>61</v>
      </c>
      <c r="S497" s="15" t="s">
        <v>70</v>
      </c>
      <c r="T497" s="15"/>
      <c r="U497" s="15"/>
      <c r="V497" s="80">
        <v>135</v>
      </c>
      <c r="W497" s="84">
        <v>358</v>
      </c>
      <c r="X497" s="15">
        <f t="shared" si="90"/>
        <v>358</v>
      </c>
      <c r="Y497" s="15">
        <f>ROUNDDOWN(W497/HLOOKUP(D497,Table!$C$3:$D$4,2,0)*8,2)</f>
        <v>6.36</v>
      </c>
      <c r="Z497" s="15">
        <v>2</v>
      </c>
      <c r="AA497" s="15" t="s">
        <v>74</v>
      </c>
      <c r="AB497" s="19">
        <v>43993</v>
      </c>
      <c r="AC497" s="19">
        <v>43991</v>
      </c>
      <c r="AD497" s="99">
        <v>43993</v>
      </c>
      <c r="AE497" s="19">
        <v>43993</v>
      </c>
      <c r="AF497" s="19">
        <v>43993</v>
      </c>
      <c r="AG497" s="19" t="s">
        <v>176</v>
      </c>
      <c r="AH497" s="31">
        <v>1</v>
      </c>
      <c r="AI497" s="31">
        <v>1</v>
      </c>
      <c r="AJ497" s="31">
        <v>1</v>
      </c>
      <c r="AK497" s="19" t="s">
        <v>150</v>
      </c>
      <c r="AL497" s="15" t="s">
        <v>61</v>
      </c>
      <c r="AM497" s="15" t="s">
        <v>61</v>
      </c>
      <c r="AN497" s="15" t="s">
        <v>61</v>
      </c>
    </row>
    <row r="498" spans="2:40" x14ac:dyDescent="0.25">
      <c r="B498" s="41">
        <f t="shared" si="85"/>
        <v>439</v>
      </c>
      <c r="C498" s="16">
        <v>20200608</v>
      </c>
      <c r="D498" s="15" t="s">
        <v>3</v>
      </c>
      <c r="E498" s="80" t="s">
        <v>1401</v>
      </c>
      <c r="F498" s="169" t="s">
        <v>1482</v>
      </c>
      <c r="G498" s="80">
        <v>1509577</v>
      </c>
      <c r="H498" s="52" t="s">
        <v>61</v>
      </c>
      <c r="I498" s="80" t="s">
        <v>1404</v>
      </c>
      <c r="J498" s="52" t="s">
        <v>61</v>
      </c>
      <c r="K498" s="15" t="s">
        <v>146</v>
      </c>
      <c r="L498" s="15" t="s">
        <v>453</v>
      </c>
      <c r="M498" s="80" t="s">
        <v>1412</v>
      </c>
      <c r="N498" s="15" t="s">
        <v>228</v>
      </c>
      <c r="O498" s="17" t="s">
        <v>61</v>
      </c>
      <c r="P498" s="17" t="s">
        <v>1416</v>
      </c>
      <c r="Q498" s="18"/>
      <c r="R498" s="52" t="s">
        <v>61</v>
      </c>
      <c r="S498" s="15" t="s">
        <v>142</v>
      </c>
      <c r="T498" s="15"/>
      <c r="U498" s="15"/>
      <c r="V498" s="80">
        <v>89</v>
      </c>
      <c r="W498" s="15">
        <f t="shared" ref="W498:W513" si="91">V498</f>
        <v>89</v>
      </c>
      <c r="X498" s="15">
        <f t="shared" si="90"/>
        <v>89</v>
      </c>
      <c r="Y498" s="15">
        <f>ROUNDDOWN(W498/HLOOKUP(D498,Table!$C$3:$D$4,2,0)*8,2)</f>
        <v>1.58</v>
      </c>
      <c r="Z498" s="15">
        <v>1</v>
      </c>
      <c r="AA498" s="15" t="s">
        <v>74</v>
      </c>
      <c r="AB498" s="19">
        <v>43993</v>
      </c>
      <c r="AC498" s="19">
        <v>43991</v>
      </c>
      <c r="AD498" s="99">
        <v>43993</v>
      </c>
      <c r="AE498" s="19">
        <v>43991</v>
      </c>
      <c r="AF498" s="19">
        <v>43991</v>
      </c>
      <c r="AG498" s="19" t="s">
        <v>176</v>
      </c>
      <c r="AH498" s="31">
        <v>1</v>
      </c>
      <c r="AI498" s="31">
        <v>1</v>
      </c>
      <c r="AJ498" s="31">
        <v>1</v>
      </c>
      <c r="AK498" s="19" t="s">
        <v>150</v>
      </c>
      <c r="AL498" s="17" t="s">
        <v>61</v>
      </c>
      <c r="AM498" s="17" t="s">
        <v>61</v>
      </c>
      <c r="AN498" s="17" t="s">
        <v>61</v>
      </c>
    </row>
    <row r="499" spans="2:40" x14ac:dyDescent="0.25">
      <c r="B499" s="41">
        <f t="shared" si="85"/>
        <v>440</v>
      </c>
      <c r="C499" s="16">
        <v>20200608</v>
      </c>
      <c r="D499" s="15" t="s">
        <v>3</v>
      </c>
      <c r="E499" s="80" t="s">
        <v>1401</v>
      </c>
      <c r="F499" s="169" t="s">
        <v>1483</v>
      </c>
      <c r="G499" s="80">
        <v>1509577</v>
      </c>
      <c r="H499" s="52" t="s">
        <v>61</v>
      </c>
      <c r="I499" s="80" t="s">
        <v>187</v>
      </c>
      <c r="J499" s="52" t="s">
        <v>61</v>
      </c>
      <c r="K499" s="15" t="s">
        <v>146</v>
      </c>
      <c r="L499" s="15" t="s">
        <v>453</v>
      </c>
      <c r="M499" s="80" t="s">
        <v>1412</v>
      </c>
      <c r="N499" s="15" t="s">
        <v>228</v>
      </c>
      <c r="O499" s="17" t="s">
        <v>61</v>
      </c>
      <c r="P499" s="17" t="s">
        <v>1416</v>
      </c>
      <c r="Q499" s="18"/>
      <c r="R499" s="52" t="s">
        <v>61</v>
      </c>
      <c r="S499" s="15" t="s">
        <v>142</v>
      </c>
      <c r="T499" s="15"/>
      <c r="U499" s="15"/>
      <c r="V499" s="80">
        <v>39</v>
      </c>
      <c r="W499" s="15">
        <f t="shared" si="91"/>
        <v>39</v>
      </c>
      <c r="X499" s="15">
        <f t="shared" si="90"/>
        <v>39</v>
      </c>
      <c r="Y499" s="15">
        <f>ROUNDDOWN(W499/HLOOKUP(D499,Table!$C$3:$D$4,2,0)*8,2)</f>
        <v>0.69</v>
      </c>
      <c r="Z499" s="15">
        <v>0.5</v>
      </c>
      <c r="AA499" s="15" t="s">
        <v>74</v>
      </c>
      <c r="AB499" s="19">
        <v>43993</v>
      </c>
      <c r="AC499" s="19">
        <v>43991</v>
      </c>
      <c r="AD499" s="99">
        <v>43993</v>
      </c>
      <c r="AE499" s="19">
        <v>43991</v>
      </c>
      <c r="AF499" s="19">
        <v>43991</v>
      </c>
      <c r="AG499" s="19" t="s">
        <v>177</v>
      </c>
      <c r="AH499" s="31">
        <v>0.68</v>
      </c>
      <c r="AI499" s="31">
        <v>1</v>
      </c>
      <c r="AJ499" s="31">
        <v>1</v>
      </c>
      <c r="AK499" s="19" t="s">
        <v>150</v>
      </c>
      <c r="AL499" s="77" t="s">
        <v>1436</v>
      </c>
      <c r="AM499" s="17" t="s">
        <v>61</v>
      </c>
      <c r="AN499" s="17" t="s">
        <v>647</v>
      </c>
    </row>
    <row r="500" spans="2:40" x14ac:dyDescent="0.25">
      <c r="B500" s="41">
        <f t="shared" si="85"/>
        <v>441</v>
      </c>
      <c r="C500" s="16">
        <v>20200608</v>
      </c>
      <c r="D500" s="15" t="s">
        <v>3</v>
      </c>
      <c r="E500" s="80" t="s">
        <v>1401</v>
      </c>
      <c r="F500" s="169" t="s">
        <v>1484</v>
      </c>
      <c r="G500" s="80">
        <v>1509577</v>
      </c>
      <c r="H500" s="52" t="s">
        <v>61</v>
      </c>
      <c r="I500" s="80" t="s">
        <v>185</v>
      </c>
      <c r="J500" s="52" t="s">
        <v>61</v>
      </c>
      <c r="K500" s="15" t="s">
        <v>146</v>
      </c>
      <c r="L500" s="15" t="s">
        <v>453</v>
      </c>
      <c r="M500" s="80" t="s">
        <v>1412</v>
      </c>
      <c r="N500" s="15" t="s">
        <v>228</v>
      </c>
      <c r="O500" s="17" t="s">
        <v>61</v>
      </c>
      <c r="P500" s="17" t="s">
        <v>1416</v>
      </c>
      <c r="Q500" s="18"/>
      <c r="R500" s="52" t="s">
        <v>61</v>
      </c>
      <c r="S500" s="15" t="s">
        <v>142</v>
      </c>
      <c r="T500" s="15"/>
      <c r="U500" s="15"/>
      <c r="V500" s="80">
        <v>82</v>
      </c>
      <c r="W500" s="15">
        <f t="shared" si="91"/>
        <v>82</v>
      </c>
      <c r="X500" s="15">
        <f t="shared" si="90"/>
        <v>82</v>
      </c>
      <c r="Y500" s="15">
        <f>ROUNDDOWN(W500/HLOOKUP(D500,Table!$C$3:$D$4,2,0)*8,2)</f>
        <v>1.45</v>
      </c>
      <c r="Z500" s="15">
        <v>1</v>
      </c>
      <c r="AA500" s="15" t="s">
        <v>74</v>
      </c>
      <c r="AB500" s="19">
        <v>43993</v>
      </c>
      <c r="AC500" s="19">
        <v>43991</v>
      </c>
      <c r="AD500" s="99">
        <v>43993</v>
      </c>
      <c r="AE500" s="19">
        <v>43991</v>
      </c>
      <c r="AF500" s="19">
        <v>43991</v>
      </c>
      <c r="AG500" s="19" t="s">
        <v>176</v>
      </c>
      <c r="AH500" s="31">
        <v>1</v>
      </c>
      <c r="AI500" s="31">
        <v>1</v>
      </c>
      <c r="AJ500" s="31">
        <v>1</v>
      </c>
      <c r="AK500" s="19" t="s">
        <v>150</v>
      </c>
      <c r="AL500" s="17" t="s">
        <v>61</v>
      </c>
      <c r="AM500" s="17" t="s">
        <v>61</v>
      </c>
      <c r="AN500" s="17" t="s">
        <v>61</v>
      </c>
    </row>
    <row r="501" spans="2:40" x14ac:dyDescent="0.25">
      <c r="B501" s="41">
        <f t="shared" si="85"/>
        <v>442</v>
      </c>
      <c r="C501" s="16">
        <v>20200608</v>
      </c>
      <c r="D501" s="15" t="s">
        <v>3</v>
      </c>
      <c r="E501" s="80" t="s">
        <v>1401</v>
      </c>
      <c r="F501" s="169" t="s">
        <v>1487</v>
      </c>
      <c r="G501" s="80">
        <v>1509577</v>
      </c>
      <c r="H501" s="52" t="s">
        <v>61</v>
      </c>
      <c r="I501" s="80" t="s">
        <v>186</v>
      </c>
      <c r="J501" s="52" t="s">
        <v>61</v>
      </c>
      <c r="K501" s="15" t="s">
        <v>146</v>
      </c>
      <c r="L501" s="15" t="s">
        <v>453</v>
      </c>
      <c r="M501" s="80" t="s">
        <v>1412</v>
      </c>
      <c r="N501" s="15" t="s">
        <v>228</v>
      </c>
      <c r="O501" s="17" t="s">
        <v>61</v>
      </c>
      <c r="P501" s="17" t="s">
        <v>1416</v>
      </c>
      <c r="Q501" s="18"/>
      <c r="R501" s="52" t="s">
        <v>61</v>
      </c>
      <c r="S501" s="15" t="s">
        <v>142</v>
      </c>
      <c r="T501" s="15"/>
      <c r="U501" s="15"/>
      <c r="V501" s="80">
        <v>54</v>
      </c>
      <c r="W501" s="15">
        <f t="shared" si="91"/>
        <v>54</v>
      </c>
      <c r="X501" s="15">
        <f t="shared" si="90"/>
        <v>54</v>
      </c>
      <c r="Y501" s="15">
        <f>ROUNDDOWN(W501/HLOOKUP(D501,Table!$C$3:$D$4,2,0)*8,2)</f>
        <v>0.96</v>
      </c>
      <c r="Z501" s="15">
        <v>1</v>
      </c>
      <c r="AA501" s="15" t="s">
        <v>74</v>
      </c>
      <c r="AB501" s="19">
        <v>43993</v>
      </c>
      <c r="AC501" s="19">
        <v>43991</v>
      </c>
      <c r="AD501" s="99">
        <v>43993</v>
      </c>
      <c r="AE501" s="19">
        <v>43991</v>
      </c>
      <c r="AF501" s="19">
        <v>43991</v>
      </c>
      <c r="AG501" s="19" t="s">
        <v>176</v>
      </c>
      <c r="AH501" s="31">
        <v>1</v>
      </c>
      <c r="AI501" s="31">
        <v>1</v>
      </c>
      <c r="AJ501" s="31">
        <v>1</v>
      </c>
      <c r="AK501" s="19" t="s">
        <v>150</v>
      </c>
      <c r="AL501" s="17" t="s">
        <v>61</v>
      </c>
      <c r="AM501" s="17" t="s">
        <v>61</v>
      </c>
      <c r="AN501" s="17" t="s">
        <v>61</v>
      </c>
    </row>
    <row r="502" spans="2:40" x14ac:dyDescent="0.25">
      <c r="B502" s="41">
        <f t="shared" si="85"/>
        <v>443</v>
      </c>
      <c r="C502" s="16">
        <v>20200608</v>
      </c>
      <c r="D502" s="15" t="s">
        <v>3</v>
      </c>
      <c r="E502" s="80" t="s">
        <v>1401</v>
      </c>
      <c r="F502" s="169" t="s">
        <v>1488</v>
      </c>
      <c r="G502" s="80">
        <v>1509577</v>
      </c>
      <c r="H502" s="52" t="s">
        <v>61</v>
      </c>
      <c r="I502" s="80" t="s">
        <v>1405</v>
      </c>
      <c r="J502" s="52" t="s">
        <v>61</v>
      </c>
      <c r="K502" s="15" t="s">
        <v>146</v>
      </c>
      <c r="L502" s="15" t="s">
        <v>453</v>
      </c>
      <c r="M502" s="80" t="s">
        <v>1412</v>
      </c>
      <c r="N502" s="15" t="s">
        <v>228</v>
      </c>
      <c r="O502" s="17" t="s">
        <v>61</v>
      </c>
      <c r="P502" s="17" t="s">
        <v>1416</v>
      </c>
      <c r="Q502" s="18"/>
      <c r="R502" s="52" t="s">
        <v>61</v>
      </c>
      <c r="S502" s="15" t="s">
        <v>142</v>
      </c>
      <c r="T502" s="15"/>
      <c r="U502" s="15"/>
      <c r="V502" s="80">
        <v>109</v>
      </c>
      <c r="W502" s="15">
        <f t="shared" si="91"/>
        <v>109</v>
      </c>
      <c r="X502" s="15">
        <f t="shared" si="90"/>
        <v>109</v>
      </c>
      <c r="Y502" s="15">
        <f>ROUNDDOWN(W502/HLOOKUP(D502,Table!$C$3:$D$4,2,0)*8,2)</f>
        <v>1.93</v>
      </c>
      <c r="Z502" s="15">
        <v>1</v>
      </c>
      <c r="AA502" s="15" t="s">
        <v>74</v>
      </c>
      <c r="AB502" s="19">
        <v>43993</v>
      </c>
      <c r="AC502" s="19">
        <v>43991</v>
      </c>
      <c r="AD502" s="99">
        <v>43993</v>
      </c>
      <c r="AE502" s="19">
        <v>43991</v>
      </c>
      <c r="AF502" s="19">
        <v>43991</v>
      </c>
      <c r="AG502" s="19" t="s">
        <v>176</v>
      </c>
      <c r="AH502" s="31">
        <v>1</v>
      </c>
      <c r="AI502" s="31">
        <v>1</v>
      </c>
      <c r="AJ502" s="31">
        <v>1</v>
      </c>
      <c r="AK502" s="19" t="s">
        <v>150</v>
      </c>
      <c r="AL502" s="17" t="s">
        <v>61</v>
      </c>
      <c r="AM502" s="17" t="s">
        <v>61</v>
      </c>
      <c r="AN502" s="17" t="s">
        <v>61</v>
      </c>
    </row>
    <row r="503" spans="2:40" x14ac:dyDescent="0.25">
      <c r="B503" s="41">
        <f t="shared" si="85"/>
        <v>444</v>
      </c>
      <c r="C503" s="16">
        <v>20200608</v>
      </c>
      <c r="D503" s="15" t="s">
        <v>3</v>
      </c>
      <c r="E503" s="80" t="s">
        <v>1401</v>
      </c>
      <c r="F503" s="199" t="s">
        <v>1725</v>
      </c>
      <c r="G503" s="80">
        <v>1509577</v>
      </c>
      <c r="H503" s="52" t="s">
        <v>61</v>
      </c>
      <c r="I503" s="80" t="s">
        <v>1406</v>
      </c>
      <c r="J503" s="52" t="s">
        <v>61</v>
      </c>
      <c r="K503" s="15" t="s">
        <v>146</v>
      </c>
      <c r="L503" s="15" t="s">
        <v>453</v>
      </c>
      <c r="M503" s="80" t="s">
        <v>1412</v>
      </c>
      <c r="N503" s="15" t="s">
        <v>228</v>
      </c>
      <c r="O503" s="17" t="s">
        <v>61</v>
      </c>
      <c r="P503" s="17" t="s">
        <v>1416</v>
      </c>
      <c r="Q503" s="18"/>
      <c r="R503" s="52" t="s">
        <v>61</v>
      </c>
      <c r="S503" s="16" t="s">
        <v>68</v>
      </c>
      <c r="T503" s="15"/>
      <c r="U503" s="15"/>
      <c r="V503" s="80">
        <v>200</v>
      </c>
      <c r="W503" s="15">
        <f t="shared" si="91"/>
        <v>200</v>
      </c>
      <c r="X503" s="15">
        <f>W503</f>
        <v>200</v>
      </c>
      <c r="Y503" s="15">
        <f>ROUNDDOWN(W503/HLOOKUP(D503,Table!$C$3:$D$4,2,0)*8,2)</f>
        <v>3.55</v>
      </c>
      <c r="Z503" s="15">
        <v>3</v>
      </c>
      <c r="AA503" s="15" t="s">
        <v>74</v>
      </c>
      <c r="AB503" s="19">
        <v>43997</v>
      </c>
      <c r="AC503" s="19">
        <v>43991</v>
      </c>
      <c r="AD503" s="99">
        <v>43998</v>
      </c>
      <c r="AE503" s="19">
        <v>43997</v>
      </c>
      <c r="AF503" s="19">
        <v>43997</v>
      </c>
      <c r="AG503" s="19" t="s">
        <v>176</v>
      </c>
      <c r="AH503" s="31">
        <v>1</v>
      </c>
      <c r="AI503" s="31">
        <v>1</v>
      </c>
      <c r="AJ503" s="31">
        <v>1</v>
      </c>
      <c r="AK503" s="19" t="s">
        <v>150</v>
      </c>
      <c r="AL503" s="17"/>
      <c r="AM503" s="15"/>
      <c r="AN503" s="16"/>
    </row>
    <row r="504" spans="2:40" x14ac:dyDescent="0.25">
      <c r="B504" s="41">
        <f t="shared" si="85"/>
        <v>445</v>
      </c>
      <c r="C504" s="16">
        <v>20200608</v>
      </c>
      <c r="D504" s="15" t="s">
        <v>3</v>
      </c>
      <c r="E504" s="80" t="s">
        <v>1401</v>
      </c>
      <c r="F504" s="199" t="s">
        <v>1726</v>
      </c>
      <c r="G504" s="80">
        <v>1509577</v>
      </c>
      <c r="H504" s="52" t="s">
        <v>61</v>
      </c>
      <c r="I504" s="80" t="s">
        <v>1407</v>
      </c>
      <c r="J504" s="52" t="s">
        <v>61</v>
      </c>
      <c r="K504" s="15" t="s">
        <v>146</v>
      </c>
      <c r="L504" s="15" t="s">
        <v>453</v>
      </c>
      <c r="M504" s="80" t="s">
        <v>1412</v>
      </c>
      <c r="N504" s="15" t="s">
        <v>228</v>
      </c>
      <c r="O504" s="17" t="s">
        <v>61</v>
      </c>
      <c r="P504" s="17" t="s">
        <v>1416</v>
      </c>
      <c r="Q504" s="18"/>
      <c r="R504" s="52" t="s">
        <v>61</v>
      </c>
      <c r="S504" s="16" t="s">
        <v>68</v>
      </c>
      <c r="T504" s="15"/>
      <c r="U504" s="15"/>
      <c r="V504" s="80">
        <v>208</v>
      </c>
      <c r="W504" s="15">
        <f t="shared" si="91"/>
        <v>208</v>
      </c>
      <c r="X504" s="15">
        <f>W504</f>
        <v>208</v>
      </c>
      <c r="Y504" s="15">
        <f>ROUNDDOWN(W504/HLOOKUP(D504,Table!$C$3:$D$4,2,0)*8,2)</f>
        <v>3.69</v>
      </c>
      <c r="Z504" s="15">
        <v>3</v>
      </c>
      <c r="AA504" s="15" t="s">
        <v>74</v>
      </c>
      <c r="AB504" s="19">
        <v>43997</v>
      </c>
      <c r="AC504" s="19">
        <v>43991</v>
      </c>
      <c r="AD504" s="99">
        <v>43998</v>
      </c>
      <c r="AE504" s="19">
        <v>43997</v>
      </c>
      <c r="AF504" s="19">
        <v>43997</v>
      </c>
      <c r="AG504" s="19" t="s">
        <v>176</v>
      </c>
      <c r="AH504" s="31">
        <v>1</v>
      </c>
      <c r="AI504" s="31">
        <v>1</v>
      </c>
      <c r="AJ504" s="31">
        <v>1</v>
      </c>
      <c r="AK504" s="19" t="s">
        <v>150</v>
      </c>
      <c r="AL504" s="17"/>
      <c r="AM504" s="15"/>
      <c r="AN504" s="16"/>
    </row>
    <row r="505" spans="2:40" x14ac:dyDescent="0.25">
      <c r="B505" s="41">
        <f t="shared" si="85"/>
        <v>446</v>
      </c>
      <c r="C505" s="16">
        <v>20200608</v>
      </c>
      <c r="D505" s="15" t="s">
        <v>3</v>
      </c>
      <c r="E505" s="80" t="s">
        <v>1401</v>
      </c>
      <c r="F505" s="199" t="s">
        <v>1727</v>
      </c>
      <c r="G505" s="80">
        <v>1509577</v>
      </c>
      <c r="H505" s="52" t="s">
        <v>61</v>
      </c>
      <c r="I505" s="80" t="s">
        <v>1408</v>
      </c>
      <c r="J505" s="52" t="s">
        <v>61</v>
      </c>
      <c r="K505" s="15" t="s">
        <v>146</v>
      </c>
      <c r="L505" s="15" t="s">
        <v>453</v>
      </c>
      <c r="M505" s="80" t="s">
        <v>1412</v>
      </c>
      <c r="N505" s="15" t="s">
        <v>228</v>
      </c>
      <c r="O505" s="17" t="s">
        <v>61</v>
      </c>
      <c r="P505" s="17" t="s">
        <v>1416</v>
      </c>
      <c r="Q505" s="18"/>
      <c r="R505" s="52" t="s">
        <v>61</v>
      </c>
      <c r="S505" s="16" t="s">
        <v>68</v>
      </c>
      <c r="T505" s="15"/>
      <c r="U505" s="15"/>
      <c r="V505" s="80">
        <v>255</v>
      </c>
      <c r="W505" s="15">
        <f t="shared" si="91"/>
        <v>255</v>
      </c>
      <c r="X505" s="15">
        <f>W505</f>
        <v>255</v>
      </c>
      <c r="Y505" s="15">
        <f>ROUNDDOWN(W505/HLOOKUP(D505,Table!$C$3:$D$4,2,0)*8,2)</f>
        <v>4.53</v>
      </c>
      <c r="Z505" s="15">
        <v>4</v>
      </c>
      <c r="AA505" s="15" t="s">
        <v>74</v>
      </c>
      <c r="AB505" s="19">
        <v>43997</v>
      </c>
      <c r="AC505" s="19">
        <v>43991</v>
      </c>
      <c r="AD505" s="99">
        <v>43998</v>
      </c>
      <c r="AE505" s="19">
        <v>43997</v>
      </c>
      <c r="AF505" s="19">
        <v>43997</v>
      </c>
      <c r="AG505" s="19" t="s">
        <v>176</v>
      </c>
      <c r="AH505" s="31">
        <v>1</v>
      </c>
      <c r="AI505" s="31">
        <v>1</v>
      </c>
      <c r="AJ505" s="31">
        <v>1</v>
      </c>
      <c r="AK505" s="19" t="s">
        <v>150</v>
      </c>
      <c r="AL505" s="17"/>
      <c r="AM505" s="15"/>
      <c r="AN505" s="16"/>
    </row>
    <row r="506" spans="2:40" x14ac:dyDescent="0.25">
      <c r="B506" s="41">
        <f t="shared" si="85"/>
        <v>447</v>
      </c>
      <c r="C506" s="16">
        <v>20200608</v>
      </c>
      <c r="D506" s="15" t="s">
        <v>3</v>
      </c>
      <c r="E506" s="80" t="s">
        <v>1401</v>
      </c>
      <c r="F506" s="169" t="s">
        <v>1485</v>
      </c>
      <c r="G506" s="80">
        <v>1509577</v>
      </c>
      <c r="H506" s="52" t="s">
        <v>61</v>
      </c>
      <c r="I506" s="80" t="s">
        <v>1409</v>
      </c>
      <c r="J506" s="52" t="s">
        <v>61</v>
      </c>
      <c r="K506" s="15" t="s">
        <v>146</v>
      </c>
      <c r="L506" s="15" t="s">
        <v>453</v>
      </c>
      <c r="M506" s="80" t="s">
        <v>1412</v>
      </c>
      <c r="N506" s="15" t="s">
        <v>228</v>
      </c>
      <c r="O506" s="17" t="s">
        <v>61</v>
      </c>
      <c r="P506" s="17" t="s">
        <v>1416</v>
      </c>
      <c r="Q506" s="18"/>
      <c r="R506" s="52" t="s">
        <v>61</v>
      </c>
      <c r="S506" s="15" t="s">
        <v>69</v>
      </c>
      <c r="T506" s="15"/>
      <c r="U506" s="15"/>
      <c r="V506" s="80">
        <v>146</v>
      </c>
      <c r="W506" s="15">
        <f t="shared" si="91"/>
        <v>146</v>
      </c>
      <c r="X506" s="15">
        <f t="shared" ref="X506:X514" si="92">W506</f>
        <v>146</v>
      </c>
      <c r="Y506" s="15">
        <f>ROUNDDOWN(W506/HLOOKUP(D506,Table!$C$3:$D$4,2,0)*8,2)</f>
        <v>2.59</v>
      </c>
      <c r="Z506" s="15">
        <v>1</v>
      </c>
      <c r="AA506" s="15" t="s">
        <v>74</v>
      </c>
      <c r="AB506" s="19">
        <v>43993</v>
      </c>
      <c r="AC506" s="19">
        <v>43991</v>
      </c>
      <c r="AD506" s="99">
        <v>43993</v>
      </c>
      <c r="AE506" s="19">
        <v>43991</v>
      </c>
      <c r="AF506" s="19">
        <v>43991</v>
      </c>
      <c r="AG506" s="19" t="s">
        <v>176</v>
      </c>
      <c r="AH506" s="31" t="s">
        <v>61</v>
      </c>
      <c r="AI506" s="31" t="s">
        <v>61</v>
      </c>
      <c r="AJ506" s="31" t="s">
        <v>61</v>
      </c>
      <c r="AK506" s="19" t="s">
        <v>150</v>
      </c>
      <c r="AL506" s="17" t="s">
        <v>656</v>
      </c>
      <c r="AM506" s="15"/>
      <c r="AN506" s="15"/>
    </row>
    <row r="507" spans="2:40" x14ac:dyDescent="0.25">
      <c r="B507" s="41">
        <f t="shared" si="85"/>
        <v>448</v>
      </c>
      <c r="C507" s="16">
        <v>20200608</v>
      </c>
      <c r="D507" s="15" t="s">
        <v>3</v>
      </c>
      <c r="E507" s="80" t="s">
        <v>1401</v>
      </c>
      <c r="F507" s="169" t="s">
        <v>1486</v>
      </c>
      <c r="G507" s="80">
        <v>1509577</v>
      </c>
      <c r="H507" s="52" t="s">
        <v>61</v>
      </c>
      <c r="I507" s="80" t="s">
        <v>188</v>
      </c>
      <c r="J507" s="52" t="s">
        <v>61</v>
      </c>
      <c r="K507" s="15" t="s">
        <v>146</v>
      </c>
      <c r="L507" s="15" t="s">
        <v>453</v>
      </c>
      <c r="M507" s="80" t="s">
        <v>1412</v>
      </c>
      <c r="N507" s="15" t="s">
        <v>228</v>
      </c>
      <c r="O507" s="17" t="s">
        <v>61</v>
      </c>
      <c r="P507" s="77" t="s">
        <v>1416</v>
      </c>
      <c r="Q507" s="18"/>
      <c r="R507" s="52" t="s">
        <v>61</v>
      </c>
      <c r="S507" s="15" t="s">
        <v>69</v>
      </c>
      <c r="T507" s="15"/>
      <c r="U507" s="15"/>
      <c r="V507" s="80">
        <v>96</v>
      </c>
      <c r="W507" s="84">
        <f>V507-96+206</f>
        <v>206</v>
      </c>
      <c r="X507" s="15">
        <f t="shared" si="92"/>
        <v>206</v>
      </c>
      <c r="Y507" s="15">
        <f>ROUNDDOWN(W507/HLOOKUP(D507,Table!$C$3:$D$4,2,0)*8,2)</f>
        <v>3.66</v>
      </c>
      <c r="Z507" s="15">
        <v>3</v>
      </c>
      <c r="AA507" s="15" t="s">
        <v>74</v>
      </c>
      <c r="AB507" s="19">
        <v>43993</v>
      </c>
      <c r="AC507" s="19">
        <v>43991</v>
      </c>
      <c r="AD507" s="99">
        <v>43993</v>
      </c>
      <c r="AE507" s="19">
        <v>43991</v>
      </c>
      <c r="AF507" s="19">
        <v>43991</v>
      </c>
      <c r="AG507" s="19" t="s">
        <v>177</v>
      </c>
      <c r="AH507" s="31">
        <v>0.67</v>
      </c>
      <c r="AI507" s="31">
        <v>0.72</v>
      </c>
      <c r="AJ507" s="31">
        <v>0.75</v>
      </c>
      <c r="AK507" s="19" t="s">
        <v>139</v>
      </c>
      <c r="AL507" s="15" t="s">
        <v>1445</v>
      </c>
      <c r="AM507" s="15"/>
      <c r="AN507" s="15"/>
    </row>
    <row r="508" spans="2:40" x14ac:dyDescent="0.25">
      <c r="B508" s="41">
        <f t="shared" si="85"/>
        <v>449</v>
      </c>
      <c r="C508" s="16">
        <v>20200608</v>
      </c>
      <c r="D508" s="15" t="s">
        <v>3</v>
      </c>
      <c r="E508" s="80" t="s">
        <v>953</v>
      </c>
      <c r="F508" s="169" t="s">
        <v>1492</v>
      </c>
      <c r="G508" s="80">
        <v>1507636</v>
      </c>
      <c r="H508" s="52" t="s">
        <v>61</v>
      </c>
      <c r="I508" s="80" t="s">
        <v>223</v>
      </c>
      <c r="J508" s="52" t="s">
        <v>61</v>
      </c>
      <c r="K508" s="15" t="s">
        <v>146</v>
      </c>
      <c r="L508" s="80" t="s">
        <v>612</v>
      </c>
      <c r="M508" s="80" t="s">
        <v>1010</v>
      </c>
      <c r="N508" s="80" t="s">
        <v>609</v>
      </c>
      <c r="O508" s="17" t="s">
        <v>61</v>
      </c>
      <c r="P508" s="77" t="s">
        <v>1009</v>
      </c>
      <c r="Q508" s="18"/>
      <c r="R508" s="52" t="s">
        <v>61</v>
      </c>
      <c r="S508" s="15" t="s">
        <v>742</v>
      </c>
      <c r="T508" s="15"/>
      <c r="U508" s="15"/>
      <c r="V508" s="80">
        <v>286</v>
      </c>
      <c r="W508" s="15">
        <f t="shared" si="91"/>
        <v>286</v>
      </c>
      <c r="X508" s="15">
        <f t="shared" si="92"/>
        <v>286</v>
      </c>
      <c r="Y508" s="15">
        <f>ROUNDDOWN(W508/HLOOKUP(D508,Table!$C$3:$D$4,2,0)*8,2)</f>
        <v>5.08</v>
      </c>
      <c r="Z508" s="15">
        <v>3</v>
      </c>
      <c r="AA508" s="15" t="s">
        <v>74</v>
      </c>
      <c r="AB508" s="19">
        <v>43997</v>
      </c>
      <c r="AC508" s="19">
        <v>43991</v>
      </c>
      <c r="AD508" s="99">
        <v>43997</v>
      </c>
      <c r="AE508" s="19">
        <v>43992</v>
      </c>
      <c r="AF508" s="19">
        <v>43992</v>
      </c>
      <c r="AG508" s="19" t="s">
        <v>176</v>
      </c>
      <c r="AH508" s="31">
        <v>1</v>
      </c>
      <c r="AI508" s="31">
        <v>1</v>
      </c>
      <c r="AJ508" s="31">
        <v>1</v>
      </c>
      <c r="AK508" s="19" t="s">
        <v>150</v>
      </c>
      <c r="AL508" s="15"/>
      <c r="AM508" s="15"/>
      <c r="AN508" s="15"/>
    </row>
    <row r="509" spans="2:40" x14ac:dyDescent="0.25">
      <c r="B509" s="41">
        <f t="shared" si="85"/>
        <v>450</v>
      </c>
      <c r="C509" s="16">
        <v>20200608</v>
      </c>
      <c r="D509" s="15" t="s">
        <v>3</v>
      </c>
      <c r="E509" s="80" t="s">
        <v>953</v>
      </c>
      <c r="F509" s="169" t="s">
        <v>1493</v>
      </c>
      <c r="G509" s="80">
        <v>1507636</v>
      </c>
      <c r="H509" s="52" t="s">
        <v>61</v>
      </c>
      <c r="I509" s="80" t="s">
        <v>224</v>
      </c>
      <c r="J509" s="52" t="s">
        <v>61</v>
      </c>
      <c r="K509" s="15" t="s">
        <v>146</v>
      </c>
      <c r="L509" s="15" t="s">
        <v>612</v>
      </c>
      <c r="M509" s="80" t="s">
        <v>1010</v>
      </c>
      <c r="N509" s="15" t="s">
        <v>609</v>
      </c>
      <c r="O509" s="17" t="s">
        <v>61</v>
      </c>
      <c r="P509" s="77" t="s">
        <v>1009</v>
      </c>
      <c r="Q509" s="18"/>
      <c r="R509" s="52" t="s">
        <v>61</v>
      </c>
      <c r="S509" s="15" t="s">
        <v>743</v>
      </c>
      <c r="T509" s="15"/>
      <c r="U509" s="15"/>
      <c r="V509" s="80">
        <v>241</v>
      </c>
      <c r="W509" s="15">
        <f t="shared" si="91"/>
        <v>241</v>
      </c>
      <c r="X509" s="15">
        <f t="shared" si="92"/>
        <v>241</v>
      </c>
      <c r="Y509" s="15">
        <f>ROUNDDOWN(W509/HLOOKUP(D509,Table!$C$3:$D$4,2,0)*8,2)</f>
        <v>4.28</v>
      </c>
      <c r="Z509" s="15">
        <v>3</v>
      </c>
      <c r="AA509" s="15" t="s">
        <v>74</v>
      </c>
      <c r="AB509" s="19">
        <v>43997</v>
      </c>
      <c r="AC509" s="19">
        <v>43991</v>
      </c>
      <c r="AD509" s="99">
        <v>43997</v>
      </c>
      <c r="AE509" s="19">
        <v>43992</v>
      </c>
      <c r="AF509" s="19">
        <v>43992</v>
      </c>
      <c r="AG509" s="19" t="s">
        <v>176</v>
      </c>
      <c r="AH509" s="31">
        <v>1</v>
      </c>
      <c r="AI509" s="31">
        <v>1</v>
      </c>
      <c r="AJ509" s="31">
        <v>1</v>
      </c>
      <c r="AK509" s="19" t="s">
        <v>150</v>
      </c>
      <c r="AL509" s="15"/>
      <c r="AM509" s="15"/>
      <c r="AN509" s="15"/>
    </row>
    <row r="510" spans="2:40" x14ac:dyDescent="0.25">
      <c r="B510" s="41">
        <f t="shared" ref="B510:B533" si="93">B509+1</f>
        <v>451</v>
      </c>
      <c r="C510" s="16">
        <v>20200608</v>
      </c>
      <c r="D510" s="15" t="s">
        <v>3</v>
      </c>
      <c r="E510" s="80" t="s">
        <v>953</v>
      </c>
      <c r="F510" s="169" t="s">
        <v>1494</v>
      </c>
      <c r="G510" s="80">
        <v>1507636</v>
      </c>
      <c r="H510" s="52" t="s">
        <v>61</v>
      </c>
      <c r="I510" s="80" t="s">
        <v>1410</v>
      </c>
      <c r="J510" s="52" t="s">
        <v>61</v>
      </c>
      <c r="K510" s="15" t="s">
        <v>146</v>
      </c>
      <c r="L510" s="15" t="s">
        <v>612</v>
      </c>
      <c r="M510" s="80" t="s">
        <v>1010</v>
      </c>
      <c r="N510" s="15" t="s">
        <v>609</v>
      </c>
      <c r="O510" s="17" t="s">
        <v>61</v>
      </c>
      <c r="P510" s="77" t="s">
        <v>1009</v>
      </c>
      <c r="Q510" s="18"/>
      <c r="R510" s="52" t="s">
        <v>61</v>
      </c>
      <c r="S510" s="18" t="s">
        <v>741</v>
      </c>
      <c r="T510" s="15"/>
      <c r="U510" s="15"/>
      <c r="V510" s="80">
        <v>84</v>
      </c>
      <c r="W510" s="15">
        <f t="shared" si="91"/>
        <v>84</v>
      </c>
      <c r="X510" s="15">
        <f t="shared" si="92"/>
        <v>84</v>
      </c>
      <c r="Y510" s="15">
        <f>ROUNDDOWN(W510/HLOOKUP(D510,Table!$C$3:$D$4,2,0)*8,2)</f>
        <v>1.49</v>
      </c>
      <c r="Z510" s="15">
        <v>2</v>
      </c>
      <c r="AA510" s="15" t="s">
        <v>74</v>
      </c>
      <c r="AB510" s="19">
        <v>43997</v>
      </c>
      <c r="AC510" s="19">
        <v>43991</v>
      </c>
      <c r="AD510" s="99">
        <v>43997</v>
      </c>
      <c r="AE510" s="19">
        <v>43992</v>
      </c>
      <c r="AF510" s="19">
        <v>43992</v>
      </c>
      <c r="AG510" s="19" t="s">
        <v>177</v>
      </c>
      <c r="AH510" s="31">
        <v>1</v>
      </c>
      <c r="AI510" s="31">
        <v>0.87</v>
      </c>
      <c r="AJ510" s="31">
        <v>1</v>
      </c>
      <c r="AK510" s="19" t="s">
        <v>139</v>
      </c>
      <c r="AL510" s="15"/>
      <c r="AM510" s="15"/>
      <c r="AN510" s="15" t="s">
        <v>1713</v>
      </c>
    </row>
    <row r="511" spans="2:40" x14ac:dyDescent="0.25">
      <c r="B511" s="41">
        <f t="shared" si="93"/>
        <v>452</v>
      </c>
      <c r="C511" s="16">
        <v>20200608</v>
      </c>
      <c r="D511" s="15" t="s">
        <v>2</v>
      </c>
      <c r="E511" s="80" t="s">
        <v>600</v>
      </c>
      <c r="F511" s="77" t="s">
        <v>61</v>
      </c>
      <c r="G511" s="80">
        <v>1511693</v>
      </c>
      <c r="H511" s="52" t="s">
        <v>61</v>
      </c>
      <c r="I511" s="80" t="s">
        <v>998</v>
      </c>
      <c r="J511" s="52" t="s">
        <v>61</v>
      </c>
      <c r="K511" s="15" t="s">
        <v>146</v>
      </c>
      <c r="L511" s="15" t="s">
        <v>150</v>
      </c>
      <c r="M511" s="80" t="s">
        <v>614</v>
      </c>
      <c r="N511" s="80">
        <v>1511693</v>
      </c>
      <c r="O511" s="77" t="s">
        <v>1414</v>
      </c>
      <c r="P511" s="77" t="s">
        <v>1009</v>
      </c>
      <c r="Q511" s="18"/>
      <c r="R511" s="52" t="s">
        <v>61</v>
      </c>
      <c r="S511" s="18" t="s">
        <v>741</v>
      </c>
      <c r="T511" s="15"/>
      <c r="U511" s="15"/>
      <c r="V511" s="80">
        <v>28</v>
      </c>
      <c r="W511" s="15">
        <f t="shared" si="91"/>
        <v>28</v>
      </c>
      <c r="X511" s="15">
        <f t="shared" si="92"/>
        <v>28</v>
      </c>
      <c r="Y511" s="15">
        <f>ROUNDDOWN(W511/HLOOKUP(D511,Table!$C$3:$D$4,2,0)*8,2)</f>
        <v>1.72</v>
      </c>
      <c r="Z511" s="15">
        <v>2</v>
      </c>
      <c r="AA511" s="15" t="s">
        <v>74</v>
      </c>
      <c r="AB511" s="19">
        <v>43997</v>
      </c>
      <c r="AC511" s="19">
        <v>43991</v>
      </c>
      <c r="AD511" s="99">
        <v>43997</v>
      </c>
      <c r="AE511" s="19">
        <v>43994</v>
      </c>
      <c r="AF511" s="19">
        <v>43994</v>
      </c>
      <c r="AG511" s="19" t="s">
        <v>176</v>
      </c>
      <c r="AH511" s="31">
        <v>1</v>
      </c>
      <c r="AI511" s="31">
        <v>1</v>
      </c>
      <c r="AJ511" s="31">
        <v>1</v>
      </c>
      <c r="AK511" s="19" t="s">
        <v>150</v>
      </c>
      <c r="AL511" s="15"/>
      <c r="AM511" s="15"/>
      <c r="AN511" s="15"/>
    </row>
    <row r="512" spans="2:40" x14ac:dyDescent="0.25">
      <c r="B512" s="41">
        <f t="shared" si="93"/>
        <v>453</v>
      </c>
      <c r="C512" s="16">
        <v>20200608</v>
      </c>
      <c r="D512" s="15" t="s">
        <v>2</v>
      </c>
      <c r="E512" s="80" t="s">
        <v>1402</v>
      </c>
      <c r="F512" s="77" t="s">
        <v>61</v>
      </c>
      <c r="G512" s="80">
        <v>1511618</v>
      </c>
      <c r="H512" s="52" t="s">
        <v>61</v>
      </c>
      <c r="I512" s="80" t="s">
        <v>1415</v>
      </c>
      <c r="J512" s="52" t="s">
        <v>61</v>
      </c>
      <c r="K512" s="15" t="s">
        <v>146</v>
      </c>
      <c r="L512" s="15" t="s">
        <v>150</v>
      </c>
      <c r="M512" s="80" t="s">
        <v>1413</v>
      </c>
      <c r="N512" s="80">
        <v>1511618</v>
      </c>
      <c r="O512" s="17">
        <v>1.1200000000000001</v>
      </c>
      <c r="P512" s="77" t="s">
        <v>1417</v>
      </c>
      <c r="Q512" s="18"/>
      <c r="R512" s="52" t="s">
        <v>61</v>
      </c>
      <c r="S512" s="15" t="s">
        <v>6</v>
      </c>
      <c r="T512" s="15"/>
      <c r="U512" s="15"/>
      <c r="V512" s="80">
        <v>150</v>
      </c>
      <c r="W512" s="15">
        <f t="shared" si="91"/>
        <v>150</v>
      </c>
      <c r="X512" s="15">
        <f t="shared" si="92"/>
        <v>150</v>
      </c>
      <c r="Y512" s="15">
        <f>ROUNDDOWN(W512/HLOOKUP(D512,Table!$C$3:$D$4,2,0)*8,2)</f>
        <v>9.23</v>
      </c>
      <c r="Z512" s="15">
        <v>5</v>
      </c>
      <c r="AA512" s="15" t="s">
        <v>74</v>
      </c>
      <c r="AB512" s="19">
        <v>43993</v>
      </c>
      <c r="AC512" s="19">
        <v>43991</v>
      </c>
      <c r="AD512" s="99">
        <v>43993</v>
      </c>
      <c r="AE512" s="19">
        <v>43992</v>
      </c>
      <c r="AF512" s="19">
        <v>43992</v>
      </c>
      <c r="AG512" s="19" t="s">
        <v>176</v>
      </c>
      <c r="AH512" s="31">
        <v>1</v>
      </c>
      <c r="AI512" s="31">
        <v>1</v>
      </c>
      <c r="AJ512" s="31">
        <v>1</v>
      </c>
      <c r="AK512" s="19" t="s">
        <v>150</v>
      </c>
      <c r="AL512" s="15"/>
      <c r="AM512" s="15"/>
      <c r="AN512" s="15"/>
    </row>
    <row r="513" spans="2:40" x14ac:dyDescent="0.25">
      <c r="B513" s="41">
        <f t="shared" si="93"/>
        <v>454</v>
      </c>
      <c r="C513" s="16">
        <v>20200608</v>
      </c>
      <c r="D513" s="15" t="s">
        <v>3</v>
      </c>
      <c r="E513" s="80" t="s">
        <v>1403</v>
      </c>
      <c r="F513" s="169" t="s">
        <v>1489</v>
      </c>
      <c r="G513" s="80">
        <v>1510954</v>
      </c>
      <c r="H513" s="52" t="s">
        <v>61</v>
      </c>
      <c r="I513" s="80" t="s">
        <v>1411</v>
      </c>
      <c r="J513" s="52" t="s">
        <v>61</v>
      </c>
      <c r="K513" s="15" t="s">
        <v>146</v>
      </c>
      <c r="L513" s="15" t="s">
        <v>150</v>
      </c>
      <c r="M513" s="80" t="s">
        <v>1003</v>
      </c>
      <c r="N513" s="80" t="s">
        <v>1419</v>
      </c>
      <c r="O513" s="17" t="s">
        <v>61</v>
      </c>
      <c r="P513" s="77" t="s">
        <v>1418</v>
      </c>
      <c r="Q513" s="18"/>
      <c r="R513" s="52" t="s">
        <v>61</v>
      </c>
      <c r="S513" s="15" t="s">
        <v>6</v>
      </c>
      <c r="T513" s="15"/>
      <c r="U513" s="15"/>
      <c r="V513" s="80">
        <v>719</v>
      </c>
      <c r="W513" s="15">
        <f t="shared" si="91"/>
        <v>719</v>
      </c>
      <c r="X513" s="15">
        <f t="shared" si="92"/>
        <v>719</v>
      </c>
      <c r="Y513" s="15">
        <f>ROUNDDOWN(W513/HLOOKUP(D513,Table!$C$3:$D$4,2,0)*8,2)</f>
        <v>12.78</v>
      </c>
      <c r="Z513" s="15">
        <v>4</v>
      </c>
      <c r="AA513" s="15" t="s">
        <v>74</v>
      </c>
      <c r="AB513" s="19">
        <v>43997</v>
      </c>
      <c r="AC513" s="19">
        <v>43991</v>
      </c>
      <c r="AD513" s="99">
        <v>43997</v>
      </c>
      <c r="AE513" s="19">
        <v>43993</v>
      </c>
      <c r="AF513" s="19">
        <v>43993</v>
      </c>
      <c r="AG513" s="19" t="s">
        <v>177</v>
      </c>
      <c r="AH513" s="31">
        <v>0.99</v>
      </c>
      <c r="AI513" s="31">
        <v>0.98</v>
      </c>
      <c r="AJ513" s="31">
        <v>0.87</v>
      </c>
      <c r="AK513" s="19" t="s">
        <v>139</v>
      </c>
      <c r="AL513" s="15" t="s">
        <v>1522</v>
      </c>
      <c r="AM513" s="15"/>
      <c r="AN513" s="15" t="s">
        <v>1551</v>
      </c>
    </row>
    <row r="514" spans="2:40" x14ac:dyDescent="0.25">
      <c r="B514" s="41">
        <f t="shared" si="93"/>
        <v>455</v>
      </c>
      <c r="C514" s="16">
        <v>20200608</v>
      </c>
      <c r="D514" s="15" t="s">
        <v>3</v>
      </c>
      <c r="E514" s="80" t="s">
        <v>1403</v>
      </c>
      <c r="F514" s="169" t="s">
        <v>1490</v>
      </c>
      <c r="G514" s="80">
        <v>1510954</v>
      </c>
      <c r="H514" s="52" t="s">
        <v>61</v>
      </c>
      <c r="I514" s="80" t="s">
        <v>201</v>
      </c>
      <c r="J514" s="52" t="s">
        <v>61</v>
      </c>
      <c r="K514" s="15" t="s">
        <v>146</v>
      </c>
      <c r="L514" s="15" t="s">
        <v>150</v>
      </c>
      <c r="M514" s="80" t="s">
        <v>1003</v>
      </c>
      <c r="N514" s="15" t="s">
        <v>1419</v>
      </c>
      <c r="O514" s="17" t="s">
        <v>61</v>
      </c>
      <c r="P514" s="17" t="s">
        <v>1418</v>
      </c>
      <c r="Q514" s="18"/>
      <c r="R514" s="52" t="s">
        <v>61</v>
      </c>
      <c r="S514" s="15" t="s">
        <v>6</v>
      </c>
      <c r="T514" s="15"/>
      <c r="U514" s="15"/>
      <c r="V514" s="80">
        <v>220</v>
      </c>
      <c r="W514" s="84">
        <v>260</v>
      </c>
      <c r="X514" s="15">
        <f t="shared" si="92"/>
        <v>260</v>
      </c>
      <c r="Y514" s="15">
        <f>ROUNDDOWN(W514/HLOOKUP(D514,Table!$C$3:$D$4,2,0)*8,2)</f>
        <v>4.62</v>
      </c>
      <c r="Z514" s="15">
        <v>4</v>
      </c>
      <c r="AA514" s="15" t="s">
        <v>74</v>
      </c>
      <c r="AB514" s="19">
        <v>43997</v>
      </c>
      <c r="AC514" s="19">
        <v>43991</v>
      </c>
      <c r="AD514" s="99">
        <v>43997</v>
      </c>
      <c r="AE514" s="19">
        <v>43993</v>
      </c>
      <c r="AF514" s="19">
        <v>43993</v>
      </c>
      <c r="AG514" s="19" t="s">
        <v>176</v>
      </c>
      <c r="AH514" s="31">
        <v>1</v>
      </c>
      <c r="AI514" s="31">
        <v>1</v>
      </c>
      <c r="AJ514" s="31">
        <v>1</v>
      </c>
      <c r="AK514" s="19" t="s">
        <v>150</v>
      </c>
      <c r="AL514" s="15"/>
      <c r="AM514" s="15"/>
      <c r="AN514" s="192" t="s">
        <v>1523</v>
      </c>
    </row>
    <row r="515" spans="2:40" x14ac:dyDescent="0.25">
      <c r="B515" s="232">
        <f t="shared" si="93"/>
        <v>456</v>
      </c>
      <c r="C515" s="16">
        <v>20200609</v>
      </c>
      <c r="D515" s="15" t="s">
        <v>2</v>
      </c>
      <c r="E515" s="15" t="s">
        <v>1446</v>
      </c>
      <c r="F515" s="17" t="s">
        <v>61</v>
      </c>
      <c r="G515" s="17">
        <v>1513868</v>
      </c>
      <c r="H515" s="52" t="s">
        <v>61</v>
      </c>
      <c r="I515" s="15" t="s">
        <v>1448</v>
      </c>
      <c r="J515" s="52" t="s">
        <v>61</v>
      </c>
      <c r="K515" s="15" t="s">
        <v>146</v>
      </c>
      <c r="L515" s="15" t="s">
        <v>150</v>
      </c>
      <c r="M515" s="15" t="s">
        <v>1412</v>
      </c>
      <c r="N515" s="15" t="s">
        <v>1465</v>
      </c>
      <c r="O515" s="17" t="s">
        <v>1462</v>
      </c>
      <c r="P515" s="17" t="s">
        <v>1468</v>
      </c>
      <c r="Q515" s="18"/>
      <c r="R515" s="52" t="s">
        <v>61</v>
      </c>
      <c r="S515" s="15" t="s">
        <v>142</v>
      </c>
      <c r="T515" s="15"/>
      <c r="U515" s="15"/>
      <c r="V515" s="15">
        <v>60</v>
      </c>
      <c r="W515" s="15">
        <f t="shared" ref="W515:X519" si="94">V515</f>
        <v>60</v>
      </c>
      <c r="X515" s="15">
        <f t="shared" si="94"/>
        <v>60</v>
      </c>
      <c r="Y515" s="15">
        <f>ROUNDDOWN(W515/HLOOKUP(D515,Table!$C$3:$D$4,2,0)*8,2)</f>
        <v>3.69</v>
      </c>
      <c r="Z515" s="15">
        <v>4</v>
      </c>
      <c r="AA515" s="15" t="s">
        <v>21</v>
      </c>
      <c r="AB515" s="19">
        <v>44001</v>
      </c>
      <c r="AC515" s="19">
        <v>43991</v>
      </c>
      <c r="AD515" s="99">
        <v>44001</v>
      </c>
      <c r="AE515" s="19">
        <v>44001</v>
      </c>
      <c r="AF515" s="19">
        <v>44001</v>
      </c>
      <c r="AG515" s="19" t="s">
        <v>176</v>
      </c>
      <c r="AH515" s="31">
        <v>1</v>
      </c>
      <c r="AI515" s="31">
        <v>1</v>
      </c>
      <c r="AJ515" s="31">
        <v>1</v>
      </c>
      <c r="AK515" s="19" t="s">
        <v>150</v>
      </c>
      <c r="AL515" s="17" t="s">
        <v>61</v>
      </c>
      <c r="AM515" s="17" t="s">
        <v>61</v>
      </c>
      <c r="AN515" s="17" t="s">
        <v>61</v>
      </c>
    </row>
    <row r="516" spans="2:40" x14ac:dyDescent="0.25">
      <c r="B516" s="232">
        <f t="shared" si="93"/>
        <v>457</v>
      </c>
      <c r="C516" s="16">
        <v>20200609</v>
      </c>
      <c r="D516" s="15" t="s">
        <v>2</v>
      </c>
      <c r="E516" s="15" t="s">
        <v>1446</v>
      </c>
      <c r="F516" s="17" t="s">
        <v>61</v>
      </c>
      <c r="G516" s="17">
        <v>1513868</v>
      </c>
      <c r="H516" s="52" t="s">
        <v>61</v>
      </c>
      <c r="I516" s="15" t="s">
        <v>1449</v>
      </c>
      <c r="J516" s="52" t="s">
        <v>61</v>
      </c>
      <c r="K516" s="15" t="s">
        <v>146</v>
      </c>
      <c r="L516" s="15" t="s">
        <v>150</v>
      </c>
      <c r="M516" s="15" t="s">
        <v>1412</v>
      </c>
      <c r="N516" s="15" t="s">
        <v>1466</v>
      </c>
      <c r="O516" s="17">
        <v>1.2</v>
      </c>
      <c r="P516" s="17" t="s">
        <v>1468</v>
      </c>
      <c r="Q516" s="18"/>
      <c r="R516" s="52" t="s">
        <v>61</v>
      </c>
      <c r="S516" s="15" t="s">
        <v>142</v>
      </c>
      <c r="T516" s="15"/>
      <c r="U516" s="15"/>
      <c r="V516" s="15">
        <v>30</v>
      </c>
      <c r="W516" s="15">
        <f t="shared" si="94"/>
        <v>30</v>
      </c>
      <c r="X516" s="15">
        <f>W516</f>
        <v>30</v>
      </c>
      <c r="Y516" s="15">
        <f>ROUNDDOWN(W516/HLOOKUP(D516,Table!$C$3:$D$4,2,0)*8,2)</f>
        <v>1.84</v>
      </c>
      <c r="Z516" s="15">
        <v>1</v>
      </c>
      <c r="AA516" s="15" t="s">
        <v>21</v>
      </c>
      <c r="AB516" s="19">
        <v>44001</v>
      </c>
      <c r="AC516" s="19">
        <v>43991</v>
      </c>
      <c r="AD516" s="99">
        <v>44001</v>
      </c>
      <c r="AE516" s="19">
        <v>43999</v>
      </c>
      <c r="AF516" s="19">
        <v>43999</v>
      </c>
      <c r="AG516" s="19" t="s">
        <v>176</v>
      </c>
      <c r="AH516" s="31">
        <v>1</v>
      </c>
      <c r="AI516" s="31">
        <v>1</v>
      </c>
      <c r="AJ516" s="31">
        <v>1</v>
      </c>
      <c r="AK516" s="19" t="s">
        <v>150</v>
      </c>
      <c r="AL516" s="17" t="s">
        <v>61</v>
      </c>
      <c r="AM516" s="17" t="s">
        <v>61</v>
      </c>
      <c r="AN516" s="17" t="s">
        <v>61</v>
      </c>
    </row>
    <row r="517" spans="2:40" x14ac:dyDescent="0.25">
      <c r="B517" s="232">
        <f t="shared" si="93"/>
        <v>458</v>
      </c>
      <c r="C517" s="16">
        <v>20200609</v>
      </c>
      <c r="D517" s="15" t="s">
        <v>2</v>
      </c>
      <c r="E517" s="15" t="s">
        <v>1446</v>
      </c>
      <c r="F517" s="17" t="s">
        <v>61</v>
      </c>
      <c r="G517" s="17">
        <v>1513868</v>
      </c>
      <c r="H517" s="52" t="s">
        <v>61</v>
      </c>
      <c r="I517" s="15" t="s">
        <v>1450</v>
      </c>
      <c r="J517" s="52" t="s">
        <v>61</v>
      </c>
      <c r="K517" s="15" t="s">
        <v>146</v>
      </c>
      <c r="L517" s="15" t="s">
        <v>150</v>
      </c>
      <c r="M517" s="15" t="s">
        <v>1412</v>
      </c>
      <c r="N517" s="15" t="s">
        <v>1466</v>
      </c>
      <c r="O517" s="17">
        <v>1.3</v>
      </c>
      <c r="P517" s="17" t="s">
        <v>1468</v>
      </c>
      <c r="Q517" s="18"/>
      <c r="R517" s="52" t="s">
        <v>61</v>
      </c>
      <c r="S517" s="15" t="s">
        <v>67</v>
      </c>
      <c r="T517" s="15"/>
      <c r="U517" s="15"/>
      <c r="V517" s="15">
        <v>80</v>
      </c>
      <c r="W517" s="15">
        <f t="shared" si="94"/>
        <v>80</v>
      </c>
      <c r="X517" s="15">
        <f>W517</f>
        <v>80</v>
      </c>
      <c r="Y517" s="15">
        <f>ROUNDDOWN(W517/HLOOKUP(D517,Table!$C$3:$D$4,2,0)*8,2)</f>
        <v>4.92</v>
      </c>
      <c r="Z517" s="15">
        <v>5</v>
      </c>
      <c r="AA517" s="15" t="s">
        <v>21</v>
      </c>
      <c r="AB517" s="19">
        <v>44001</v>
      </c>
      <c r="AC517" s="19">
        <v>43991</v>
      </c>
      <c r="AD517" s="99">
        <v>44001</v>
      </c>
      <c r="AE517" s="19">
        <v>44001</v>
      </c>
      <c r="AF517" s="19">
        <v>44001</v>
      </c>
      <c r="AG517" s="19" t="s">
        <v>177</v>
      </c>
      <c r="AH517" s="31">
        <v>0.88900000000000001</v>
      </c>
      <c r="AI517" s="31">
        <v>0.89500000000000002</v>
      </c>
      <c r="AJ517" s="31">
        <v>1</v>
      </c>
      <c r="AK517" s="19" t="s">
        <v>150</v>
      </c>
      <c r="AL517" s="17" t="s">
        <v>1851</v>
      </c>
      <c r="AM517" s="17" t="s">
        <v>61</v>
      </c>
      <c r="AN517" s="17" t="s">
        <v>61</v>
      </c>
    </row>
    <row r="518" spans="2:40" x14ac:dyDescent="0.25">
      <c r="B518" s="232">
        <f t="shared" si="93"/>
        <v>459</v>
      </c>
      <c r="C518" s="16">
        <v>20200609</v>
      </c>
      <c r="D518" s="15" t="s">
        <v>2</v>
      </c>
      <c r="E518" s="15" t="s">
        <v>1446</v>
      </c>
      <c r="F518" s="17" t="s">
        <v>61</v>
      </c>
      <c r="G518" s="17">
        <v>1513868</v>
      </c>
      <c r="H518" s="52" t="s">
        <v>61</v>
      </c>
      <c r="I518" s="15" t="s">
        <v>1451</v>
      </c>
      <c r="J518" s="52" t="s">
        <v>61</v>
      </c>
      <c r="K518" s="15" t="s">
        <v>146</v>
      </c>
      <c r="L518" s="15" t="s">
        <v>150</v>
      </c>
      <c r="M518" s="15" t="s">
        <v>1412</v>
      </c>
      <c r="N518" s="15" t="s">
        <v>1466</v>
      </c>
      <c r="O518" s="17">
        <v>1.4</v>
      </c>
      <c r="P518" s="17" t="s">
        <v>1468</v>
      </c>
      <c r="Q518" s="18"/>
      <c r="R518" s="52" t="s">
        <v>61</v>
      </c>
      <c r="S518" s="15" t="s">
        <v>69</v>
      </c>
      <c r="T518" s="15"/>
      <c r="U518" s="15"/>
      <c r="V518" s="15">
        <v>80</v>
      </c>
      <c r="W518" s="15">
        <f t="shared" si="94"/>
        <v>80</v>
      </c>
      <c r="X518" s="15">
        <f>W518</f>
        <v>80</v>
      </c>
      <c r="Y518" s="15">
        <f>ROUNDDOWN(W518/HLOOKUP(D518,Table!$C$3:$D$4,2,0)*8,2)</f>
        <v>4.92</v>
      </c>
      <c r="Z518" s="15">
        <v>4</v>
      </c>
      <c r="AA518" s="15" t="s">
        <v>21</v>
      </c>
      <c r="AB518" s="19">
        <v>44001</v>
      </c>
      <c r="AC518" s="19">
        <v>43991</v>
      </c>
      <c r="AD518" s="99">
        <v>44001</v>
      </c>
      <c r="AE518" s="19">
        <v>43999</v>
      </c>
      <c r="AF518" s="19">
        <v>43999</v>
      </c>
      <c r="AG518" s="19" t="s">
        <v>176</v>
      </c>
      <c r="AH518" s="31">
        <v>1</v>
      </c>
      <c r="AI518" s="31">
        <v>1</v>
      </c>
      <c r="AJ518" s="31">
        <v>1</v>
      </c>
      <c r="AK518" s="19" t="s">
        <v>150</v>
      </c>
      <c r="AL518" s="17" t="s">
        <v>61</v>
      </c>
      <c r="AM518" s="17" t="s">
        <v>61</v>
      </c>
      <c r="AN518" s="17" t="s">
        <v>61</v>
      </c>
    </row>
    <row r="519" spans="2:40" x14ac:dyDescent="0.25">
      <c r="B519" s="232">
        <f t="shared" si="93"/>
        <v>460</v>
      </c>
      <c r="C519" s="16">
        <v>20200609</v>
      </c>
      <c r="D519" s="15" t="s">
        <v>2</v>
      </c>
      <c r="E519" s="15" t="s">
        <v>1446</v>
      </c>
      <c r="F519" s="17" t="s">
        <v>61</v>
      </c>
      <c r="G519" s="17">
        <v>1513868</v>
      </c>
      <c r="H519" s="52" t="s">
        <v>61</v>
      </c>
      <c r="I519" s="15" t="s">
        <v>1452</v>
      </c>
      <c r="J519" s="52" t="s">
        <v>61</v>
      </c>
      <c r="K519" s="15" t="s">
        <v>146</v>
      </c>
      <c r="L519" s="15" t="s">
        <v>150</v>
      </c>
      <c r="M519" s="15" t="s">
        <v>1412</v>
      </c>
      <c r="N519" s="15" t="s">
        <v>1467</v>
      </c>
      <c r="O519" s="17" t="s">
        <v>942</v>
      </c>
      <c r="P519" s="17" t="s">
        <v>1468</v>
      </c>
      <c r="Q519" s="18"/>
      <c r="R519" s="52" t="s">
        <v>61</v>
      </c>
      <c r="S519" s="15" t="s">
        <v>142</v>
      </c>
      <c r="T519" s="15"/>
      <c r="U519" s="15"/>
      <c r="V519" s="15">
        <v>50</v>
      </c>
      <c r="W519" s="15">
        <f t="shared" si="94"/>
        <v>50</v>
      </c>
      <c r="X519" s="15">
        <f t="shared" si="94"/>
        <v>50</v>
      </c>
      <c r="Y519" s="15">
        <f>ROUNDDOWN(W519/HLOOKUP(D519,Table!$C$3:$D$4,2,0)*8,2)</f>
        <v>3.07</v>
      </c>
      <c r="Z519" s="15">
        <v>1</v>
      </c>
      <c r="AA519" s="15" t="s">
        <v>21</v>
      </c>
      <c r="AB519" s="19">
        <v>44001</v>
      </c>
      <c r="AC519" s="19">
        <v>43991</v>
      </c>
      <c r="AD519" s="99">
        <v>44001</v>
      </c>
      <c r="AE519" s="19">
        <v>44001</v>
      </c>
      <c r="AF519" s="19">
        <v>44001</v>
      </c>
      <c r="AG519" s="19" t="s">
        <v>176</v>
      </c>
      <c r="AH519" s="31">
        <v>1</v>
      </c>
      <c r="AI519" s="31">
        <v>1</v>
      </c>
      <c r="AJ519" s="31">
        <v>1</v>
      </c>
      <c r="AK519" s="19" t="s">
        <v>150</v>
      </c>
      <c r="AL519" s="17" t="s">
        <v>61</v>
      </c>
      <c r="AM519" s="17" t="s">
        <v>61</v>
      </c>
      <c r="AN519" s="17" t="s">
        <v>61</v>
      </c>
    </row>
    <row r="520" spans="2:40" x14ac:dyDescent="0.25">
      <c r="B520" s="232">
        <f t="shared" si="93"/>
        <v>461</v>
      </c>
      <c r="C520" s="16">
        <v>20200609</v>
      </c>
      <c r="D520" s="15" t="s">
        <v>3</v>
      </c>
      <c r="E520" s="15" t="s">
        <v>951</v>
      </c>
      <c r="F520" s="169" t="s">
        <v>1496</v>
      </c>
      <c r="G520" s="17">
        <v>1462660</v>
      </c>
      <c r="H520" s="52" t="s">
        <v>61</v>
      </c>
      <c r="I520" s="15" t="s">
        <v>625</v>
      </c>
      <c r="J520" s="52" t="s">
        <v>61</v>
      </c>
      <c r="K520" s="15" t="s">
        <v>146</v>
      </c>
      <c r="L520" s="80" t="s">
        <v>1002</v>
      </c>
      <c r="M520" s="15" t="s">
        <v>1003</v>
      </c>
      <c r="N520" s="15" t="s">
        <v>1004</v>
      </c>
      <c r="O520" s="17" t="s">
        <v>61</v>
      </c>
      <c r="P520" s="17" t="s">
        <v>427</v>
      </c>
      <c r="Q520" s="18"/>
      <c r="R520" s="52" t="s">
        <v>61</v>
      </c>
      <c r="S520" s="15" t="s">
        <v>69</v>
      </c>
      <c r="T520" s="15"/>
      <c r="U520" s="15"/>
      <c r="V520" s="15">
        <v>102</v>
      </c>
      <c r="W520" s="15">
        <f t="shared" ref="W520:W524" si="95">V520</f>
        <v>102</v>
      </c>
      <c r="X520" s="15">
        <f t="shared" ref="X520:X524" si="96">W520</f>
        <v>102</v>
      </c>
      <c r="Y520" s="15">
        <f>ROUNDDOWN(W520/HLOOKUP(D520,Table!$C$3:$D$4,2,0)*8,2)</f>
        <v>1.81</v>
      </c>
      <c r="Z520" s="15">
        <v>1</v>
      </c>
      <c r="AA520" s="15" t="s">
        <v>74</v>
      </c>
      <c r="AB520" s="19">
        <v>43994</v>
      </c>
      <c r="AC520" s="19">
        <v>43991</v>
      </c>
      <c r="AD520" s="99">
        <v>43994</v>
      </c>
      <c r="AE520" s="19">
        <v>43993</v>
      </c>
      <c r="AF520" s="19">
        <v>43993</v>
      </c>
      <c r="AG520" s="19" t="s">
        <v>176</v>
      </c>
      <c r="AH520" s="31">
        <v>1</v>
      </c>
      <c r="AI520" s="31">
        <v>1</v>
      </c>
      <c r="AJ520" s="31">
        <v>1</v>
      </c>
      <c r="AK520" s="19" t="s">
        <v>150</v>
      </c>
      <c r="AL520" s="15"/>
      <c r="AM520" s="15"/>
      <c r="AN520" s="15"/>
    </row>
    <row r="521" spans="2:40" x14ac:dyDescent="0.25">
      <c r="B521" s="232">
        <f t="shared" si="93"/>
        <v>462</v>
      </c>
      <c r="C521" s="16">
        <v>20200609</v>
      </c>
      <c r="D521" s="15" t="s">
        <v>3</v>
      </c>
      <c r="E521" s="15" t="s">
        <v>1130</v>
      </c>
      <c r="F521" s="199" t="s">
        <v>1741</v>
      </c>
      <c r="G521" s="17">
        <v>1500075</v>
      </c>
      <c r="H521" s="52" t="s">
        <v>61</v>
      </c>
      <c r="I521" s="15" t="s">
        <v>985</v>
      </c>
      <c r="J521" s="52" t="s">
        <v>61</v>
      </c>
      <c r="K521" s="15" t="s">
        <v>146</v>
      </c>
      <c r="L521" s="80" t="s">
        <v>150</v>
      </c>
      <c r="M521" s="15" t="s">
        <v>1159</v>
      </c>
      <c r="N521" s="15" t="s">
        <v>230</v>
      </c>
      <c r="O521" s="17" t="s">
        <v>61</v>
      </c>
      <c r="P521" s="17" t="s">
        <v>231</v>
      </c>
      <c r="Q521" s="18"/>
      <c r="R521" s="52" t="s">
        <v>61</v>
      </c>
      <c r="S521" s="15" t="s">
        <v>69</v>
      </c>
      <c r="T521" s="15"/>
      <c r="U521" s="15"/>
      <c r="V521" s="15">
        <v>90</v>
      </c>
      <c r="W521" s="15">
        <f t="shared" si="95"/>
        <v>90</v>
      </c>
      <c r="X521" s="15">
        <f t="shared" si="96"/>
        <v>90</v>
      </c>
      <c r="Y521" s="15">
        <f>ROUNDDOWN(W521/HLOOKUP(D521,Table!$C$3:$D$4,2,0)*8,2)</f>
        <v>1.6</v>
      </c>
      <c r="Z521" s="15">
        <v>1</v>
      </c>
      <c r="AA521" s="15" t="s">
        <v>74</v>
      </c>
      <c r="AB521" s="19">
        <v>43994</v>
      </c>
      <c r="AC521" s="19">
        <v>43991</v>
      </c>
      <c r="AD521" s="99">
        <v>43994</v>
      </c>
      <c r="AE521" s="19">
        <v>43993</v>
      </c>
      <c r="AF521" s="19">
        <v>43993</v>
      </c>
      <c r="AG521" s="19" t="s">
        <v>176</v>
      </c>
      <c r="AH521" s="31">
        <v>1</v>
      </c>
      <c r="AI521" s="31">
        <v>1</v>
      </c>
      <c r="AJ521" s="31">
        <v>1</v>
      </c>
      <c r="AK521" s="19" t="s">
        <v>150</v>
      </c>
      <c r="AL521" s="15"/>
      <c r="AM521" s="15"/>
      <c r="AN521" s="15"/>
    </row>
    <row r="522" spans="2:40" x14ac:dyDescent="0.25">
      <c r="B522" s="232">
        <f t="shared" si="93"/>
        <v>463</v>
      </c>
      <c r="C522" s="16">
        <v>20200609</v>
      </c>
      <c r="D522" s="15" t="s">
        <v>3</v>
      </c>
      <c r="E522" s="15" t="s">
        <v>1447</v>
      </c>
      <c r="F522" s="169" t="s">
        <v>1497</v>
      </c>
      <c r="G522" s="17">
        <v>1511411</v>
      </c>
      <c r="H522" s="52" t="s">
        <v>61</v>
      </c>
      <c r="I522" s="15" t="s">
        <v>1457</v>
      </c>
      <c r="J522" s="52" t="s">
        <v>61</v>
      </c>
      <c r="K522" s="15" t="s">
        <v>146</v>
      </c>
      <c r="L522" s="80" t="s">
        <v>1461</v>
      </c>
      <c r="M522" s="15" t="s">
        <v>1460</v>
      </c>
      <c r="N522" s="15" t="s">
        <v>1464</v>
      </c>
      <c r="O522" s="17" t="s">
        <v>61</v>
      </c>
      <c r="P522" s="17" t="s">
        <v>1469</v>
      </c>
      <c r="Q522" s="18"/>
      <c r="R522" s="52" t="s">
        <v>61</v>
      </c>
      <c r="S522" s="15" t="s">
        <v>67</v>
      </c>
      <c r="T522" s="15"/>
      <c r="U522" s="15"/>
      <c r="V522" s="15">
        <v>306</v>
      </c>
      <c r="W522" s="15">
        <f t="shared" si="95"/>
        <v>306</v>
      </c>
      <c r="X522" s="15">
        <f t="shared" si="96"/>
        <v>306</v>
      </c>
      <c r="Y522" s="15">
        <f>ROUNDDOWN(W522/HLOOKUP(D522,Table!$C$3:$D$4,2,0)*8,2)</f>
        <v>5.44</v>
      </c>
      <c r="Z522" s="15">
        <v>2</v>
      </c>
      <c r="AA522" s="15" t="s">
        <v>74</v>
      </c>
      <c r="AB522" s="19">
        <v>43998</v>
      </c>
      <c r="AC522" s="19">
        <v>43991</v>
      </c>
      <c r="AD522" s="172">
        <v>44004</v>
      </c>
      <c r="AE522" s="19">
        <v>43998</v>
      </c>
      <c r="AF522" s="19">
        <v>43998</v>
      </c>
      <c r="AG522" s="19" t="s">
        <v>176</v>
      </c>
      <c r="AH522" s="31">
        <v>0.97</v>
      </c>
      <c r="AI522" s="31">
        <v>0.93</v>
      </c>
      <c r="AJ522" s="31">
        <v>1</v>
      </c>
      <c r="AK522" s="19" t="s">
        <v>150</v>
      </c>
      <c r="AL522" s="17" t="s">
        <v>1747</v>
      </c>
      <c r="AM522" s="15"/>
      <c r="AN522" s="15"/>
    </row>
    <row r="523" spans="2:40" x14ac:dyDescent="0.25">
      <c r="B523" s="232">
        <f t="shared" si="93"/>
        <v>464</v>
      </c>
      <c r="C523" s="16">
        <v>20200609</v>
      </c>
      <c r="D523" s="15" t="s">
        <v>3</v>
      </c>
      <c r="E523" s="15" t="s">
        <v>1447</v>
      </c>
      <c r="F523" s="169" t="s">
        <v>1498</v>
      </c>
      <c r="G523" s="17">
        <v>1511411</v>
      </c>
      <c r="H523" s="52" t="s">
        <v>61</v>
      </c>
      <c r="I523" s="15" t="s">
        <v>1458</v>
      </c>
      <c r="J523" s="52" t="s">
        <v>61</v>
      </c>
      <c r="K523" s="15" t="s">
        <v>146</v>
      </c>
      <c r="L523" s="80" t="s">
        <v>1461</v>
      </c>
      <c r="M523" s="15" t="s">
        <v>1460</v>
      </c>
      <c r="N523" s="15" t="s">
        <v>1464</v>
      </c>
      <c r="O523" s="17" t="s">
        <v>61</v>
      </c>
      <c r="P523" s="17" t="s">
        <v>1469</v>
      </c>
      <c r="Q523" s="18"/>
      <c r="R523" s="52" t="s">
        <v>61</v>
      </c>
      <c r="S523" s="15" t="s">
        <v>70</v>
      </c>
      <c r="T523" s="15"/>
      <c r="U523" s="15"/>
      <c r="V523" s="15">
        <v>415</v>
      </c>
      <c r="W523" s="15">
        <f t="shared" si="95"/>
        <v>415</v>
      </c>
      <c r="X523" s="15">
        <f t="shared" si="96"/>
        <v>415</v>
      </c>
      <c r="Y523" s="15">
        <f>ROUNDDOWN(W523/HLOOKUP(D523,Table!$C$3:$D$4,2,0)*8,2)</f>
        <v>7.37</v>
      </c>
      <c r="Z523" s="15">
        <v>1</v>
      </c>
      <c r="AA523" s="15" t="s">
        <v>74</v>
      </c>
      <c r="AB523" s="19">
        <v>43998</v>
      </c>
      <c r="AC523" s="19">
        <v>43991</v>
      </c>
      <c r="AD523" s="172">
        <v>44004</v>
      </c>
      <c r="AE523" s="19">
        <v>43998</v>
      </c>
      <c r="AF523" s="19">
        <v>43998</v>
      </c>
      <c r="AG523" s="19" t="s">
        <v>176</v>
      </c>
      <c r="AH523" s="31">
        <v>1</v>
      </c>
      <c r="AI523" s="31">
        <v>1</v>
      </c>
      <c r="AJ523" s="31">
        <v>1</v>
      </c>
      <c r="AK523" s="19" t="s">
        <v>150</v>
      </c>
      <c r="AL523" s="15" t="s">
        <v>61</v>
      </c>
      <c r="AM523" s="15" t="s">
        <v>61</v>
      </c>
      <c r="AN523" s="17" t="s">
        <v>61</v>
      </c>
    </row>
    <row r="524" spans="2:40" x14ac:dyDescent="0.25">
      <c r="B524" s="232">
        <f t="shared" si="93"/>
        <v>465</v>
      </c>
      <c r="C524" s="16">
        <v>20200609</v>
      </c>
      <c r="D524" s="15" t="s">
        <v>3</v>
      </c>
      <c r="E524" s="15" t="s">
        <v>1447</v>
      </c>
      <c r="F524" s="169" t="s">
        <v>1499</v>
      </c>
      <c r="G524" s="17">
        <v>1511411</v>
      </c>
      <c r="H524" s="52" t="s">
        <v>61</v>
      </c>
      <c r="I524" s="15" t="s">
        <v>1459</v>
      </c>
      <c r="J524" s="52" t="s">
        <v>61</v>
      </c>
      <c r="K524" s="15" t="s">
        <v>146</v>
      </c>
      <c r="L524" s="80" t="s">
        <v>1461</v>
      </c>
      <c r="M524" s="15" t="s">
        <v>1460</v>
      </c>
      <c r="N524" s="15" t="s">
        <v>1464</v>
      </c>
      <c r="O524" s="17" t="s">
        <v>61</v>
      </c>
      <c r="P524" s="17" t="s">
        <v>1469</v>
      </c>
      <c r="Q524" s="18"/>
      <c r="R524" s="52" t="s">
        <v>61</v>
      </c>
      <c r="S524" s="15" t="s">
        <v>70</v>
      </c>
      <c r="T524" s="15"/>
      <c r="U524" s="15"/>
      <c r="V524" s="15">
        <v>359</v>
      </c>
      <c r="W524" s="15">
        <f t="shared" si="95"/>
        <v>359</v>
      </c>
      <c r="X524" s="15">
        <f t="shared" si="96"/>
        <v>359</v>
      </c>
      <c r="Y524" s="15">
        <f>ROUNDDOWN(W524/HLOOKUP(D524,Table!$C$3:$D$4,2,0)*8,2)</f>
        <v>6.38</v>
      </c>
      <c r="Z524" s="15">
        <v>1</v>
      </c>
      <c r="AA524" s="15" t="s">
        <v>74</v>
      </c>
      <c r="AB524" s="19">
        <v>43998</v>
      </c>
      <c r="AC524" s="19">
        <v>43991</v>
      </c>
      <c r="AD524" s="172">
        <v>44004</v>
      </c>
      <c r="AE524" s="19">
        <v>43997</v>
      </c>
      <c r="AF524" s="19">
        <v>43997</v>
      </c>
      <c r="AG524" s="19" t="s">
        <v>176</v>
      </c>
      <c r="AH524" s="31">
        <v>1</v>
      </c>
      <c r="AI524" s="31">
        <v>1</v>
      </c>
      <c r="AJ524" s="31">
        <v>1</v>
      </c>
      <c r="AK524" s="19" t="s">
        <v>150</v>
      </c>
      <c r="AL524" s="15" t="s">
        <v>61</v>
      </c>
      <c r="AM524" s="15" t="s">
        <v>61</v>
      </c>
      <c r="AN524" s="17" t="s">
        <v>61</v>
      </c>
    </row>
    <row r="525" spans="2:40" x14ac:dyDescent="0.25">
      <c r="B525" s="133">
        <f t="shared" si="93"/>
        <v>466</v>
      </c>
      <c r="C525" s="16">
        <v>20200611</v>
      </c>
      <c r="D525" s="15" t="s">
        <v>3</v>
      </c>
      <c r="E525" s="80" t="s">
        <v>1513</v>
      </c>
      <c r="F525" s="169" t="s">
        <v>1731</v>
      </c>
      <c r="G525" s="80">
        <v>1518154</v>
      </c>
      <c r="H525" s="52" t="s">
        <v>61</v>
      </c>
      <c r="I525" s="80" t="s">
        <v>1453</v>
      </c>
      <c r="J525" s="52" t="s">
        <v>61</v>
      </c>
      <c r="K525" s="15" t="s">
        <v>146</v>
      </c>
      <c r="L525" s="80" t="s">
        <v>1518</v>
      </c>
      <c r="M525" s="80" t="s">
        <v>1515</v>
      </c>
      <c r="N525" s="80" t="s">
        <v>1520</v>
      </c>
      <c r="O525" s="17" t="s">
        <v>61</v>
      </c>
      <c r="P525" s="77" t="s">
        <v>152</v>
      </c>
      <c r="Q525" s="18"/>
      <c r="R525" s="52" t="s">
        <v>61</v>
      </c>
      <c r="S525" s="15" t="s">
        <v>6</v>
      </c>
      <c r="T525" s="15"/>
      <c r="U525" s="15"/>
      <c r="V525" s="80">
        <v>151</v>
      </c>
      <c r="W525" s="15">
        <f t="shared" ref="W525:W528" si="97">V525</f>
        <v>151</v>
      </c>
      <c r="X525" s="15">
        <f t="shared" ref="X525:X532" si="98">W525</f>
        <v>151</v>
      </c>
      <c r="Y525" s="15">
        <f>ROUNDDOWN(W525/HLOOKUP(D525,Table!$C$3:$D$4,2,0)*8,2)</f>
        <v>2.68</v>
      </c>
      <c r="Z525" s="15">
        <v>1</v>
      </c>
      <c r="AA525" s="15" t="s">
        <v>74</v>
      </c>
      <c r="AB525" s="19">
        <v>43998</v>
      </c>
      <c r="AC525" s="19">
        <v>43993</v>
      </c>
      <c r="AD525" s="99">
        <v>43999</v>
      </c>
      <c r="AE525" s="19">
        <v>43997</v>
      </c>
      <c r="AF525" s="19">
        <v>43997</v>
      </c>
      <c r="AG525" s="19" t="s">
        <v>176</v>
      </c>
      <c r="AH525" s="31">
        <v>1</v>
      </c>
      <c r="AI525" s="31">
        <v>1</v>
      </c>
      <c r="AJ525" s="31">
        <v>1</v>
      </c>
      <c r="AK525" s="19" t="s">
        <v>150</v>
      </c>
      <c r="AL525" s="15"/>
      <c r="AM525" s="15"/>
      <c r="AN525" s="15"/>
    </row>
    <row r="526" spans="2:40" x14ac:dyDescent="0.25">
      <c r="B526" s="133">
        <f t="shared" si="93"/>
        <v>467</v>
      </c>
      <c r="C526" s="16">
        <v>20200611</v>
      </c>
      <c r="D526" s="15" t="s">
        <v>3</v>
      </c>
      <c r="E526" s="80" t="s">
        <v>1513</v>
      </c>
      <c r="F526" s="169" t="s">
        <v>1732</v>
      </c>
      <c r="G526" s="80">
        <v>1518154</v>
      </c>
      <c r="H526" s="52" t="s">
        <v>61</v>
      </c>
      <c r="I526" s="80" t="s">
        <v>223</v>
      </c>
      <c r="J526" s="52" t="s">
        <v>61</v>
      </c>
      <c r="K526" s="15" t="s">
        <v>146</v>
      </c>
      <c r="L526" s="15" t="s">
        <v>1518</v>
      </c>
      <c r="M526" s="80" t="s">
        <v>1515</v>
      </c>
      <c r="N526" s="15" t="s">
        <v>1520</v>
      </c>
      <c r="O526" s="17" t="s">
        <v>61</v>
      </c>
      <c r="P526" s="17" t="s">
        <v>152</v>
      </c>
      <c r="Q526" s="18"/>
      <c r="R526" s="52" t="s">
        <v>61</v>
      </c>
      <c r="S526" s="15" t="s">
        <v>6</v>
      </c>
      <c r="T526" s="15"/>
      <c r="U526" s="15"/>
      <c r="V526" s="80">
        <v>319</v>
      </c>
      <c r="W526" s="84">
        <v>336</v>
      </c>
      <c r="X526" s="15">
        <f t="shared" si="98"/>
        <v>336</v>
      </c>
      <c r="Y526" s="15">
        <f>ROUNDDOWN(W526/HLOOKUP(D526,Table!$C$3:$D$4,2,0)*8,2)</f>
        <v>5.97</v>
      </c>
      <c r="Z526" s="15">
        <v>2</v>
      </c>
      <c r="AA526" s="15" t="s">
        <v>74</v>
      </c>
      <c r="AB526" s="19">
        <v>43998</v>
      </c>
      <c r="AC526" s="19">
        <v>43993</v>
      </c>
      <c r="AD526" s="99">
        <v>43999</v>
      </c>
      <c r="AE526" s="19">
        <v>43997</v>
      </c>
      <c r="AF526" s="19">
        <v>43997</v>
      </c>
      <c r="AG526" s="19" t="s">
        <v>176</v>
      </c>
      <c r="AH526" s="31">
        <v>1</v>
      </c>
      <c r="AI526" s="31">
        <v>1</v>
      </c>
      <c r="AJ526" s="31">
        <v>1</v>
      </c>
      <c r="AK526" s="19" t="s">
        <v>150</v>
      </c>
      <c r="AL526" s="15"/>
      <c r="AM526" s="15"/>
      <c r="AN526" s="15" t="s">
        <v>1738</v>
      </c>
    </row>
    <row r="527" spans="2:40" x14ac:dyDescent="0.25">
      <c r="B527" s="133">
        <f t="shared" si="93"/>
        <v>468</v>
      </c>
      <c r="C527" s="16">
        <v>20200611</v>
      </c>
      <c r="D527" s="15" t="s">
        <v>3</v>
      </c>
      <c r="E527" s="80" t="s">
        <v>1513</v>
      </c>
      <c r="F527" s="169" t="s">
        <v>1733</v>
      </c>
      <c r="G527" s="80">
        <v>1518154</v>
      </c>
      <c r="H527" s="52" t="s">
        <v>61</v>
      </c>
      <c r="I527" s="80" t="s">
        <v>224</v>
      </c>
      <c r="J527" s="52" t="s">
        <v>61</v>
      </c>
      <c r="K527" s="15" t="s">
        <v>146</v>
      </c>
      <c r="L527" s="15" t="s">
        <v>1518</v>
      </c>
      <c r="M527" s="80" t="s">
        <v>1515</v>
      </c>
      <c r="N527" s="15" t="s">
        <v>1520</v>
      </c>
      <c r="O527" s="17" t="s">
        <v>61</v>
      </c>
      <c r="P527" s="17" t="s">
        <v>152</v>
      </c>
      <c r="Q527" s="18"/>
      <c r="R527" s="52" t="s">
        <v>61</v>
      </c>
      <c r="S527" s="15" t="s">
        <v>70</v>
      </c>
      <c r="T527" s="15"/>
      <c r="U527" s="15"/>
      <c r="V527" s="80">
        <v>309</v>
      </c>
      <c r="W527" s="15">
        <f t="shared" si="97"/>
        <v>309</v>
      </c>
      <c r="X527" s="15">
        <f t="shared" si="98"/>
        <v>309</v>
      </c>
      <c r="Y527" s="15">
        <f>ROUNDDOWN(W527/HLOOKUP(D527,Table!$C$3:$D$4,2,0)*8,2)</f>
        <v>5.49</v>
      </c>
      <c r="Z527" s="15">
        <v>1</v>
      </c>
      <c r="AA527" s="15" t="s">
        <v>74</v>
      </c>
      <c r="AB527" s="19">
        <v>43998</v>
      </c>
      <c r="AC527" s="19">
        <v>43993</v>
      </c>
      <c r="AD527" s="99">
        <v>43999</v>
      </c>
      <c r="AE527" s="19">
        <v>43994</v>
      </c>
      <c r="AF527" s="19">
        <v>43994</v>
      </c>
      <c r="AG527" s="19" t="s">
        <v>177</v>
      </c>
      <c r="AH527" s="31">
        <v>1</v>
      </c>
      <c r="AI527" s="31">
        <v>1</v>
      </c>
      <c r="AJ527" s="31">
        <v>0.96</v>
      </c>
      <c r="AK527" s="19" t="s">
        <v>150</v>
      </c>
      <c r="AL527" s="15" t="s">
        <v>61</v>
      </c>
      <c r="AM527" s="15" t="s">
        <v>61</v>
      </c>
      <c r="AN527" s="17" t="s">
        <v>1717</v>
      </c>
    </row>
    <row r="528" spans="2:40" x14ac:dyDescent="0.25">
      <c r="B528" s="133">
        <f t="shared" si="93"/>
        <v>469</v>
      </c>
      <c r="C528" s="16">
        <v>20200611</v>
      </c>
      <c r="D528" s="15" t="s">
        <v>3</v>
      </c>
      <c r="E528" s="80" t="s">
        <v>1513</v>
      </c>
      <c r="F528" s="169" t="s">
        <v>1734</v>
      </c>
      <c r="G528" s="80">
        <v>1518154</v>
      </c>
      <c r="H528" s="52" t="s">
        <v>61</v>
      </c>
      <c r="I528" s="80" t="s">
        <v>1454</v>
      </c>
      <c r="J528" s="52" t="s">
        <v>61</v>
      </c>
      <c r="K528" s="15" t="s">
        <v>146</v>
      </c>
      <c r="L528" s="15" t="s">
        <v>1518</v>
      </c>
      <c r="M528" s="80" t="s">
        <v>1515</v>
      </c>
      <c r="N528" s="15" t="s">
        <v>1520</v>
      </c>
      <c r="O528" s="17" t="s">
        <v>61</v>
      </c>
      <c r="P528" s="17" t="s">
        <v>152</v>
      </c>
      <c r="Q528" s="18"/>
      <c r="R528" s="52" t="s">
        <v>61</v>
      </c>
      <c r="S528" s="15" t="s">
        <v>70</v>
      </c>
      <c r="T528" s="15"/>
      <c r="U528" s="15"/>
      <c r="V528" s="80">
        <v>27</v>
      </c>
      <c r="W528" s="15">
        <v>0</v>
      </c>
      <c r="X528" s="15">
        <f>W528</f>
        <v>0</v>
      </c>
      <c r="Y528" s="15">
        <f>ROUNDDOWN(W528/HLOOKUP(D528,Table!$C$3:$D$4,2,0)*8,2)</f>
        <v>0</v>
      </c>
      <c r="Z528" s="15">
        <v>0.5</v>
      </c>
      <c r="AA528" s="15" t="s">
        <v>74</v>
      </c>
      <c r="AB528" s="19">
        <v>43998</v>
      </c>
      <c r="AC528" s="19">
        <v>43993</v>
      </c>
      <c r="AD528" s="99">
        <v>43999</v>
      </c>
      <c r="AE528" s="19">
        <v>43994</v>
      </c>
      <c r="AF528" s="19">
        <v>43994</v>
      </c>
      <c r="AG528" s="19" t="s">
        <v>176</v>
      </c>
      <c r="AH528" s="31" t="s">
        <v>61</v>
      </c>
      <c r="AI528" s="31" t="s">
        <v>61</v>
      </c>
      <c r="AJ528" s="31" t="s">
        <v>61</v>
      </c>
      <c r="AK528" s="19" t="s">
        <v>150</v>
      </c>
      <c r="AL528" s="15" t="s">
        <v>61</v>
      </c>
      <c r="AM528" s="15" t="s">
        <v>61</v>
      </c>
      <c r="AN528" s="17" t="s">
        <v>1712</v>
      </c>
    </row>
    <row r="529" spans="2:40" x14ac:dyDescent="0.25">
      <c r="B529" s="133">
        <f t="shared" si="93"/>
        <v>470</v>
      </c>
      <c r="C529" s="16">
        <v>20200611</v>
      </c>
      <c r="D529" s="15" t="s">
        <v>3</v>
      </c>
      <c r="E529" s="80" t="s">
        <v>1513</v>
      </c>
      <c r="F529" s="169" t="s">
        <v>1735</v>
      </c>
      <c r="G529" s="80">
        <v>1518154</v>
      </c>
      <c r="H529" s="52" t="s">
        <v>61</v>
      </c>
      <c r="I529" s="80" t="s">
        <v>1455</v>
      </c>
      <c r="J529" s="52" t="s">
        <v>61</v>
      </c>
      <c r="K529" s="15" t="s">
        <v>146</v>
      </c>
      <c r="L529" s="15" t="s">
        <v>1518</v>
      </c>
      <c r="M529" s="80" t="s">
        <v>1515</v>
      </c>
      <c r="N529" s="15" t="s">
        <v>1520</v>
      </c>
      <c r="O529" s="17" t="s">
        <v>61</v>
      </c>
      <c r="P529" s="17" t="s">
        <v>152</v>
      </c>
      <c r="Q529" s="18"/>
      <c r="R529" s="52" t="s">
        <v>61</v>
      </c>
      <c r="S529" s="15" t="s">
        <v>142</v>
      </c>
      <c r="T529" s="15"/>
      <c r="U529" s="15"/>
      <c r="V529" s="80">
        <v>126</v>
      </c>
      <c r="W529" s="84">
        <v>128</v>
      </c>
      <c r="X529" s="15">
        <f t="shared" si="98"/>
        <v>128</v>
      </c>
      <c r="Y529" s="15">
        <f>ROUNDDOWN(W529/HLOOKUP(D529,Table!$C$3:$D$4,2,0)*8,2)</f>
        <v>2.27</v>
      </c>
      <c r="Z529" s="15">
        <v>1</v>
      </c>
      <c r="AA529" s="15" t="s">
        <v>74</v>
      </c>
      <c r="AB529" s="19">
        <v>43998</v>
      </c>
      <c r="AC529" s="19">
        <v>43993</v>
      </c>
      <c r="AD529" s="99">
        <v>43999</v>
      </c>
      <c r="AE529" s="19">
        <v>43994</v>
      </c>
      <c r="AF529" s="19">
        <v>43994</v>
      </c>
      <c r="AG529" s="19" t="s">
        <v>176</v>
      </c>
      <c r="AH529" s="31">
        <v>1</v>
      </c>
      <c r="AI529" s="31">
        <v>1</v>
      </c>
      <c r="AJ529" s="31">
        <v>1</v>
      </c>
      <c r="AK529" s="19" t="s">
        <v>150</v>
      </c>
      <c r="AL529" s="17" t="s">
        <v>61</v>
      </c>
      <c r="AM529" s="17" t="s">
        <v>61</v>
      </c>
      <c r="AN529" s="17" t="s">
        <v>1739</v>
      </c>
    </row>
    <row r="530" spans="2:40" x14ac:dyDescent="0.25">
      <c r="B530" s="133">
        <f t="shared" si="93"/>
        <v>471</v>
      </c>
      <c r="C530" s="16">
        <v>20200611</v>
      </c>
      <c r="D530" s="15" t="s">
        <v>3</v>
      </c>
      <c r="E530" s="80" t="s">
        <v>1513</v>
      </c>
      <c r="F530" s="169" t="s">
        <v>1736</v>
      </c>
      <c r="G530" s="80">
        <v>1518154</v>
      </c>
      <c r="H530" s="52" t="s">
        <v>61</v>
      </c>
      <c r="I530" s="80" t="s">
        <v>1456</v>
      </c>
      <c r="J530" s="52" t="s">
        <v>61</v>
      </c>
      <c r="K530" s="15" t="s">
        <v>146</v>
      </c>
      <c r="L530" s="15" t="s">
        <v>1518</v>
      </c>
      <c r="M530" s="80" t="s">
        <v>1515</v>
      </c>
      <c r="N530" s="15" t="s">
        <v>1520</v>
      </c>
      <c r="O530" s="17" t="s">
        <v>61</v>
      </c>
      <c r="P530" s="17" t="s">
        <v>152</v>
      </c>
      <c r="Q530" s="18"/>
      <c r="R530" s="52" t="s">
        <v>61</v>
      </c>
      <c r="S530" s="15" t="s">
        <v>67</v>
      </c>
      <c r="T530" s="15"/>
      <c r="U530" s="15"/>
      <c r="V530" s="80">
        <v>1299</v>
      </c>
      <c r="W530" s="15">
        <v>0</v>
      </c>
      <c r="X530" s="15">
        <f>W530</f>
        <v>0</v>
      </c>
      <c r="Y530" s="15">
        <f>ROUNDDOWN(W530/HLOOKUP(D530,Table!$C$3:$D$4,2,0)*8,2)</f>
        <v>0</v>
      </c>
      <c r="Z530" s="15">
        <v>0</v>
      </c>
      <c r="AA530" s="15" t="s">
        <v>74</v>
      </c>
      <c r="AB530" s="19">
        <v>43998</v>
      </c>
      <c r="AC530" s="19">
        <v>43993</v>
      </c>
      <c r="AD530" s="99">
        <v>43999</v>
      </c>
      <c r="AE530" s="19">
        <v>43997</v>
      </c>
      <c r="AF530" s="19">
        <v>43997</v>
      </c>
      <c r="AG530" s="19" t="s">
        <v>176</v>
      </c>
      <c r="AH530" s="31" t="s">
        <v>61</v>
      </c>
      <c r="AI530" s="31" t="s">
        <v>61</v>
      </c>
      <c r="AJ530" s="31" t="s">
        <v>61</v>
      </c>
      <c r="AK530" s="19" t="s">
        <v>150</v>
      </c>
      <c r="AL530" s="15"/>
      <c r="AM530" s="17" t="s">
        <v>61</v>
      </c>
      <c r="AN530" s="18" t="s">
        <v>1740</v>
      </c>
    </row>
    <row r="531" spans="2:40" x14ac:dyDescent="0.25">
      <c r="B531" s="133">
        <f t="shared" si="93"/>
        <v>472</v>
      </c>
      <c r="C531" s="16">
        <v>20200611</v>
      </c>
      <c r="D531" s="15" t="s">
        <v>3</v>
      </c>
      <c r="E531" s="80" t="s">
        <v>1513</v>
      </c>
      <c r="F531" s="169" t="s">
        <v>1737</v>
      </c>
      <c r="G531" s="80">
        <v>1518154</v>
      </c>
      <c r="H531" s="52" t="s">
        <v>61</v>
      </c>
      <c r="I531" s="80" t="s">
        <v>1410</v>
      </c>
      <c r="J531" s="52" t="s">
        <v>61</v>
      </c>
      <c r="K531" s="15" t="s">
        <v>146</v>
      </c>
      <c r="L531" s="15" t="s">
        <v>1518</v>
      </c>
      <c r="M531" s="80" t="s">
        <v>1515</v>
      </c>
      <c r="N531" s="15" t="s">
        <v>1520</v>
      </c>
      <c r="O531" s="17" t="s">
        <v>61</v>
      </c>
      <c r="P531" s="17" t="s">
        <v>152</v>
      </c>
      <c r="Q531" s="18"/>
      <c r="R531" s="52" t="s">
        <v>61</v>
      </c>
      <c r="S531" s="15" t="s">
        <v>142</v>
      </c>
      <c r="T531" s="15"/>
      <c r="U531" s="15"/>
      <c r="V531" s="80">
        <v>111</v>
      </c>
      <c r="W531" s="84">
        <v>112</v>
      </c>
      <c r="X531" s="15">
        <f t="shared" si="98"/>
        <v>112</v>
      </c>
      <c r="Y531" s="15">
        <f>ROUNDDOWN(W531/HLOOKUP(D531,Table!$C$3:$D$4,2,0)*8,2)</f>
        <v>1.99</v>
      </c>
      <c r="Z531" s="15">
        <v>1.5</v>
      </c>
      <c r="AA531" s="15" t="s">
        <v>74</v>
      </c>
      <c r="AB531" s="19">
        <v>43998</v>
      </c>
      <c r="AC531" s="19">
        <v>43993</v>
      </c>
      <c r="AD531" s="99">
        <v>43999</v>
      </c>
      <c r="AE531" s="19">
        <v>43994</v>
      </c>
      <c r="AF531" s="19">
        <v>43994</v>
      </c>
      <c r="AG531" s="19" t="s">
        <v>177</v>
      </c>
      <c r="AH531" s="31">
        <v>1</v>
      </c>
      <c r="AI531" s="31">
        <v>0.91</v>
      </c>
      <c r="AJ531" s="31">
        <v>0.83</v>
      </c>
      <c r="AK531" s="19" t="s">
        <v>139</v>
      </c>
      <c r="AL531" s="80" t="s">
        <v>1714</v>
      </c>
      <c r="AM531" s="17" t="s">
        <v>61</v>
      </c>
      <c r="AN531" s="17" t="s">
        <v>647</v>
      </c>
    </row>
    <row r="532" spans="2:40" x14ac:dyDescent="0.25">
      <c r="B532" s="133">
        <f t="shared" si="93"/>
        <v>473</v>
      </c>
      <c r="C532" s="16">
        <v>20200611</v>
      </c>
      <c r="D532" s="15" t="s">
        <v>3</v>
      </c>
      <c r="E532" s="80" t="s">
        <v>358</v>
      </c>
      <c r="F532" s="169" t="s">
        <v>1516</v>
      </c>
      <c r="G532" s="80">
        <v>1518206</v>
      </c>
      <c r="H532" s="52" t="s">
        <v>61</v>
      </c>
      <c r="I532" s="80" t="s">
        <v>160</v>
      </c>
      <c r="J532" s="52" t="s">
        <v>61</v>
      </c>
      <c r="K532" s="15" t="s">
        <v>146</v>
      </c>
      <c r="L532" s="80" t="s">
        <v>1519</v>
      </c>
      <c r="M532" s="80" t="s">
        <v>360</v>
      </c>
      <c r="N532" s="80" t="s">
        <v>362</v>
      </c>
      <c r="O532" s="17" t="s">
        <v>61</v>
      </c>
      <c r="P532" s="77" t="s">
        <v>203</v>
      </c>
      <c r="Q532" s="18"/>
      <c r="R532" s="52" t="s">
        <v>61</v>
      </c>
      <c r="S532" s="15" t="s">
        <v>70</v>
      </c>
      <c r="T532" s="15"/>
      <c r="U532" s="15"/>
      <c r="V532" s="80">
        <v>31</v>
      </c>
      <c r="W532" s="15">
        <f t="shared" ref="W532" si="99">V532</f>
        <v>31</v>
      </c>
      <c r="X532" s="15">
        <f t="shared" si="98"/>
        <v>31</v>
      </c>
      <c r="Y532" s="15">
        <f>ROUNDDOWN(W532/HLOOKUP(D532,Table!$C$3:$D$4,2,0)*8,2)</f>
        <v>0.55000000000000004</v>
      </c>
      <c r="Z532" s="15">
        <v>0.5</v>
      </c>
      <c r="AA532" s="15" t="s">
        <v>74</v>
      </c>
      <c r="AB532" s="19">
        <v>43997</v>
      </c>
      <c r="AC532" s="19">
        <v>43993</v>
      </c>
      <c r="AD532" s="99">
        <v>43997</v>
      </c>
      <c r="AE532" s="19">
        <v>43994</v>
      </c>
      <c r="AF532" s="19">
        <v>43994</v>
      </c>
      <c r="AG532" s="19" t="s">
        <v>176</v>
      </c>
      <c r="AH532" s="31">
        <v>1</v>
      </c>
      <c r="AI532" s="31">
        <v>1</v>
      </c>
      <c r="AJ532" s="31">
        <v>1</v>
      </c>
      <c r="AK532" s="19" t="s">
        <v>150</v>
      </c>
      <c r="AL532" s="15" t="s">
        <v>61</v>
      </c>
      <c r="AM532" s="15" t="s">
        <v>61</v>
      </c>
      <c r="AN532" s="15" t="s">
        <v>61</v>
      </c>
    </row>
    <row r="533" spans="2:40" x14ac:dyDescent="0.25">
      <c r="B533" s="158">
        <f t="shared" si="93"/>
        <v>474</v>
      </c>
      <c r="C533" s="16">
        <v>20200618</v>
      </c>
      <c r="D533" s="15" t="s">
        <v>3</v>
      </c>
      <c r="E533" s="80" t="s">
        <v>1847</v>
      </c>
      <c r="F533" s="169" t="s">
        <v>1852</v>
      </c>
      <c r="G533" s="17">
        <v>1517707</v>
      </c>
      <c r="H533" s="52" t="s">
        <v>61</v>
      </c>
      <c r="I533" s="15" t="s">
        <v>154</v>
      </c>
      <c r="J533" s="52" t="s">
        <v>61</v>
      </c>
      <c r="K533" s="15" t="s">
        <v>146</v>
      </c>
      <c r="L533" s="15" t="s">
        <v>1849</v>
      </c>
      <c r="M533" s="15" t="s">
        <v>1514</v>
      </c>
      <c r="N533" s="15" t="s">
        <v>1848</v>
      </c>
      <c r="O533" s="17" t="s">
        <v>61</v>
      </c>
      <c r="P533" s="17" t="s">
        <v>1850</v>
      </c>
      <c r="Q533" s="18"/>
      <c r="R533" s="52" t="s">
        <v>61</v>
      </c>
      <c r="S533" s="15" t="s">
        <v>67</v>
      </c>
      <c r="T533" s="15"/>
      <c r="U533" s="15"/>
      <c r="V533" s="15">
        <v>101</v>
      </c>
      <c r="W533" s="15">
        <f>V533-V533+188</f>
        <v>188</v>
      </c>
      <c r="X533" s="15">
        <f>W533</f>
        <v>188</v>
      </c>
      <c r="Y533" s="15">
        <f>ROUNDDOWN(W533/HLOOKUP(D533,Table!$C$3:$D$4,2,0)*8,2)</f>
        <v>3.34</v>
      </c>
      <c r="Z533" s="15">
        <v>1</v>
      </c>
      <c r="AA533" s="15" t="s">
        <v>21</v>
      </c>
      <c r="AB533" s="19">
        <v>44001</v>
      </c>
      <c r="AC533" s="19">
        <v>44001</v>
      </c>
      <c r="AD533" s="99">
        <v>44001</v>
      </c>
      <c r="AE533" s="19">
        <v>44001</v>
      </c>
      <c r="AF533" s="19">
        <v>44001</v>
      </c>
      <c r="AG533" s="19" t="s">
        <v>177</v>
      </c>
      <c r="AH533" s="31">
        <v>1</v>
      </c>
      <c r="AI533" s="31">
        <v>1</v>
      </c>
      <c r="AJ533" s="31">
        <v>0.5</v>
      </c>
      <c r="AK533" s="19" t="s">
        <v>139</v>
      </c>
      <c r="AL533" s="15" t="s">
        <v>1853</v>
      </c>
      <c r="AM533" s="17" t="s">
        <v>61</v>
      </c>
      <c r="AN533" s="17" t="s">
        <v>1854</v>
      </c>
    </row>
    <row r="534" spans="2:40" x14ac:dyDescent="0.25">
      <c r="B534" s="20"/>
      <c r="C534" s="16"/>
      <c r="D534" s="15"/>
      <c r="E534" s="80"/>
      <c r="F534" s="17"/>
      <c r="G534" s="17"/>
      <c r="H534" s="52" t="s">
        <v>61</v>
      </c>
      <c r="I534" s="15"/>
      <c r="J534" s="52" t="s">
        <v>61</v>
      </c>
      <c r="K534" s="15"/>
      <c r="L534" s="15"/>
      <c r="M534" s="15"/>
      <c r="N534" s="15"/>
      <c r="O534" s="17"/>
      <c r="P534" s="17"/>
      <c r="Q534" s="18"/>
      <c r="R534" s="52" t="s">
        <v>61</v>
      </c>
      <c r="S534" s="15"/>
      <c r="T534" s="15"/>
      <c r="U534" s="15"/>
      <c r="V534" s="15"/>
      <c r="W534" s="15"/>
      <c r="X534" s="15"/>
      <c r="Y534" s="15"/>
      <c r="Z534" s="15"/>
      <c r="AA534" s="15"/>
      <c r="AB534" s="19"/>
      <c r="AC534" s="19"/>
      <c r="AD534" s="19"/>
      <c r="AE534" s="19"/>
      <c r="AF534" s="19"/>
      <c r="AG534" s="19"/>
      <c r="AH534" s="31"/>
      <c r="AI534" s="31"/>
      <c r="AJ534" s="31"/>
      <c r="AK534" s="19"/>
      <c r="AL534" s="15"/>
      <c r="AM534" s="15"/>
      <c r="AN534" s="17" t="s">
        <v>61</v>
      </c>
    </row>
    <row r="535" spans="2:40" x14ac:dyDescent="0.25">
      <c r="B535" s="20"/>
      <c r="C535" s="16"/>
      <c r="D535" s="15"/>
      <c r="E535" s="80"/>
      <c r="F535" s="17"/>
      <c r="G535" s="17"/>
      <c r="H535" s="52" t="s">
        <v>61</v>
      </c>
      <c r="I535" s="15"/>
      <c r="J535" s="52" t="s">
        <v>61</v>
      </c>
      <c r="K535" s="15"/>
      <c r="L535" s="15"/>
      <c r="M535" s="15"/>
      <c r="N535" s="15"/>
      <c r="O535" s="17"/>
      <c r="P535" s="17"/>
      <c r="Q535" s="18"/>
      <c r="R535" s="52" t="s">
        <v>61</v>
      </c>
      <c r="S535" s="15"/>
      <c r="T535" s="15"/>
      <c r="U535" s="15"/>
      <c r="V535" s="15"/>
      <c r="W535" s="15"/>
      <c r="X535" s="15"/>
      <c r="Y535" s="15"/>
      <c r="Z535" s="15"/>
      <c r="AA535" s="15"/>
      <c r="AB535" s="19"/>
      <c r="AC535" s="19"/>
      <c r="AD535" s="19"/>
      <c r="AE535" s="19"/>
      <c r="AF535" s="19"/>
      <c r="AG535" s="19"/>
      <c r="AH535" s="31"/>
      <c r="AI535" s="31"/>
      <c r="AJ535" s="31"/>
      <c r="AK535" s="19"/>
      <c r="AL535" s="15"/>
      <c r="AM535" s="15"/>
      <c r="AN535" s="17" t="s">
        <v>61</v>
      </c>
    </row>
    <row r="536" spans="2:40" x14ac:dyDescent="0.25">
      <c r="B536" s="20"/>
      <c r="C536" s="16"/>
      <c r="D536" s="15"/>
      <c r="E536" s="80"/>
      <c r="F536" s="17"/>
      <c r="G536" s="17"/>
      <c r="H536" s="52" t="s">
        <v>61</v>
      </c>
      <c r="I536" s="15"/>
      <c r="J536" s="52" t="s">
        <v>61</v>
      </c>
      <c r="K536" s="15"/>
      <c r="L536" s="15"/>
      <c r="M536" s="15"/>
      <c r="N536" s="15"/>
      <c r="O536" s="17"/>
      <c r="P536" s="17"/>
      <c r="Q536" s="18"/>
      <c r="R536" s="52" t="s">
        <v>61</v>
      </c>
      <c r="S536" s="15"/>
      <c r="T536" s="15"/>
      <c r="U536" s="15"/>
      <c r="V536" s="15"/>
      <c r="W536" s="15"/>
      <c r="X536" s="15"/>
      <c r="Y536" s="15"/>
      <c r="Z536" s="15"/>
      <c r="AA536" s="15"/>
      <c r="AB536" s="19"/>
      <c r="AC536" s="19"/>
      <c r="AD536" s="19"/>
      <c r="AE536" s="19"/>
      <c r="AF536" s="19"/>
      <c r="AG536" s="19"/>
      <c r="AH536" s="31"/>
      <c r="AI536" s="31"/>
      <c r="AJ536" s="31"/>
      <c r="AK536" s="19"/>
      <c r="AL536" s="15"/>
      <c r="AM536" s="15"/>
      <c r="AN536" s="17" t="s">
        <v>61</v>
      </c>
    </row>
    <row r="537" spans="2:40" x14ac:dyDescent="0.25">
      <c r="B537" s="20"/>
      <c r="C537" s="16"/>
      <c r="D537" s="15"/>
      <c r="E537" s="80"/>
      <c r="F537" s="17"/>
      <c r="G537" s="17"/>
      <c r="H537" s="52" t="s">
        <v>61</v>
      </c>
      <c r="I537" s="15"/>
      <c r="J537" s="52" t="s">
        <v>61</v>
      </c>
      <c r="K537" s="15"/>
      <c r="L537" s="15"/>
      <c r="M537" s="15"/>
      <c r="N537" s="15"/>
      <c r="O537" s="17"/>
      <c r="P537" s="17"/>
      <c r="Q537" s="18"/>
      <c r="R537" s="52" t="s">
        <v>61</v>
      </c>
      <c r="S537" s="15"/>
      <c r="T537" s="15"/>
      <c r="U537" s="15"/>
      <c r="V537" s="15"/>
      <c r="W537" s="15"/>
      <c r="X537" s="15"/>
      <c r="Y537" s="15"/>
      <c r="Z537" s="15"/>
      <c r="AA537" s="15"/>
      <c r="AB537" s="19"/>
      <c r="AC537" s="19"/>
      <c r="AD537" s="19"/>
      <c r="AE537" s="19"/>
      <c r="AF537" s="19"/>
      <c r="AG537" s="19"/>
      <c r="AH537" s="31"/>
      <c r="AI537" s="31"/>
      <c r="AJ537" s="31"/>
      <c r="AK537" s="19"/>
      <c r="AL537" s="15"/>
      <c r="AM537" s="15"/>
      <c r="AN537" s="17" t="s">
        <v>61</v>
      </c>
    </row>
    <row r="538" spans="2:40" x14ac:dyDescent="0.25">
      <c r="B538" s="20"/>
      <c r="C538" s="16"/>
      <c r="D538" s="15"/>
      <c r="E538" s="80"/>
      <c r="F538" s="17"/>
      <c r="G538" s="17"/>
      <c r="H538" s="52" t="s">
        <v>61</v>
      </c>
      <c r="I538" s="15"/>
      <c r="J538" s="52" t="s">
        <v>61</v>
      </c>
      <c r="K538" s="15"/>
      <c r="L538" s="15"/>
      <c r="M538" s="15"/>
      <c r="N538" s="15"/>
      <c r="O538" s="17"/>
      <c r="P538" s="17"/>
      <c r="Q538" s="18"/>
      <c r="R538" s="52" t="s">
        <v>61</v>
      </c>
      <c r="S538" s="15"/>
      <c r="T538" s="15"/>
      <c r="U538" s="15"/>
      <c r="V538" s="15"/>
      <c r="W538" s="15"/>
      <c r="X538" s="15"/>
      <c r="Y538" s="15"/>
      <c r="Z538" s="15"/>
      <c r="AA538" s="15"/>
      <c r="AB538" s="19"/>
      <c r="AC538" s="19"/>
      <c r="AD538" s="19"/>
      <c r="AE538" s="19"/>
      <c r="AF538" s="19"/>
      <c r="AG538" s="19"/>
      <c r="AH538" s="31"/>
      <c r="AI538" s="31"/>
      <c r="AJ538" s="31"/>
      <c r="AK538" s="19"/>
      <c r="AL538" s="15"/>
      <c r="AM538" s="15"/>
      <c r="AN538" s="17" t="s">
        <v>61</v>
      </c>
    </row>
    <row r="539" spans="2:40" x14ac:dyDescent="0.25">
      <c r="B539" s="5"/>
      <c r="C539" s="5"/>
      <c r="D539" s="5"/>
      <c r="F539" s="5"/>
      <c r="G539" s="5"/>
      <c r="H539" s="5"/>
      <c r="I539" s="5"/>
      <c r="J539" s="5"/>
      <c r="K539" s="5"/>
      <c r="L539" s="5"/>
      <c r="M539" s="5"/>
      <c r="N539" s="5"/>
      <c r="O539" s="5"/>
      <c r="P539" s="5"/>
      <c r="Q539" s="5"/>
    </row>
    <row r="540" spans="2:40" x14ac:dyDescent="0.25">
      <c r="F540" s="222"/>
      <c r="G540" s="222"/>
      <c r="H540" s="222"/>
      <c r="I540" s="222"/>
      <c r="J540" s="222"/>
      <c r="K540" s="222"/>
      <c r="Z540" s="89"/>
      <c r="AM540" s="250"/>
    </row>
    <row r="541" spans="2:40" x14ac:dyDescent="0.25">
      <c r="F541" s="222"/>
      <c r="G541" s="222"/>
      <c r="H541" s="222"/>
      <c r="I541" s="222"/>
      <c r="J541" s="222"/>
      <c r="K541" s="222"/>
      <c r="W541" s="5"/>
    </row>
    <row r="542" spans="2:40" x14ac:dyDescent="0.25">
      <c r="F542" s="23"/>
      <c r="G542" s="222"/>
      <c r="H542" s="222"/>
      <c r="I542" s="222"/>
      <c r="J542" s="222"/>
      <c r="K542" s="222"/>
      <c r="M542" s="152"/>
    </row>
    <row r="543" spans="2:40" x14ac:dyDescent="0.25">
      <c r="F543" s="23"/>
      <c r="G543" s="222"/>
      <c r="H543" s="222"/>
      <c r="I543" s="222"/>
      <c r="J543" s="222"/>
      <c r="K543" s="222"/>
      <c r="M543" s="152"/>
      <c r="AB543" s="245"/>
      <c r="AJ543" s="244"/>
      <c r="AK543" s="231"/>
    </row>
    <row r="544" spans="2:40" x14ac:dyDescent="0.25">
      <c r="F544" s="222"/>
      <c r="G544" s="222"/>
      <c r="H544" s="222"/>
      <c r="I544" s="222"/>
      <c r="J544" s="222"/>
      <c r="K544" s="222"/>
    </row>
    <row r="545" spans="5:11" x14ac:dyDescent="0.25">
      <c r="E545" s="23"/>
      <c r="F545" s="222"/>
      <c r="G545" s="153"/>
      <c r="H545" s="153"/>
      <c r="I545" s="153"/>
      <c r="J545" s="222"/>
      <c r="K545" s="222"/>
    </row>
    <row r="546" spans="5:11" x14ac:dyDescent="0.25">
      <c r="E546" s="221"/>
      <c r="F546" s="222"/>
      <c r="G546" s="153"/>
      <c r="H546" s="153"/>
      <c r="I546" s="153"/>
      <c r="J546" s="222"/>
      <c r="K546" s="222"/>
    </row>
    <row r="547" spans="5:11" x14ac:dyDescent="0.25">
      <c r="E547" s="221"/>
      <c r="F547" s="222"/>
      <c r="G547" s="153"/>
      <c r="H547" s="153"/>
      <c r="I547" s="153"/>
      <c r="J547" s="253"/>
      <c r="K547" s="153"/>
    </row>
    <row r="548" spans="5:11" x14ac:dyDescent="0.25">
      <c r="E548" s="221"/>
      <c r="F548" s="221"/>
      <c r="G548" s="152"/>
      <c r="H548" s="152"/>
      <c r="I548" s="153"/>
      <c r="J548" s="210"/>
      <c r="K548" s="152"/>
    </row>
    <row r="549" spans="5:11" x14ac:dyDescent="0.25">
      <c r="E549" s="221"/>
      <c r="F549" s="221"/>
      <c r="G549" s="152"/>
      <c r="H549" s="152"/>
      <c r="I549" s="153"/>
      <c r="J549" s="210"/>
      <c r="K549" s="152"/>
    </row>
    <row r="550" spans="5:11" x14ac:dyDescent="0.25">
      <c r="G550" s="152"/>
      <c r="H550" s="154"/>
      <c r="I550" s="155"/>
      <c r="J550" s="254"/>
      <c r="K550" s="152"/>
    </row>
    <row r="551" spans="5:11" x14ac:dyDescent="0.25">
      <c r="G551" s="152"/>
      <c r="H551" s="152"/>
      <c r="I551" s="153"/>
      <c r="J551" s="210"/>
      <c r="K551" s="152"/>
    </row>
    <row r="552" spans="5:11" x14ac:dyDescent="0.25">
      <c r="G552" s="152"/>
      <c r="H552" s="152"/>
      <c r="I552" s="153"/>
      <c r="J552" s="152"/>
    </row>
    <row r="553" spans="5:11" x14ac:dyDescent="0.25">
      <c r="G553" s="152"/>
      <c r="H553" s="152"/>
      <c r="I553" s="153"/>
      <c r="J553" s="152"/>
    </row>
    <row r="554" spans="5:11" x14ac:dyDescent="0.25">
      <c r="H554" s="152"/>
      <c r="I554" s="153"/>
      <c r="J554" s="152"/>
    </row>
    <row r="555" spans="5:11" x14ac:dyDescent="0.25">
      <c r="H555" s="152"/>
      <c r="I555" s="153"/>
      <c r="J555" s="152"/>
    </row>
    <row r="556" spans="5:11" x14ac:dyDescent="0.25">
      <c r="H556" s="154"/>
      <c r="I556" s="155"/>
      <c r="J556" s="154"/>
    </row>
    <row r="557" spans="5:11" x14ac:dyDescent="0.25">
      <c r="H557" s="152"/>
      <c r="I557" s="153"/>
      <c r="J557" s="152"/>
    </row>
    <row r="558" spans="5:11" x14ac:dyDescent="0.25">
      <c r="H558" s="152"/>
      <c r="I558" s="153"/>
      <c r="J558" s="152"/>
    </row>
    <row r="559" spans="5:11" x14ac:dyDescent="0.25">
      <c r="H559" s="152"/>
      <c r="I559" s="153"/>
      <c r="J559" s="152"/>
    </row>
  </sheetData>
  <customSheetViews>
    <customSheetView guid="{FECB4C41-27E8-4A22-AFB3-4F54CDD4960E}" scale="85" filter="1" showAutoFilter="1" topLeftCell="A53">
      <selection activeCell="F702" sqref="F702"/>
      <pageMargins left="0.7" right="0.7" top="0.75" bottom="0.75" header="0.3" footer="0.3"/>
      <pageSetup orientation="portrait" horizontalDpi="300" verticalDpi="0" r:id="rId1"/>
      <autoFilter ref="A59:AN731">
        <filterColumn colId="18">
          <filters>
            <filter val="chuong.nguyen-minh"/>
          </filters>
        </filterColumn>
        <filterColumn colId="26">
          <filters blank="1"/>
        </filterColumn>
      </autoFilter>
    </customSheetView>
    <customSheetView guid="{3B3E6719-EACB-4D2C-89C1-05FFAB6020FD}" scale="70" filter="1" showAutoFilter="1" topLeftCell="G374">
      <selection activeCell="AB665" sqref="AB665"/>
      <pageMargins left="0.7" right="0.7" top="0.75" bottom="0.75" header="0.3" footer="0.3"/>
      <pageSetup orientation="portrait" horizontalDpi="300" r:id="rId2"/>
      <autoFilter ref="A59:AN731">
        <filterColumn colId="18">
          <filters>
            <filter val="phuong.nguyen-thanh"/>
          </filters>
        </filterColumn>
      </autoFilter>
    </customSheetView>
    <customSheetView guid="{4E06BDBF-2CED-473B-850B-2A6C7311FF41}" scale="85" filter="1" showAutoFilter="1" topLeftCell="A38">
      <selection activeCell="F50" sqref="F50"/>
      <pageMargins left="0.7" right="0.7" top="0.75" bottom="0.75" header="0.3" footer="0.3"/>
      <pageSetup orientation="portrait" horizontalDpi="300" r:id="rId3"/>
      <autoFilter ref="A59:AN731">
        <filterColumn colId="18">
          <filters>
            <filter val="thanh.nguyen-kim"/>
          </filters>
        </filterColumn>
        <filterColumn colId="29">
          <filters>
            <dateGroupItem year="2020" month="6" day="20" dateTimeGrouping="day"/>
            <dateGroupItem year="2020" month="6" day="22" dateTimeGrouping="day"/>
            <dateGroupItem year="2020" month="6" day="23" dateTimeGrouping="day"/>
          </filters>
        </filterColumn>
      </autoFilter>
    </customSheetView>
    <customSheetView guid="{99BC1C51-34DC-4BF2-906C-1E31B6171D71}" scale="85" filter="1" showAutoFilter="1" topLeftCell="J58">
      <selection activeCell="AE659" sqref="AE659:AK660"/>
      <pageMargins left="0.7" right="0.7" top="0.75" bottom="0.75" header="0.3" footer="0.3"/>
      <pageSetup orientation="portrait" horizontalDpi="300" verticalDpi="0" r:id="rId4"/>
      <autoFilter ref="A59:AN731">
        <filterColumn colId="18">
          <filters>
            <filter val="huy.nguyen-hoang"/>
          </filters>
        </filterColumn>
      </autoFilter>
    </customSheetView>
    <customSheetView guid="{C94451EF-7A3E-4D72-B5A4-3D1B193192CC}" scale="70" filter="1" showAutoFilter="1" topLeftCell="F233">
      <selection activeCell="AA612" sqref="AA612"/>
      <pageMargins left="0.7" right="0.7" top="0.75" bottom="0.75" header="0.3" footer="0.3"/>
      <pageSetup orientation="portrait" horizontalDpi="300" r:id="rId5"/>
      <autoFilter ref="A59:AN731">
        <filterColumn colId="18">
          <filters>
            <filter val="loc.do-phu"/>
          </filters>
        </filterColumn>
      </autoFilter>
    </customSheetView>
    <customSheetView guid="{7ECC2B8E-6A82-42F5-8AB0-4A51C54EA5EC}" scale="70" filter="1" showAutoFilter="1" topLeftCell="A162">
      <selection activeCell="I693" sqref="I693"/>
      <pageMargins left="0.7" right="0.7" top="0.75" bottom="0.75" header="0.3" footer="0.3"/>
      <pageSetup orientation="portrait" horizontalDpi="300" verticalDpi="0" r:id="rId6"/>
      <autoFilter ref="A59:AN731">
        <filterColumn colId="18">
          <filters>
            <filter val="hau.nguyen-tai"/>
          </filters>
        </filterColumn>
      </autoFilter>
    </customSheetView>
    <customSheetView guid="{A2C66332-A809-458E-971B-FDB6D62C74C3}" filter="1" showAutoFilter="1" topLeftCell="F53">
      <pane xSplit="1.3150684931506849" topLeftCell="AI1" activePane="topRight" state="frozen"/>
      <selection pane="topRight" activeCell="A505" sqref="A505:XFD530"/>
      <pageMargins left="0.7" right="0.7" top="0.75" bottom="0.75" header="0.3" footer="0.3"/>
      <pageSetup orientation="portrait" horizontalDpi="300" verticalDpi="0" r:id="rId7"/>
      <autoFilter ref="B59:AN731">
        <filterColumn colId="17">
          <filters>
            <filter val="bang.nguyen-duy"/>
          </filters>
        </filterColumn>
      </autoFilter>
    </customSheetView>
    <customSheetView guid="{89C03E1E-B6A8-49A1-B29C-5DC4FAB2FBC6}" scale="85" filter="1" showAutoFilter="1" topLeftCell="G29">
      <selection activeCell="AA738" sqref="AA738"/>
      <pageMargins left="0.7" right="0.7" top="0.75" bottom="0.75" header="0.3" footer="0.3"/>
      <pageSetup orientation="portrait" horizontalDpi="300" verticalDpi="0" r:id="rId8"/>
      <autoFilter ref="A59:AN731">
        <filterColumn colId="18">
          <filters>
            <filter val="nam.phan-the"/>
          </filters>
        </filterColumn>
        <filterColumn colId="32">
          <filters blank="1"/>
        </filterColumn>
      </autoFilter>
    </customSheetView>
    <customSheetView guid="{60D2C030-4E31-4E07-8E1C-44D2EE84B177}" scale="85" filter="1" showAutoFilter="1" topLeftCell="H227">
      <selection activeCell="Z419" sqref="Z419"/>
      <pageMargins left="0.7" right="0.7" top="0.75" bottom="0.75" header="0.3" footer="0.3"/>
      <pageSetup orientation="portrait" horizontalDpi="300" verticalDpi="0" r:id="rId9"/>
      <autoFilter ref="A59:AN689">
        <filterColumn colId="18">
          <filters>
            <filter val="chung.ly"/>
          </filters>
        </filterColumn>
        <filterColumn colId="29">
          <filters>
            <dateGroupItem year="2020" month="6" dateTimeGrouping="month"/>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10"/>
    </customSheetView>
    <customSheetView guid="{336B6883-2145-4B58-921E-CEC7185A847E}" scale="85" showAutoFilter="1" topLeftCell="A10">
      <selection activeCell="G35" sqref="G35"/>
      <pageMargins left="0.7" right="0.7" top="0.75" bottom="0.75" header="0.3" footer="0.3"/>
      <pageSetup orientation="portrait" horizontalDpi="300" verticalDpi="0" r:id="rId11"/>
      <autoFilter ref="P59:P690"/>
    </customSheetView>
    <customSheetView guid="{970EE037-F5E5-47AF-896A-0F6222879EBC}" scale="70" topLeftCell="A19">
      <pageMargins left="0.7" right="0.7" top="0.75" bottom="0.75" header="0.3" footer="0.3"/>
      <pageSetup orientation="portrait" horizontalDpi="300" r:id="rId12"/>
    </customSheetView>
    <customSheetView guid="{F96FC7D9-4F89-4FE0-8D00-C0083DEB0472}" scale="85" topLeftCell="A280">
      <selection activeCell="J295" sqref="J295"/>
      <pageMargins left="0.7" right="0.7" top="0.75" bottom="0.75" header="0.3" footer="0.3"/>
      <pageSetup orientation="portrait" horizontalDpi="300" verticalDpi="0" r:id="rId13"/>
    </customSheetView>
    <customSheetView guid="{7E0EA425-A420-4443-B9E0-CDF0AA9E5D09}" scale="85" topLeftCell="A185">
      <selection activeCell="B61" sqref="B61:B533"/>
      <pageMargins left="0.7" right="0.7" top="0.75" bottom="0.75" header="0.3" footer="0.3"/>
      <pageSetup orientation="portrait" horizontalDpi="300" verticalDpi="0" r:id="rId14"/>
    </customSheetView>
  </customSheetViews>
  <conditionalFormatting sqref="H4:H17 H23:H37 H43:H55">
    <cfRule type="cellIs" dxfId="70" priority="103" operator="equal">
      <formula>1</formula>
    </cfRule>
    <cfRule type="cellIs" dxfId="69" priority="104" operator="lessThan">
      <formula>1</formula>
    </cfRule>
  </conditionalFormatting>
  <conditionalFormatting sqref="AK60:AK265 AG60:AG265 AK267:AK538 AG267:AG538">
    <cfRule type="cellIs" dxfId="68" priority="101" operator="equal">
      <formula>"OK"</formula>
    </cfRule>
    <cfRule type="cellIs" dxfId="67" priority="102" operator="equal">
      <formula>"NG"</formula>
    </cfRule>
  </conditionalFormatting>
  <conditionalFormatting sqref="O60:P301 O303:P303 O302 O305:P370 O304 O371 O372:P538">
    <cfRule type="cellIs" dxfId="66" priority="100" operator="equal">
      <formula>"PUT_VERSION"</formula>
    </cfRule>
  </conditionalFormatting>
  <conditionalFormatting sqref="D18">
    <cfRule type="expression" dxfId="65" priority="88">
      <formula>$D$18=SUM($D$4:$D$17)</formula>
    </cfRule>
  </conditionalFormatting>
  <conditionalFormatting sqref="E18">
    <cfRule type="expression" dxfId="64" priority="87">
      <formula>$E$18=SUM($E$4:$E$17)</formula>
    </cfRule>
  </conditionalFormatting>
  <conditionalFormatting sqref="F18">
    <cfRule type="expression" dxfId="63" priority="86">
      <formula>$F$18=SUM($F$4:$F$17)</formula>
    </cfRule>
  </conditionalFormatting>
  <conditionalFormatting sqref="D37">
    <cfRule type="expression" dxfId="62" priority="85">
      <formula>$D$37=SUM($D$23:$D$36)</formula>
    </cfRule>
  </conditionalFormatting>
  <conditionalFormatting sqref="E37">
    <cfRule type="expression" dxfId="61" priority="84">
      <formula>$E$37=SUM($E$23:$E$36)</formula>
    </cfRule>
  </conditionalFormatting>
  <conditionalFormatting sqref="H42">
    <cfRule type="cellIs" dxfId="60" priority="69" operator="equal">
      <formula>1</formula>
    </cfRule>
    <cfRule type="cellIs" dxfId="59" priority="70" operator="lessThan">
      <formula>1</formula>
    </cfRule>
  </conditionalFormatting>
  <conditionalFormatting sqref="H56">
    <cfRule type="cellIs" dxfId="58" priority="61" operator="equal">
      <formula>1</formula>
    </cfRule>
    <cfRule type="cellIs" dxfId="57" priority="62" operator="lessThan">
      <formula>1</formula>
    </cfRule>
  </conditionalFormatting>
  <conditionalFormatting sqref="F37">
    <cfRule type="expression" dxfId="56" priority="121">
      <formula>$F$37=SUM($F$23:$F$36)</formula>
    </cfRule>
  </conditionalFormatting>
  <conditionalFormatting sqref="K60:K538">
    <cfRule type="cellIs" dxfId="55" priority="3" operator="equal">
      <formula>"Manual"</formula>
    </cfRule>
    <cfRule type="cellIs" dxfId="54" priority="4" operator="equal">
      <formula>"Auto"</formula>
    </cfRule>
  </conditionalFormatting>
  <dataValidations disablePrompts="1" count="2">
    <dataValidation type="list" allowBlank="1" showInputMessage="1" showErrorMessage="1" sqref="AG60:AG265 AG267:AG538">
      <formula1>"OK,NG"</formula1>
    </dataValidation>
    <dataValidation type="list" allowBlank="1" showInputMessage="1" showErrorMessage="1" sqref="U60:U538">
      <formula1>"Yes,No"</formula1>
    </dataValidation>
  </dataValidations>
  <pageMargins left="0.7" right="0.7" top="0.75" bottom="0.75" header="0.3" footer="0.3"/>
  <pageSetup orientation="portrait" horizontalDpi="300" verticalDpi="0" r:id="rId15"/>
  <ignoredErrors>
    <ignoredError sqref="Y85" formula="1"/>
  </ignoredErrors>
  <legacyDrawing r:id="rId16"/>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D60:D538</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G23:G37</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G4:G17 G43:G55</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G18</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G56</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G42</xm:sqref>
        </x14:conditionalFormatting>
        <x14:conditionalFormatting xmlns:xm="http://schemas.microsoft.com/office/excel/2006/main">
          <x14:cfRule type="cellIs" priority="5" operator="equal" id="{19639308-71F0-43E5-B386-FDDD54B39B80}">
            <xm:f>Table!$C$42</xm:f>
            <x14:dxf>
              <font>
                <b/>
                <i val="0"/>
              </font>
              <fill>
                <patternFill>
                  <bgColor rgb="FFFF0000"/>
                </patternFill>
              </fill>
            </x14:dxf>
          </x14:cfRule>
          <x14:cfRule type="cellIs" priority="6" operator="equal" id="{49FA013F-6BB2-447B-B4B6-033B25DE33AE}">
            <xm:f>Table!$C$41</xm:f>
            <x14:dxf>
              <font>
                <b/>
                <i val="0"/>
              </font>
              <fill>
                <patternFill>
                  <bgColor rgb="FFFFFF00"/>
                </patternFill>
              </fill>
            </x14:dxf>
          </x14:cfRule>
          <xm:sqref>AK60:AK265 AK267:AK538</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14:formula1>
            <xm:f>Table!$C$31:$C$37</xm:f>
          </x14:formula1>
          <xm:sqref>AC95:AC96 AA60:AA538</xm:sqref>
        </x14:dataValidation>
        <x14:dataValidation type="list" allowBlank="1" showInputMessage="1" showErrorMessage="1">
          <x14:formula1>
            <xm:f>Table!$C$13:$C$27</xm:f>
          </x14:formula1>
          <xm:sqref>S60:S463 S465:S538 T60:T538</xm:sqref>
        </x14:dataValidation>
        <x14:dataValidation type="list" allowBlank="1" showInputMessage="1" showErrorMessage="1">
          <x14:formula1>
            <xm:f>Table!$C$41:$C$43</xm:f>
          </x14:formula1>
          <xm:sqref>AK60:AK538</xm:sqref>
        </x14:dataValidation>
        <x14:dataValidation type="list" allowBlank="1" showInputMessage="1" showErrorMessage="1">
          <x14:formula1>
            <xm:f>Table!$C$8:$C$9</xm:f>
          </x14:formula1>
          <xm:sqref>D60:D538</xm:sqref>
        </x14:dataValidation>
        <x14:dataValidation type="list" allowBlank="1" showInputMessage="1" showErrorMessage="1">
          <x14:formula1>
            <xm:f>Table!$C$52:$C$53</xm:f>
          </x14:formula1>
          <xm:sqref>K60:K538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AN324"/>
  <sheetViews>
    <sheetView zoomScale="85" zoomScaleNormal="100" workbookViewId="0"/>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1507</v>
      </c>
      <c r="E3" s="61" t="s">
        <v>53</v>
      </c>
      <c r="F3" s="61" t="s">
        <v>130</v>
      </c>
      <c r="G3" s="61" t="s">
        <v>22</v>
      </c>
      <c r="H3" s="62" t="s">
        <v>24</v>
      </c>
      <c r="J3" s="68" t="s">
        <v>39</v>
      </c>
    </row>
    <row r="4" spans="1:12" x14ac:dyDescent="0.25">
      <c r="B4" s="63">
        <v>1</v>
      </c>
      <c r="C4" s="76" t="s">
        <v>6</v>
      </c>
      <c r="D4" s="65">
        <f>SUMIFS($W$60:$W$324,$D$60:$D$324,Table!$D$3,$S$60:$S$324,C4)</f>
        <v>2578.5</v>
      </c>
      <c r="E4" s="65">
        <f>SUMIFS($X$60:$X$324,$D$60:$D$324,Table!$D$3,$S$60:$S$324,C4)-SUM(SUMIFS($X$60:$X$324,$D$60:$D$324,Table!$D$3,$S$60:$S$324,C4,$AA$60:$AA$324,{"Ongoing","N\A",""}))</f>
        <v>2578.5</v>
      </c>
      <c r="F4" s="65">
        <f>ROUND(1/8*(SUMIFS($Z$60:$Z$324,$D$60:$D$324,Table!$D$3,$S$60:$S$324,C4)-SUM(SUMIFS($Z$60:$Z$324,$D$60:$D$324,Table!$D$3,$S$60:$S$324,C4,$AA$60:$AA$324,{"Ongoing","N/A",""}))),4)</f>
        <v>5.73</v>
      </c>
      <c r="G4" s="65">
        <f>IF(ISERROR(E4/(F4)),"N/A",E4/F4)</f>
        <v>449.99999999999994</v>
      </c>
      <c r="H4" s="66">
        <f>IF(ISERROR(E4/D4),"N/A",E4/D4)</f>
        <v>1</v>
      </c>
      <c r="K4" s="68" t="s">
        <v>41</v>
      </c>
    </row>
    <row r="5" spans="1:12" x14ac:dyDescent="0.25">
      <c r="B5" s="63">
        <v>2</v>
      </c>
      <c r="C5" s="73" t="s">
        <v>64</v>
      </c>
      <c r="D5" s="65">
        <f>SUMIFS($W$60:$W$324,$D$60:$D$324,Table!$D$3,$S$60:$S$324,C5)</f>
        <v>4134.51</v>
      </c>
      <c r="E5" s="65">
        <f>SUMIFS($X$60:$X$324,$D$60:$D$324,Table!$D$3,$S$60:$S$324,C5)-SUM(SUMIFS($X$60:$X$324,$D$60:$D$324,Table!$D$3,$S$60:$S$324,C5,$AA$60:$AA$324,{"Ongoing","N\A",""}))</f>
        <v>4134.51</v>
      </c>
      <c r="F5" s="65">
        <f>ROUND(1/8*(SUMIFS($Z$60:$Z$324,$D$60:$D$324,Table!$D$3,$S$60:$S$324,C5)-SUM(SUMIFS($Z$60:$Z$324,$D$60:$D$324,Table!$D$3,$S$60:$S$324,C5,$AA$60:$AA$324,{"Ongoing","N/A",""}))),4)</f>
        <v>5.625</v>
      </c>
      <c r="G5" s="65">
        <f t="shared" ref="G5:G12" si="0">IF(ISERROR(E5/(F5)),"N/A",E5/F5)</f>
        <v>735.024</v>
      </c>
      <c r="H5" s="66">
        <f t="shared" ref="H5:H18" si="1">IF(ISERROR(E5/D5),"N/A",E5/D5)</f>
        <v>1</v>
      </c>
      <c r="L5" s="23" t="s">
        <v>40</v>
      </c>
    </row>
    <row r="6" spans="1:12" x14ac:dyDescent="0.25">
      <c r="B6" s="63">
        <v>3</v>
      </c>
      <c r="C6" s="76" t="s">
        <v>65</v>
      </c>
      <c r="D6" s="65">
        <f>SUMIFS($W$60:$W$324,$D$60:$D$324,Table!$D$3,$S$60:$S$324,C6)</f>
        <v>4403.88</v>
      </c>
      <c r="E6" s="65">
        <f>SUMIFS($X$60:$X$324,$D$60:$D$324,Table!$D$3,$S$60:$S$324,C6)-SUM(SUMIFS($X$60:$X$324,$D$60:$D$324,Table!$D$3,$S$60:$S$324,C6,$AA$60:$AA$324,{"Ongoing","N\A",""}))</f>
        <v>4403.88</v>
      </c>
      <c r="F6" s="65">
        <f>ROUND(1/8*(SUMIFS($Z$60:$Z$324,$D$60:$D$324,Table!$D$3,$S$60:$S$324,C6)-SUM(SUMIFS($Z$60:$Z$324,$D$60:$D$324,Table!$D$3,$S$60:$S$324,C6,$AA$60:$AA$324,{"Ongoing","N/A",""}))),4)</f>
        <v>5.5</v>
      </c>
      <c r="G6" s="65">
        <f t="shared" si="0"/>
        <v>800.70545454545459</v>
      </c>
      <c r="H6" s="66">
        <f t="shared" si="1"/>
        <v>1</v>
      </c>
      <c r="L6" s="23" t="s">
        <v>97</v>
      </c>
    </row>
    <row r="7" spans="1:12" x14ac:dyDescent="0.25">
      <c r="B7" s="63">
        <v>4</v>
      </c>
      <c r="C7" s="73" t="s">
        <v>66</v>
      </c>
      <c r="D7" s="65">
        <f>SUMIFS($W$60:$W$324,$D$60:$D$324,Table!$D$3,$S$60:$S$324,C7)</f>
        <v>5387.6970000000001</v>
      </c>
      <c r="E7" s="65">
        <f>SUMIFS($X$60:$X$324,$D$60:$D$324,Table!$D$3,$S$60:$S$324,C7)-SUM(SUMIFS($X$60:$X$324,$D$60:$D$324,Table!$D$3,$S$60:$S$324,C7,$AA$60:$AA$324,{"Ongoing","N\A",""}))</f>
        <v>5387.6970000000001</v>
      </c>
      <c r="F7" s="65">
        <f>ROUND(1/8*(SUMIFS($Z$60:$Z$324,$D$60:$D$324,Table!$D$3,$S$60:$S$324,C7)-SUM(SUMIFS($Z$60:$Z$324,$D$60:$D$324,Table!$D$3,$S$60:$S$324,C7,$AA$60:$AA$324,{"Ongoing","N/A",""}))),4)</f>
        <v>10.625</v>
      </c>
      <c r="G7" s="65">
        <f t="shared" si="0"/>
        <v>507.07736470588236</v>
      </c>
      <c r="H7" s="66">
        <f t="shared" si="1"/>
        <v>1</v>
      </c>
      <c r="K7" s="68"/>
    </row>
    <row r="8" spans="1:12" x14ac:dyDescent="0.25">
      <c r="B8" s="63">
        <v>5</v>
      </c>
      <c r="C8" s="64" t="s">
        <v>67</v>
      </c>
      <c r="D8" s="65">
        <f>SUMIFS($W$60:$W$324,$D$60:$D$324,Table!$D$3,$S$60:$S$324,C8)</f>
        <v>0</v>
      </c>
      <c r="E8" s="65">
        <f>SUMIFS($X$60:$X$324,$D$60:$D$324,Table!$D$3,$S$60:$S$324,C8)-SUM(SUMIFS($X$60:$X$324,$D$60:$D$324,Table!$D$3,$S$60:$S$324,C8,$AA$60:$AA$324,{"Ongoing","N\A",""}))</f>
        <v>0</v>
      </c>
      <c r="F8" s="65">
        <f>ROUND(1/8*(SUMIFS($Z$60:$Z$324,$D$60:$D$324,Table!$D$3,$S$60:$S$324,C8)-SUM(SUMIFS($Z$60:$Z$324,$D$60:$D$324,Table!$D$3,$S$60:$S$324,C8,$AA$60:$AA$324,{"Ongoing","N/A",""}))),4)</f>
        <v>0</v>
      </c>
      <c r="G8" s="65" t="str">
        <f t="shared" si="0"/>
        <v>N/A</v>
      </c>
      <c r="H8" s="66" t="str">
        <f t="shared" si="1"/>
        <v>N/A</v>
      </c>
      <c r="L8" s="23"/>
    </row>
    <row r="9" spans="1:12" x14ac:dyDescent="0.25">
      <c r="B9" s="63">
        <v>6</v>
      </c>
      <c r="C9" s="64" t="s">
        <v>68</v>
      </c>
      <c r="D9" s="65">
        <f>SUMIFS($W$60:$W$324,$D$60:$D$324,Table!$D$3,$S$60:$S$324,C9)</f>
        <v>0</v>
      </c>
      <c r="E9" s="65">
        <f>SUMIFS($X$60:$X$324,$D$60:$D$324,Table!$D$3,$S$60:$S$324,C9)-SUM(SUMIFS($X$60:$X$324,$D$60:$D$324,Table!$D$3,$S$60:$S$324,C9,$AA$60:$AA$324,{"Ongoing","N\A",""}))</f>
        <v>0</v>
      </c>
      <c r="F9" s="65">
        <f>ROUND(1/8*(SUMIFS($Z$60:$Z$324,$D$60:$D$324,Table!$D$3,$S$60:$S$324,C9)-SUM(SUMIFS($Z$60:$Z$324,$D$60:$D$324,Table!$D$3,$S$60:$S$324,C9,$AA$60:$AA$324,{"Ongoing","N/A",""}))),4)</f>
        <v>0</v>
      </c>
      <c r="G9" s="65" t="str">
        <f t="shared" si="0"/>
        <v>N/A</v>
      </c>
      <c r="H9" s="66" t="str">
        <f t="shared" si="1"/>
        <v>N/A</v>
      </c>
      <c r="L9" s="23"/>
    </row>
    <row r="10" spans="1:12" x14ac:dyDescent="0.25">
      <c r="B10" s="63">
        <v>7</v>
      </c>
      <c r="C10" s="64" t="s">
        <v>69</v>
      </c>
      <c r="D10" s="65">
        <f>SUMIFS($W$60:$W$324,$D$60:$D$324,Table!$D$3,$S$60:$S$324,C10)</f>
        <v>0</v>
      </c>
      <c r="E10" s="65">
        <f>SUMIFS($X$60:$X$324,$D$60:$D$324,Table!$D$3,$S$60:$S$324,C10)-SUM(SUMIFS($X$60:$X$324,$D$60:$D$324,Table!$D$3,$S$60:$S$324,C10,$AA$60:$AA$324,{"Ongoing","N\A",""}))</f>
        <v>0</v>
      </c>
      <c r="F10" s="65">
        <f>ROUND(1/8*(SUMIFS($Z$60:$Z$324,$D$60:$D$324,Table!$D$3,$S$60:$S$324,C10)-SUM(SUMIFS($Z$60:$Z$324,$D$60:$D$324,Table!$D$3,$S$60:$S$324,C10,$AA$60:$AA$324,{"Ongoing","N/A",""}))),4)</f>
        <v>0</v>
      </c>
      <c r="G10" s="65" t="str">
        <f t="shared" si="0"/>
        <v>N/A</v>
      </c>
      <c r="H10" s="66" t="str">
        <f t="shared" si="1"/>
        <v>N/A</v>
      </c>
    </row>
    <row r="11" spans="1:12" x14ac:dyDescent="0.25">
      <c r="B11" s="63">
        <v>8</v>
      </c>
      <c r="C11" s="64" t="s">
        <v>70</v>
      </c>
      <c r="D11" s="65">
        <f>SUMIFS($W$60:$W$324,$D$60:$D$324,Table!$D$3,$S$60:$S$324,C11)</f>
        <v>0</v>
      </c>
      <c r="E11" s="65">
        <f>SUMIFS($X$60:$X$324,$D$60:$D$324,Table!$D$3,$S$60:$S$324,C11)-SUM(SUMIFS($X$60:$X$324,$D$60:$D$324,Table!$D$3,$S$60:$S$324,C11,$AA$60:$AA$324,{"Ongoing","N\A",""}))</f>
        <v>0</v>
      </c>
      <c r="F11" s="65">
        <f>ROUND(1/8*(SUMIFS($Z$60:$Z$324,$D$60:$D$324,Table!$D$3,$S$60:$S$324,C11)-SUM(SUMIFS($Z$60:$Z$324,$D$60:$D$324,Table!$D$3,$S$60:$S$324,C11,$AA$60:$AA$324,{"Ongoing","N/A",""}))),4)</f>
        <v>0</v>
      </c>
      <c r="G11" s="65" t="str">
        <f t="shared" si="0"/>
        <v>N/A</v>
      </c>
      <c r="H11" s="66" t="str">
        <f t="shared" si="1"/>
        <v>N/A</v>
      </c>
    </row>
    <row r="12" spans="1:12" x14ac:dyDescent="0.25">
      <c r="B12" s="63">
        <v>9</v>
      </c>
      <c r="C12" s="73" t="s">
        <v>141</v>
      </c>
      <c r="D12" s="65">
        <f>SUMIFS($W$60:$W$324,$D$60:$D$324,Table!$D$3,$S$60:$S$324,C12)</f>
        <v>7769.9880000000003</v>
      </c>
      <c r="E12" s="65">
        <f>SUMIFS($X$60:$X$324,$D$60:$D$324,Table!$D$3,$S$60:$S$324,C12)-SUM(SUMIFS($X$60:$X$324,$D$60:$D$324,Table!$D$3,$S$60:$S$324,C12,$AA$60:$AA$324,{"Ongoing","N\A",""}))</f>
        <v>7769.9880000000003</v>
      </c>
      <c r="F12" s="65">
        <f>ROUND(1/8*(SUMIFS($Z$60:$Z$324,$D$60:$D$324,Table!$D$3,$S$60:$S$324,C12)-SUM(SUMIFS($Z$60:$Z$324,$D$60:$D$324,Table!$D$3,$S$60:$S$324,C12,$AA$60:$AA$324,{"Ongoing","N/A",""}))),4)</f>
        <v>9.875</v>
      </c>
      <c r="G12" s="65">
        <f t="shared" si="0"/>
        <v>786.83422784810125</v>
      </c>
      <c r="H12" s="66">
        <f t="shared" si="1"/>
        <v>1</v>
      </c>
    </row>
    <row r="13" spans="1:12" x14ac:dyDescent="0.25">
      <c r="B13" s="63">
        <v>10</v>
      </c>
      <c r="C13" s="76" t="s">
        <v>142</v>
      </c>
      <c r="D13" s="65">
        <f>SUMIFS($W$60:$W$324,$D$60:$D$324,Table!$D$3,$S$60:$S$324,C13)</f>
        <v>0</v>
      </c>
      <c r="E13" s="65">
        <f>SUMIFS($X$60:$X$324,$D$60:$D$324,Table!$D$3,$S$60:$S$324,C13)-SUM(SUMIFS($X$60:$X$324,$D$60:$D$324,Table!$D$3,$S$60:$S$324,C13,$AA$60:$AA$324,{"Ongoing","N\A",""}))</f>
        <v>0</v>
      </c>
      <c r="F13" s="65">
        <f>ROUND(1/8*(SUMIFS($Z$60:$Z$324,$D$60:$D$324,Table!$D$3,$S$60:$S$324,C13)-SUM(SUMIFS($Z$60:$Z$324,$D$60:$D$324,Table!$D$3,$S$60:$S$324,C13,$AA$60:$AA$324,{"Ongoing","N/A",""}))),4)</f>
        <v>0</v>
      </c>
      <c r="G13" s="65" t="str">
        <f t="shared" ref="G13:G17" si="2">IF(ISERROR(E13/(F13)),"N/A",E13/F13)</f>
        <v>N/A</v>
      </c>
      <c r="H13" s="66" t="str">
        <f t="shared" ref="H13:H17" si="3">IF(ISERROR(E13/D13),"N/A",E13/D13)</f>
        <v>N/A</v>
      </c>
    </row>
    <row r="14" spans="1:12" x14ac:dyDescent="0.25">
      <c r="B14" s="63">
        <v>11</v>
      </c>
      <c r="C14" s="76" t="s">
        <v>1430</v>
      </c>
      <c r="D14" s="65">
        <f>SUMIFS($W$60:$W$324,$D$60:$D$324,Table!$D$3,$S$60:$S$324,C14)</f>
        <v>0</v>
      </c>
      <c r="E14" s="65">
        <f>SUMIFS($X$60:$X$324,$D$60:$D$324,Table!$D$3,$S$60:$S$324,C14)-SUM(SUMIFS($X$60:$X$324,$D$60:$D$324,Table!$D$3,$S$60:$S$324,C14,$AA$60:$AA$324,{"Ongoing","N\A",""}))</f>
        <v>0</v>
      </c>
      <c r="F14" s="65">
        <f>ROUND(1/8*(SUMIFS($Z$60:$Z$324,$D$60:$D$324,Table!$D$3,$S$60:$S$324,C14)-SUM(SUMIFS($Z$60:$Z$324,$D$60:$D$324,Table!$D$3,$S$60:$S$324,C14,$AA$60:$AA$324,{"Ongoing","N/A",""}))),4)</f>
        <v>0</v>
      </c>
      <c r="G14" s="65" t="str">
        <f t="shared" si="2"/>
        <v>N/A</v>
      </c>
      <c r="H14" s="66" t="str">
        <f t="shared" si="3"/>
        <v>N/A</v>
      </c>
    </row>
    <row r="15" spans="1:12" x14ac:dyDescent="0.25">
      <c r="B15" s="63">
        <v>12</v>
      </c>
      <c r="C15" s="76" t="s">
        <v>741</v>
      </c>
      <c r="D15" s="65">
        <f>SUMIFS($W$60:$W$324,$D$60:$D$324,Table!$D$3,$S$60:$S$324,C15)</f>
        <v>0</v>
      </c>
      <c r="E15" s="65">
        <f>SUMIFS($X$60:$X$324,$D$60:$D$324,Table!$D$3,$S$60:$S$324,C15)-SUM(SUMIFS($X$60:$X$324,$D$60:$D$324,Table!$D$3,$S$60:$S$324,C15,$AA$60:$AA$324,{"Ongoing","N\A",""}))</f>
        <v>0</v>
      </c>
      <c r="F15" s="65">
        <f>ROUND(1/8*(SUMIFS($Z$60:$Z$324,$D$60:$D$324,Table!$D$3,$S$60:$S$324,C15)-SUM(SUMIFS($Z$60:$Z$324,$D$60:$D$324,Table!$D$3,$S$60:$S$324,C15,$AA$60:$AA$324,{"Ongoing","N/A",""}))),4)</f>
        <v>0</v>
      </c>
      <c r="G15" s="65" t="str">
        <f t="shared" si="2"/>
        <v>N/A</v>
      </c>
      <c r="H15" s="66" t="str">
        <f t="shared" si="3"/>
        <v>N/A</v>
      </c>
    </row>
    <row r="16" spans="1:12" x14ac:dyDescent="0.25">
      <c r="B16" s="63">
        <v>13</v>
      </c>
      <c r="C16" s="76" t="s">
        <v>742</v>
      </c>
      <c r="D16" s="65">
        <f>SUMIFS($W$60:$W$324,$D$60:$D$324,Table!$D$3,$S$60:$S$324,C16)</f>
        <v>0</v>
      </c>
      <c r="E16" s="65">
        <f>SUMIFS($X$60:$X$324,$D$60:$D$324,Table!$D$3,$S$60:$S$324,C16)-SUM(SUMIFS($X$60:$X$324,$D$60:$D$324,Table!$D$3,$S$60:$S$324,C16,$AA$60:$AA$324,{"Ongoing","N\A",""}))</f>
        <v>0</v>
      </c>
      <c r="F16" s="65">
        <f>ROUND(1/8*(SUMIFS($Z$60:$Z$324,$D$60:$D$324,Table!$D$3,$S$60:$S$324,C16)-SUM(SUMIFS($Z$60:$Z$324,$D$60:$D$324,Table!$D$3,$S$60:$S$324,C16,$AA$60:$AA$324,{"Ongoing","N/A",""}))),4)</f>
        <v>0</v>
      </c>
      <c r="G16" s="65" t="str">
        <f t="shared" si="2"/>
        <v>N/A</v>
      </c>
      <c r="H16" s="66" t="str">
        <f t="shared" si="3"/>
        <v>N/A</v>
      </c>
    </row>
    <row r="17" spans="2:13" x14ac:dyDescent="0.25">
      <c r="B17" s="63">
        <v>14</v>
      </c>
      <c r="C17" s="76" t="s">
        <v>743</v>
      </c>
      <c r="D17" s="65">
        <f>SUMIFS($W$60:$W$324,$D$60:$D$324,Table!$D$3,$S$60:$S$324,C17)</f>
        <v>0</v>
      </c>
      <c r="E17" s="65">
        <f>SUMIFS($X$60:$X$324,$D$60:$D$324,Table!$D$3,$S$60:$S$324,C17)-SUM(SUMIFS($X$60:$X$324,$D$60:$D$324,Table!$D$3,$S$60:$S$324,C17,$AA$60:$AA$324,{"Ongoing","N\A",""}))</f>
        <v>0</v>
      </c>
      <c r="F17" s="65">
        <f>ROUND(1/8*(SUMIFS($Z$60:$Z$324,$D$60:$D$324,Table!$D$3,$S$60:$S$324,C17)-SUM(SUMIFS($Z$60:$Z$324,$D$60:$D$324,Table!$D$3,$S$60:$S$324,C17,$AA$60:$AA$324,{"Ongoing","N/A",""}))),4)</f>
        <v>0</v>
      </c>
      <c r="G17" s="65" t="str">
        <f t="shared" si="2"/>
        <v>N/A</v>
      </c>
      <c r="H17" s="66" t="str">
        <f t="shared" si="3"/>
        <v>N/A</v>
      </c>
      <c r="J17" s="68" t="s">
        <v>38</v>
      </c>
      <c r="K17" s="70">
        <f>Template_Total_Report!B23</f>
        <v>43972</v>
      </c>
      <c r="M17" s="70">
        <f>Template_Total_Report!D23</f>
        <v>44002</v>
      </c>
    </row>
    <row r="18" spans="2:13" x14ac:dyDescent="0.25">
      <c r="B18" s="61" t="s">
        <v>106</v>
      </c>
      <c r="C18" s="67"/>
      <c r="D18" s="69">
        <f>SUMIFS($W$60:$W$324,$D$60:$D$324,Table!$D$3)</f>
        <v>24274.575000000001</v>
      </c>
      <c r="E18" s="69">
        <f>ROUND(SUMIFS($W$60:$W$324,$D$60:$D$324,Table!$D$3)-SUM(SUMIFS($W$60:$W$324,$D$60:$D$324,Table!$D$3,$AA$60:$AA$324,{"Ongoing","N/A",""})),3)</f>
        <v>24274.575000000001</v>
      </c>
      <c r="F18" s="69">
        <f>ROUND(1/8*(SUMIFS($Z$60:$Z$324,$D$60:$D$324,Table!$D$3)-SUM(SUMIFS($Z$60:$Z$324,$D$60:$D$324,Table!$D$3,$AA$60:$AA$324,{"Ongoing","N/A",""}))),4)</f>
        <v>37.354999999999997</v>
      </c>
      <c r="G18" s="65">
        <f>IF(ISERROR(E18/(F18)),"N/A",E18/F18)</f>
        <v>649.83469415071613</v>
      </c>
      <c r="H18" s="66">
        <f t="shared" si="1"/>
        <v>1</v>
      </c>
      <c r="J18" s="68" t="s">
        <v>30</v>
      </c>
      <c r="K18" s="71">
        <f>Template_Total_Report!B24</f>
        <v>22</v>
      </c>
    </row>
    <row r="19" spans="2:13" x14ac:dyDescent="0.25">
      <c r="J19" s="68" t="s">
        <v>136</v>
      </c>
      <c r="K19" s="71">
        <f>Template_Total_Report!B25</f>
        <v>0</v>
      </c>
      <c r="L19" s="72"/>
    </row>
    <row r="20" spans="2:13" x14ac:dyDescent="0.25">
      <c r="J20" s="68" t="s">
        <v>108</v>
      </c>
      <c r="K20" s="23">
        <f ca="1">Template_Total_Report!B26</f>
        <v>22</v>
      </c>
    </row>
    <row r="21" spans="2:13" x14ac:dyDescent="0.25">
      <c r="B21" s="68" t="s">
        <v>51</v>
      </c>
    </row>
    <row r="22" spans="2:13" x14ac:dyDescent="0.25">
      <c r="B22" s="61" t="s">
        <v>0</v>
      </c>
      <c r="C22" s="61" t="s">
        <v>8</v>
      </c>
      <c r="D22" s="61" t="s">
        <v>1507</v>
      </c>
      <c r="E22" s="61" t="s">
        <v>53</v>
      </c>
      <c r="F22" s="61" t="s">
        <v>130</v>
      </c>
      <c r="G22" s="61" t="s">
        <v>22</v>
      </c>
      <c r="H22" s="62" t="s">
        <v>24</v>
      </c>
    </row>
    <row r="23" spans="2:13" x14ac:dyDescent="0.25">
      <c r="B23" s="63">
        <v>1</v>
      </c>
      <c r="C23" s="76" t="s">
        <v>6</v>
      </c>
      <c r="D23" s="65">
        <f>SUMIFS($W$60:$W$324,$D$60:$D$324,Table!$C$3,$S$60:$S$324,C23)</f>
        <v>0</v>
      </c>
      <c r="E23" s="65">
        <f>SUMIFS($X$60:$X$324,$D$60:$D$324,Table!$C$3,$S$60:$S$324,C23)-SUM(SUMIFS($X$60:$X$324,$D$60:$D$324,Table!$C$3,$S$60:$S$324,C23,$AA$60:$AA$324,{"Ongoing","N/A",""}))</f>
        <v>0</v>
      </c>
      <c r="F23" s="65">
        <f>ROUND(1/8*(SUMIFS($Z$60:$Z$324,$D$60:$D$324,Table!$C$3,$S$60:$S$324,C23)-SUM(SUMIFS($Z$60:$Z$324,$D$60:$D$324,Table!$C$3,$S$60:$S$324,C23,$AA$60:$AA$324,{"Ongoing","N/A",""}))),4)</f>
        <v>0</v>
      </c>
      <c r="G23" s="65" t="str">
        <f>IF(ISERROR(E23/(F23)),"N/A",E23/F23)</f>
        <v>N/A</v>
      </c>
      <c r="H23" s="66" t="str">
        <f>IF(ISERROR(E23/D23),"N/A",E23/D23)</f>
        <v>N/A</v>
      </c>
    </row>
    <row r="24" spans="2:13" x14ac:dyDescent="0.25">
      <c r="B24" s="63">
        <v>2</v>
      </c>
      <c r="C24" s="73" t="s">
        <v>64</v>
      </c>
      <c r="D24" s="65">
        <f>SUMIFS($W$60:$W$324,$D$60:$D$324,Table!$C$3,$S$60:$S$324,C24)</f>
        <v>614.09400000000016</v>
      </c>
      <c r="E24" s="65">
        <f>SUMIFS($X$60:$X$324,$D$60:$D$324,Table!$C$3,$S$60:$S$324,C24)-SUM(SUMIFS($X$60:$X$324,$D$60:$D$324,Table!$C$3,$S$60:$S$324,C24,$AA$60:$AA$324,{"Ongoing","N/A",""}))</f>
        <v>614.09400000000016</v>
      </c>
      <c r="F24" s="65">
        <f>ROUND(1/8*(SUMIFS($Z$60:$Z$324,$D$60:$D$324,Table!$C$3,$S$60:$S$324,C24)-SUM(SUMIFS($Z$60:$Z$324,$D$60:$D$324,Table!$C$3,$S$60:$S$324,C24,$AA$60:$AA$324,{"Ongoing","N/A",""}))),4)</f>
        <v>2.375</v>
      </c>
      <c r="G24" s="65">
        <f t="shared" ref="G24:G37" si="4">IF(ISERROR(E24/(F24)),"N/A",E24/F24)</f>
        <v>258.56589473684215</v>
      </c>
      <c r="H24" s="66">
        <f t="shared" ref="H24:H37" si="5">IF(ISERROR(E24/D24),"N/A",E24/D24)</f>
        <v>1</v>
      </c>
    </row>
    <row r="25" spans="2:13" x14ac:dyDescent="0.25">
      <c r="B25" s="63">
        <v>3</v>
      </c>
      <c r="C25" s="76" t="s">
        <v>65</v>
      </c>
      <c r="D25" s="65">
        <f>SUMIFS($W$60:$W$324,$D$60:$D$324,Table!$C$3,$S$60:$S$324,C25)</f>
        <v>345.83099999999996</v>
      </c>
      <c r="E25" s="65">
        <f>SUMIFS($X$60:$X$324,$D$60:$D$324,Table!$C$3,$S$60:$S$324,C25)-SUM(SUMIFS($X$60:$X$324,$D$60:$D$324,Table!$C$3,$S$60:$S$324,C25,$AA$60:$AA$324,{"Ongoing","N/A",""}))</f>
        <v>345.83099999999996</v>
      </c>
      <c r="F25" s="65">
        <f>ROUND(1/8*(SUMIFS($Z$60:$Z$324,$D$60:$D$324,Table!$C$3,$S$60:$S$324,C25)-SUM(SUMIFS($Z$60:$Z$324,$D$60:$D$324,Table!$C$3,$S$60:$S$324,C25,$AA$60:$AA$324,{"Ongoing","N/A",""}))),4)</f>
        <v>2.375</v>
      </c>
      <c r="G25" s="65">
        <f t="shared" si="4"/>
        <v>145.61305263157894</v>
      </c>
      <c r="H25" s="66">
        <f t="shared" si="5"/>
        <v>1</v>
      </c>
    </row>
    <row r="26" spans="2:13" x14ac:dyDescent="0.25">
      <c r="B26" s="63">
        <v>4</v>
      </c>
      <c r="C26" s="73" t="s">
        <v>66</v>
      </c>
      <c r="D26" s="65">
        <f>SUMIFS($W$60:$W$324,$D$60:$D$324,Table!$C$3,$S$60:$S$324,C26)</f>
        <v>405.59999999999997</v>
      </c>
      <c r="E26" s="65">
        <f>SUMIFS($X$60:$X$324,$D$60:$D$324,Table!$C$3,$S$60:$S$324,C26)-SUM(SUMIFS($X$60:$X$324,$D$60:$D$324,Table!$C$3,$S$60:$S$324,C26,$AA$60:$AA$324,{"Ongoing","N/A",""}))</f>
        <v>405.59999999999997</v>
      </c>
      <c r="F26" s="65">
        <f>ROUND(1/8*(SUMIFS($Z$60:$Z$324,$D$60:$D$324,Table!$C$3,$S$60:$S$324,C26)-SUM(SUMIFS($Z$60:$Z$324,$D$60:$D$324,Table!$C$3,$S$60:$S$324,C26,$AA$60:$AA$324,{"Ongoing","N/A",""}))),4)</f>
        <v>1.375</v>
      </c>
      <c r="G26" s="65">
        <f t="shared" si="4"/>
        <v>294.98181818181814</v>
      </c>
      <c r="H26" s="66">
        <f t="shared" si="5"/>
        <v>1</v>
      </c>
    </row>
    <row r="27" spans="2:13" x14ac:dyDescent="0.25">
      <c r="B27" s="63">
        <v>5</v>
      </c>
      <c r="C27" s="64" t="s">
        <v>67</v>
      </c>
      <c r="D27" s="65">
        <f>SUMIFS($W$60:$W$324,$D$60:$D$324,Table!$C$3,$S$60:$S$324,C27)</f>
        <v>0</v>
      </c>
      <c r="E27" s="65">
        <f>SUMIFS($X$60:$X$324,$D$60:$D$324,Table!$C$3,$S$60:$S$324,C27)-SUM(SUMIFS($X$60:$X$324,$D$60:$D$324,Table!$C$3,$S$60:$S$324,C27,$AA$60:$AA$324,{"Ongoing","N/A",""}))</f>
        <v>0</v>
      </c>
      <c r="F27" s="65">
        <f>ROUND(1/8*(SUMIFS($Z$60:$Z$324,$D$60:$D$324,Table!$C$3,$S$60:$S$324,C27)-SUM(SUMIFS($Z$60:$Z$324,$D$60:$D$324,Table!$C$3,$S$60:$S$324,C27,$AA$60:$AA$324,{"Ongoing","N/A",""}))),4)</f>
        <v>0</v>
      </c>
      <c r="G27" s="65" t="str">
        <f t="shared" si="4"/>
        <v>N/A</v>
      </c>
      <c r="H27" s="66" t="str">
        <f t="shared" si="5"/>
        <v>N/A</v>
      </c>
    </row>
    <row r="28" spans="2:13" x14ac:dyDescent="0.25">
      <c r="B28" s="63">
        <v>6</v>
      </c>
      <c r="C28" s="64" t="s">
        <v>68</v>
      </c>
      <c r="D28" s="65">
        <f>SUMIFS($W$60:$W$324,$D$60:$D$324,Table!$C$3,$S$60:$S$324,C28)</f>
        <v>0</v>
      </c>
      <c r="E28" s="65">
        <f>SUMIFS($X$60:$X$324,$D$60:$D$324,Table!$C$3,$S$60:$S$324,C28)-SUM(SUMIFS($X$60:$X$324,$D$60:$D$324,Table!$C$3,$S$60:$S$324,C28,$AA$60:$AA$324,{"Ongoing","N/A",""}))</f>
        <v>0</v>
      </c>
      <c r="F28" s="65">
        <f>ROUND(1/8*(SUMIFS($Z$60:$Z$324,$D$60:$D$324,Table!$C$3,$S$60:$S$324,C28)-SUM(SUMIFS($Z$60:$Z$324,$D$60:$D$324,Table!$C$3,$S$60:$S$324,C28,$AA$60:$AA$324,{"Ongoing","N/A",""}))),4)</f>
        <v>0</v>
      </c>
      <c r="G28" s="65" t="str">
        <f t="shared" si="4"/>
        <v>N/A</v>
      </c>
      <c r="H28" s="66" t="str">
        <f t="shared" si="5"/>
        <v>N/A</v>
      </c>
    </row>
    <row r="29" spans="2:13" x14ac:dyDescent="0.25">
      <c r="B29" s="63">
        <v>7</v>
      </c>
      <c r="C29" s="64" t="s">
        <v>69</v>
      </c>
      <c r="D29" s="65">
        <f>SUMIFS($W$60:$W$324,$D$60:$D$324,Table!$C$3,$S$60:$S$324,C29)</f>
        <v>0</v>
      </c>
      <c r="E29" s="65">
        <f>SUMIFS($X$60:$X$324,$D$60:$D$324,Table!$C$3,$S$60:$S$324,C29)-SUM(SUMIFS($X$60:$X$324,$D$60:$D$324,Table!$C$3,$S$60:$S$324,C29,$AA$60:$AA$324,{"Ongoing","N/A",""}))</f>
        <v>0</v>
      </c>
      <c r="F29" s="65">
        <f>ROUND(1/8*(SUMIFS($Z$60:$Z$324,$D$60:$D$324,Table!$C$3,$S$60:$S$324,C29)-SUM(SUMIFS($Z$60:$Z$324,$D$60:$D$324,Table!$C$3,$S$60:$S$324,C29,$AA$60:$AA$324,{"Ongoing","N/A",""}))),4)</f>
        <v>0</v>
      </c>
      <c r="G29" s="65" t="str">
        <f t="shared" si="4"/>
        <v>N/A</v>
      </c>
      <c r="H29" s="66" t="str">
        <f t="shared" si="5"/>
        <v>N/A</v>
      </c>
    </row>
    <row r="30" spans="2:13" x14ac:dyDescent="0.25">
      <c r="B30" s="63">
        <v>8</v>
      </c>
      <c r="C30" s="64" t="s">
        <v>70</v>
      </c>
      <c r="D30" s="65">
        <f>SUMIFS($W$60:$W$324,$D$60:$D$324,Table!$C$3,$S$60:$S$324,C30)</f>
        <v>0</v>
      </c>
      <c r="E30" s="65">
        <f>SUMIFS($X$60:$X$324,$D$60:$D$324,Table!$C$3,$S$60:$S$324,C30)-SUM(SUMIFS($X$60:$X$324,$D$60:$D$324,Table!$C$3,$S$60:$S$324,C30,$AA$60:$AA$324,{"Ongoing","N/A",""}))</f>
        <v>0</v>
      </c>
      <c r="F30" s="65">
        <f>ROUND(1/8*(SUMIFS($Z$60:$Z$324,$D$60:$D$324,Table!$C$3,$S$60:$S$324,C30)-SUM(SUMIFS($Z$60:$Z$324,$D$60:$D$324,Table!$C$3,$S$60:$S$324,C30,$AA$60:$AA$324,{"Ongoing","N/A",""}))),4)</f>
        <v>0</v>
      </c>
      <c r="G30" s="65" t="str">
        <f t="shared" si="4"/>
        <v>N/A</v>
      </c>
      <c r="H30" s="66" t="str">
        <f t="shared" si="5"/>
        <v>N/A</v>
      </c>
    </row>
    <row r="31" spans="2:13" x14ac:dyDescent="0.25">
      <c r="B31" s="63">
        <v>9</v>
      </c>
      <c r="C31" s="73" t="s">
        <v>141</v>
      </c>
      <c r="D31" s="65">
        <f>SUMIFS($W$60:$W$324,$D$60:$D$324,Table!$C$3,$S$60:$S$324,C31)</f>
        <v>761.8000000000003</v>
      </c>
      <c r="E31" s="65">
        <f>SUMIFS($X$60:$X$324,$D$60:$D$324,Table!$C$3,$S$60:$S$324,C31)-SUM(SUMIFS($X$60:$X$324,$D$60:$D$324,Table!$C$3,$S$60:$S$324,C31,$AA$60:$AA$324,{"Ongoing","N/A",""}))</f>
        <v>761.8000000000003</v>
      </c>
      <c r="F31" s="65">
        <f>ROUND(1/8*(SUMIFS($Z$60:$Z$324,$D$60:$D$324,Table!$C$3,$S$60:$S$324,C31)-SUM(SUMIFS($Z$60:$Z$324,$D$60:$D$324,Table!$C$3,$S$60:$S$324,C31,$AA$60:$AA$324,{"Ongoing","N/A",""}))),4)</f>
        <v>4.5</v>
      </c>
      <c r="G31" s="65">
        <f t="shared" si="4"/>
        <v>169.28888888888895</v>
      </c>
      <c r="H31" s="66">
        <f t="shared" si="5"/>
        <v>1</v>
      </c>
    </row>
    <row r="32" spans="2:13" x14ac:dyDescent="0.25">
      <c r="B32" s="63">
        <v>10</v>
      </c>
      <c r="C32" s="76" t="s">
        <v>142</v>
      </c>
      <c r="D32" s="65">
        <f>SUMIFS($W$60:$W$324,$D$60:$D$324,Table!$C$3,$S$60:$S$324,C32)</f>
        <v>0</v>
      </c>
      <c r="E32" s="65">
        <f>SUMIFS($X$60:$X$324,$D$60:$D$324,Table!$C$3,$S$60:$S$324,C32)-SUM(SUMIFS($X$60:$X$324,$D$60:$D$324,Table!$C$3,$S$60:$S$324,C32,$AA$60:$AA$324,{"Ongoing","N/A",""}))</f>
        <v>0</v>
      </c>
      <c r="F32" s="65">
        <f>ROUND(1/8*(SUMIFS($Z$60:$Z$324,$D$60:$D$324,Table!$C$3,$S$60:$S$324,C32)-SUM(SUMIFS($Z$60:$Z$324,$D$60:$D$324,Table!$C$3,$S$60:$S$324,C32,$AA$60:$AA$324,{"Ongoing","N/A",""}))),4)</f>
        <v>0</v>
      </c>
      <c r="G32" s="65" t="str">
        <f t="shared" ref="G32:G36" si="6">IF(ISERROR(E32/(F32)),"N/A",E32/F32)</f>
        <v>N/A</v>
      </c>
      <c r="H32" s="66" t="str">
        <f t="shared" ref="H32:H36" si="7">IF(ISERROR(E32/D32),"N/A",E32/D32)</f>
        <v>N/A</v>
      </c>
    </row>
    <row r="33" spans="1:12" x14ac:dyDescent="0.25">
      <c r="B33" s="63">
        <v>11</v>
      </c>
      <c r="C33" s="73" t="s">
        <v>1430</v>
      </c>
      <c r="D33" s="65">
        <f>SUMIFS($W$60:$W$324,$D$60:$D$324,Table!$C$3,$S$60:$S$324,C33)</f>
        <v>0</v>
      </c>
      <c r="E33" s="65">
        <f>SUMIFS($X$60:$X$324,$D$60:$D$324,Table!$C$3,$S$60:$S$324,C33)-SUM(SUMIFS($X$60:$X$324,$D$60:$D$324,Table!$C$3,$S$60:$S$324,C33,$AA$60:$AA$324,{"Ongoing","N/A",""}))</f>
        <v>0</v>
      </c>
      <c r="F33" s="65">
        <f>ROUND(1/8*(SUMIFS($Z$60:$Z$324,$D$60:$D$324,Table!$C$3,$S$60:$S$324,C33)-SUM(SUMIFS($Z$60:$Z$324,$D$60:$D$324,Table!$C$3,$S$60:$S$324,C33,$AA$60:$AA$324,{"Ongoing","N/A",""}))),4)</f>
        <v>0</v>
      </c>
      <c r="G33" s="65" t="str">
        <f t="shared" si="6"/>
        <v>N/A</v>
      </c>
      <c r="H33" s="66" t="str">
        <f t="shared" si="7"/>
        <v>N/A</v>
      </c>
    </row>
    <row r="34" spans="1:12" x14ac:dyDescent="0.25">
      <c r="B34" s="63">
        <v>12</v>
      </c>
      <c r="C34" s="76" t="s">
        <v>741</v>
      </c>
      <c r="D34" s="65">
        <f>SUMIFS($W$60:$W$324,$D$60:$D$324,Table!$C$3,$S$60:$S$324,C34)</f>
        <v>0</v>
      </c>
      <c r="E34" s="65">
        <f>SUMIFS($X$60:$X$324,$D$60:$D$324,Table!$C$3,$S$60:$S$324,C34)-SUM(SUMIFS($X$60:$X$324,$D$60:$D$324,Table!$C$3,$S$60:$S$324,C34,$AA$60:$AA$324,{"Ongoing","N/A",""}))</f>
        <v>0</v>
      </c>
      <c r="F34" s="65">
        <f>ROUND(1/8*(SUMIFS($Z$60:$Z$324,$D$60:$D$324,Table!$C$3,$S$60:$S$324,C34)-SUM(SUMIFS($Z$60:$Z$324,$D$60:$D$324,Table!$C$3,$S$60:$S$324,C34,$AA$60:$AA$324,{"Ongoing","N/A",""}))),4)</f>
        <v>0</v>
      </c>
      <c r="G34" s="65" t="str">
        <f t="shared" si="6"/>
        <v>N/A</v>
      </c>
      <c r="H34" s="66" t="str">
        <f t="shared" si="7"/>
        <v>N/A</v>
      </c>
    </row>
    <row r="35" spans="1:12" x14ac:dyDescent="0.25">
      <c r="B35" s="63">
        <v>13</v>
      </c>
      <c r="C35" s="76" t="s">
        <v>742</v>
      </c>
      <c r="D35" s="65">
        <f>SUMIFS($W$60:$W$324,$D$60:$D$324,Table!$C$3,$S$60:$S$324,C35)</f>
        <v>0</v>
      </c>
      <c r="E35" s="65">
        <f>SUMIFS($X$60:$X$324,$D$60:$D$324,Table!$C$3,$S$60:$S$324,C35)-SUM(SUMIFS($X$60:$X$324,$D$60:$D$324,Table!$C$3,$S$60:$S$324,C35,$AA$60:$AA$324,{"Ongoing","N/A",""}))</f>
        <v>0</v>
      </c>
      <c r="F35" s="65">
        <f>ROUND(1/8*(SUMIFS($Z$60:$Z$324,$D$60:$D$324,Table!$C$3,$S$60:$S$324,C35)-SUM(SUMIFS($Z$60:$Z$324,$D$60:$D$324,Table!$C$3,$S$60:$S$324,C35,$AA$60:$AA$324,{"Ongoing","N/A",""}))),4)</f>
        <v>0</v>
      </c>
      <c r="G35" s="65" t="str">
        <f t="shared" si="6"/>
        <v>N/A</v>
      </c>
      <c r="H35" s="66" t="str">
        <f t="shared" si="7"/>
        <v>N/A</v>
      </c>
    </row>
    <row r="36" spans="1:12" x14ac:dyDescent="0.25">
      <c r="B36" s="63">
        <v>14</v>
      </c>
      <c r="C36" s="76" t="s">
        <v>743</v>
      </c>
      <c r="D36" s="65">
        <f>SUMIFS($W$60:$W$324,$D$60:$D$324,Table!$C$3,$S$60:$S$324,C36)</f>
        <v>0</v>
      </c>
      <c r="E36" s="65">
        <f>SUMIFS($X$60:$X$324,$D$60:$D$324,Table!$C$3,$S$60:$S$324,C36)-SUM(SUMIFS($X$60:$X$324,$D$60:$D$324,Table!$C$3,$S$60:$S$324,C36,$AA$60:$AA$324,{"Ongoing","N/A",""}))</f>
        <v>0</v>
      </c>
      <c r="F36" s="65">
        <f>ROUND(1/8*(SUMIFS($Z$60:$Z$324,$D$60:$D$324,Table!$C$3,$S$60:$S$324,C36)-SUM(SUMIFS($Z$60:$Z$324,$D$60:$D$324,Table!$C$3,$S$60:$S$324,C36,$AA$60:$AA$324,{"Ongoing","N/A",""}))),4)</f>
        <v>0</v>
      </c>
      <c r="G36" s="65" t="str">
        <f t="shared" si="6"/>
        <v>N/A</v>
      </c>
      <c r="H36" s="66" t="str">
        <f t="shared" si="7"/>
        <v>N/A</v>
      </c>
    </row>
    <row r="37" spans="1:12" x14ac:dyDescent="0.25">
      <c r="B37" s="61" t="s">
        <v>106</v>
      </c>
      <c r="C37" s="67"/>
      <c r="D37" s="69">
        <f>ROUND(SUMIFS($W$60:$W$324,$D$60:$D$324,Table!$C$3),3)</f>
        <v>2127.3249999999998</v>
      </c>
      <c r="E37" s="69">
        <f>ROUND(SUMIFS($W$60:$W$324,$D$60:$D$324,Table!$C$3)-SUM(SUMIFS($W$60:$W$324,$D$60:$D$324,Table!$C$3,$AA$60:$AA$324,{"Ongoing","N/A",""})),3)</f>
        <v>2127.3249999999998</v>
      </c>
      <c r="F37" s="69">
        <f>ROUND(1/8*(SUMIFS($Z$60:$Z$324,$D$60:$D$324,Table!$C$3)-SUM(SUMIFS($Z$60:$Z$324,$D$60:$D$324,Table!$C$3,$AA$60:$AA$324,{"Ongoing","N/A",""}))),4)</f>
        <v>10.625</v>
      </c>
      <c r="G37" s="65">
        <f t="shared" si="4"/>
        <v>200.21882352941174</v>
      </c>
      <c r="H37" s="66">
        <f t="shared" si="5"/>
        <v>1</v>
      </c>
      <c r="L37" s="6"/>
    </row>
    <row r="40" spans="1:12" x14ac:dyDescent="0.25">
      <c r="A40" s="1" t="s">
        <v>193</v>
      </c>
      <c r="B40" s="68" t="s">
        <v>107</v>
      </c>
    </row>
    <row r="41" spans="1:12" x14ac:dyDescent="0.25">
      <c r="B41" s="61" t="s">
        <v>0</v>
      </c>
      <c r="C41" s="61" t="s">
        <v>8</v>
      </c>
      <c r="D41" s="61" t="s">
        <v>1507</v>
      </c>
      <c r="E41" s="61" t="s">
        <v>53</v>
      </c>
      <c r="F41" s="61" t="s">
        <v>99</v>
      </c>
      <c r="G41" s="61" t="s">
        <v>22</v>
      </c>
      <c r="H41" s="62" t="s">
        <v>24</v>
      </c>
      <c r="I41" s="62" t="s">
        <v>139</v>
      </c>
      <c r="J41" s="62" t="s">
        <v>149</v>
      </c>
    </row>
    <row r="42" spans="1:12" x14ac:dyDescent="0.25">
      <c r="B42" s="63">
        <v>1</v>
      </c>
      <c r="C42" s="76" t="s">
        <v>6</v>
      </c>
      <c r="D42" s="65">
        <f>SUM(D23*Table!$D$4/Table!$C$4,D4)</f>
        <v>2578.5</v>
      </c>
      <c r="E42" s="65">
        <f>SUM(E23*Table!$D$4/Table!$C$4,E4)</f>
        <v>2578.5</v>
      </c>
      <c r="F42" s="65">
        <f t="shared" ref="F42:F55" ca="1" si="8">$K$20</f>
        <v>22</v>
      </c>
      <c r="G42" s="65">
        <f t="shared" ref="G42" ca="1" si="9">IF(ISERROR(E42/(F42)),"N/A",E42/F42)</f>
        <v>117.20454545454545</v>
      </c>
      <c r="H42" s="66">
        <f t="shared" ref="H42:H56" si="10">IF(ISERROR(E42/D42),"N/A",E42/D42)</f>
        <v>1</v>
      </c>
      <c r="I42" s="3">
        <f>COUNTIFS($S$60:$S$60,C42,$AK$60:$AK$60,Table!$C$41)</f>
        <v>0</v>
      </c>
      <c r="J42" s="3">
        <f>COUNTIFS($S$60:$S$60,C42,$AK$60:$AK$60,Table!$C$42)</f>
        <v>0</v>
      </c>
    </row>
    <row r="43" spans="1:12" x14ac:dyDescent="0.25">
      <c r="B43" s="63">
        <v>2</v>
      </c>
      <c r="C43" s="73" t="s">
        <v>64</v>
      </c>
      <c r="D43" s="65">
        <f>SUM(D24*Table!$D$4/Table!$C$4,D5)</f>
        <v>6260.2200000000012</v>
      </c>
      <c r="E43" s="65">
        <f>SUM(E24*Table!$D$4/Table!$C$4,E5)</f>
        <v>6260.2200000000012</v>
      </c>
      <c r="F43" s="65">
        <f t="shared" ca="1" si="8"/>
        <v>22</v>
      </c>
      <c r="G43" s="65">
        <f ca="1">IF(ISERROR(E43/(F43)),"N/A",E43/F43)</f>
        <v>284.55545454545461</v>
      </c>
      <c r="H43" s="66">
        <f t="shared" si="10"/>
        <v>1</v>
      </c>
      <c r="I43" s="3">
        <f>COUNTIFS($S$60:$S$60,C43,$AK$60:$AK$60,Table!$C$41)</f>
        <v>0</v>
      </c>
      <c r="J43" s="3">
        <f>COUNTIFS($S$60:$S$60,C43,$AK$60:$AK$60,Table!$C$42)</f>
        <v>0</v>
      </c>
    </row>
    <row r="44" spans="1:12" x14ac:dyDescent="0.25">
      <c r="B44" s="63">
        <v>3</v>
      </c>
      <c r="C44" s="76" t="s">
        <v>65</v>
      </c>
      <c r="D44" s="65">
        <f>SUM(D25*Table!$D$4/Table!$C$4,D6)</f>
        <v>5600.9873076923077</v>
      </c>
      <c r="E44" s="65">
        <f>SUM(E25*Table!$D$4/Table!$C$4,E6)</f>
        <v>5600.9873076923077</v>
      </c>
      <c r="F44" s="65">
        <f t="shared" ca="1" si="8"/>
        <v>22</v>
      </c>
      <c r="G44" s="65">
        <f t="shared" ref="G44:G50" ca="1" si="11">IF(ISERROR(E44/(F44)),"N/A",E44/F44)</f>
        <v>254.59033216783217</v>
      </c>
      <c r="H44" s="66">
        <f t="shared" si="10"/>
        <v>1</v>
      </c>
      <c r="I44" s="3">
        <f>COUNTIFS($S$60:$S$60,C44,$AK$60:$AK$60,Table!$C$41)</f>
        <v>0</v>
      </c>
      <c r="J44" s="3">
        <f>COUNTIFS($S$60:$S$60,C44,$AK$60:$AK$60,Table!$C$42)</f>
        <v>0</v>
      </c>
    </row>
    <row r="45" spans="1:12" x14ac:dyDescent="0.25">
      <c r="B45" s="63">
        <v>4</v>
      </c>
      <c r="C45" s="73" t="s">
        <v>66</v>
      </c>
      <c r="D45" s="65">
        <f>SUM(D26*Table!$D$4/Table!$C$4,D7)</f>
        <v>6791.6970000000001</v>
      </c>
      <c r="E45" s="65">
        <f>SUM(E26*Table!$D$4/Table!$C$4,E7)</f>
        <v>6791.6970000000001</v>
      </c>
      <c r="F45" s="65">
        <f t="shared" ca="1" si="8"/>
        <v>22</v>
      </c>
      <c r="G45" s="65">
        <f t="shared" ca="1" si="11"/>
        <v>308.71350000000001</v>
      </c>
      <c r="H45" s="66">
        <f t="shared" si="10"/>
        <v>1</v>
      </c>
      <c r="I45" s="3">
        <f>COUNTIFS($S$60:$S$60,C45,$AK$60:$AK$60,Table!$C$41)</f>
        <v>0</v>
      </c>
      <c r="J45" s="3">
        <f>COUNTIFS($S$60:$S$60,C45,$AK$60:$AK$60,Table!$C$42)</f>
        <v>0</v>
      </c>
    </row>
    <row r="46" spans="1:12" x14ac:dyDescent="0.25">
      <c r="B46" s="63">
        <v>5</v>
      </c>
      <c r="C46" s="64" t="s">
        <v>67</v>
      </c>
      <c r="D46" s="65">
        <f>SUM(D27*Table!$D$4/Table!$C$4,D8)</f>
        <v>0</v>
      </c>
      <c r="E46" s="65">
        <f>SUM(E27*Table!$D$4/Table!$C$4,E8)</f>
        <v>0</v>
      </c>
      <c r="F46" s="65">
        <f t="shared" ca="1" si="8"/>
        <v>22</v>
      </c>
      <c r="G46" s="65">
        <f t="shared" ca="1" si="11"/>
        <v>0</v>
      </c>
      <c r="H46" s="66" t="str">
        <f t="shared" si="10"/>
        <v>N/A</v>
      </c>
      <c r="I46" s="3">
        <f>COUNTIFS($S$60:$S$60,C46,$AK$60:$AK$60,Table!$C$41)</f>
        <v>0</v>
      </c>
      <c r="J46" s="3">
        <f>COUNTIFS($S$60:$S$60,C46,$AK$60:$AK$60,Table!$C$42)</f>
        <v>0</v>
      </c>
    </row>
    <row r="47" spans="1:12" x14ac:dyDescent="0.25">
      <c r="B47" s="63">
        <v>6</v>
      </c>
      <c r="C47" s="64" t="s">
        <v>68</v>
      </c>
      <c r="D47" s="65">
        <f>SUM(D28*Table!$D$4/Table!$C$4,D9)</f>
        <v>0</v>
      </c>
      <c r="E47" s="65">
        <f>SUM(E28*Table!$D$4/Table!$C$4,E9)</f>
        <v>0</v>
      </c>
      <c r="F47" s="65">
        <f t="shared" ca="1" si="8"/>
        <v>22</v>
      </c>
      <c r="G47" s="65">
        <f t="shared" ca="1" si="11"/>
        <v>0</v>
      </c>
      <c r="H47" s="66" t="str">
        <f t="shared" si="10"/>
        <v>N/A</v>
      </c>
      <c r="I47" s="3">
        <f>COUNTIFS($S$60:$S$60,C47,$AK$60:$AK$60,Table!$C$41)</f>
        <v>0</v>
      </c>
      <c r="J47" s="3">
        <f>COUNTIFS($S$60:$S$60,C47,$AK$60:$AK$60,Table!$C$42)</f>
        <v>0</v>
      </c>
    </row>
    <row r="48" spans="1:12" x14ac:dyDescent="0.25">
      <c r="B48" s="63">
        <v>7</v>
      </c>
      <c r="C48" s="64" t="s">
        <v>69</v>
      </c>
      <c r="D48" s="65">
        <f>SUM(D29*Table!$D$4/Table!$C$4,D10)</f>
        <v>0</v>
      </c>
      <c r="E48" s="65">
        <f>SUM(E29*Table!$D$4/Table!$C$4,E10)</f>
        <v>0</v>
      </c>
      <c r="F48" s="65">
        <f t="shared" ca="1" si="8"/>
        <v>22</v>
      </c>
      <c r="G48" s="65">
        <f t="shared" ca="1" si="11"/>
        <v>0</v>
      </c>
      <c r="H48" s="66" t="str">
        <f t="shared" si="10"/>
        <v>N/A</v>
      </c>
      <c r="I48" s="3">
        <f>COUNTIFS($S$60:$S$60,C48,$AK$60:$AK$60,Table!$C$41)</f>
        <v>0</v>
      </c>
      <c r="J48" s="3">
        <f>COUNTIFS($S$60:$S$60,C48,$AK$60:$AK$60,Table!$C$42)</f>
        <v>0</v>
      </c>
    </row>
    <row r="49" spans="2:40" x14ac:dyDescent="0.25">
      <c r="B49" s="63">
        <v>8</v>
      </c>
      <c r="C49" s="64" t="s">
        <v>70</v>
      </c>
      <c r="D49" s="65">
        <f>SUM(D30*Table!$D$4/Table!$C$4,D11)</f>
        <v>0</v>
      </c>
      <c r="E49" s="65">
        <f>SUM(E30*Table!$D$4/Table!$C$4,E11)</f>
        <v>0</v>
      </c>
      <c r="F49" s="65">
        <f t="shared" ca="1" si="8"/>
        <v>22</v>
      </c>
      <c r="G49" s="65">
        <f t="shared" ca="1" si="11"/>
        <v>0</v>
      </c>
      <c r="H49" s="66" t="str">
        <f t="shared" si="10"/>
        <v>N/A</v>
      </c>
      <c r="I49" s="3">
        <f>COUNTIFS($S$60:$S$60,C49,$AK$60:$AK$60,Table!$C$41)</f>
        <v>0</v>
      </c>
      <c r="J49" s="3">
        <f>COUNTIFS($S$60:$S$60,C49,$AK$60:$AK$60,Table!$C$42)</f>
        <v>0</v>
      </c>
    </row>
    <row r="50" spans="2:40" x14ac:dyDescent="0.25">
      <c r="B50" s="63">
        <v>9</v>
      </c>
      <c r="C50" s="73" t="s">
        <v>141</v>
      </c>
      <c r="D50" s="65">
        <f>SUM(D31*Table!$D$4/Table!$C$4,D12)</f>
        <v>10406.988000000001</v>
      </c>
      <c r="E50" s="65">
        <f>SUM(E31*Table!$D$4/Table!$C$4,E12)</f>
        <v>10406.988000000001</v>
      </c>
      <c r="F50" s="65">
        <f t="shared" ca="1" si="8"/>
        <v>22</v>
      </c>
      <c r="G50" s="65">
        <f t="shared" ca="1" si="11"/>
        <v>473.04490909090913</v>
      </c>
      <c r="H50" s="66">
        <f t="shared" si="10"/>
        <v>1</v>
      </c>
      <c r="I50" s="3">
        <f>COUNTIFS($S$60:$S$60,C50,$AK$60:$AK$60,Table!$C$41)</f>
        <v>0</v>
      </c>
      <c r="J50" s="3">
        <f>COUNTIFS($S$60:$S$60,C50,$AK$60:$AK$60,Table!$C$42)</f>
        <v>0</v>
      </c>
    </row>
    <row r="51" spans="2:40" x14ac:dyDescent="0.25">
      <c r="B51" s="63">
        <v>10</v>
      </c>
      <c r="C51" s="76" t="s">
        <v>142</v>
      </c>
      <c r="D51" s="65">
        <f>SUM(D32*Table!$D$4/Table!$C$4,D13)</f>
        <v>0</v>
      </c>
      <c r="E51" s="65">
        <f>SUM(E32*Table!$D$4/Table!$C$4,E13)</f>
        <v>0</v>
      </c>
      <c r="F51" s="65">
        <f t="shared" ca="1" si="8"/>
        <v>22</v>
      </c>
      <c r="G51" s="65">
        <f t="shared" ref="G51:G55" ca="1" si="12">IF(ISERROR(E51/(F51)),"N/A",E51/F51)</f>
        <v>0</v>
      </c>
      <c r="H51" s="66" t="str">
        <f t="shared" ref="H51:H55" si="13">IF(ISERROR(E51/D51),"N/A",E51/D51)</f>
        <v>N/A</v>
      </c>
      <c r="I51" s="3">
        <f>COUNTIFS($S$60:$S$60,C51,$AK$60:$AK$60,Table!$C$41)</f>
        <v>0</v>
      </c>
      <c r="J51" s="3">
        <f>COUNTIFS($S$60:$S$60,C51,$AK$60:$AK$60,Table!$C$42)</f>
        <v>0</v>
      </c>
    </row>
    <row r="52" spans="2:40" x14ac:dyDescent="0.25">
      <c r="B52" s="63">
        <v>11</v>
      </c>
      <c r="C52" s="73" t="s">
        <v>1430</v>
      </c>
      <c r="D52" s="65">
        <f>SUM(D33*Table!$D$4/Table!$C$4,D14)</f>
        <v>0</v>
      </c>
      <c r="E52" s="65">
        <f>SUM(E33*Table!$D$4/Table!$C$4,E14)</f>
        <v>0</v>
      </c>
      <c r="F52" s="65">
        <f t="shared" ca="1" si="8"/>
        <v>22</v>
      </c>
      <c r="G52" s="65">
        <f t="shared" ca="1" si="12"/>
        <v>0</v>
      </c>
      <c r="H52" s="66" t="str">
        <f t="shared" si="13"/>
        <v>N/A</v>
      </c>
      <c r="I52" s="3">
        <f>COUNTIFS($S$60:$S$60,C52,$AK$60:$AK$60,Table!$C$41)</f>
        <v>0</v>
      </c>
      <c r="J52" s="3">
        <f>COUNTIFS($S$60:$S$60,C52,$AK$60:$AK$60,Table!$C$42)</f>
        <v>0</v>
      </c>
    </row>
    <row r="53" spans="2:40" x14ac:dyDescent="0.25">
      <c r="B53" s="63">
        <v>12</v>
      </c>
      <c r="C53" s="76" t="s">
        <v>741</v>
      </c>
      <c r="D53" s="65">
        <f>SUM(D34*Table!$D$4/Table!$C$4,D15)</f>
        <v>0</v>
      </c>
      <c r="E53" s="65">
        <f>SUM(E34*Table!$D$4/Table!$C$4,E15)</f>
        <v>0</v>
      </c>
      <c r="F53" s="65">
        <f t="shared" ca="1" si="8"/>
        <v>22</v>
      </c>
      <c r="G53" s="65">
        <f t="shared" ca="1" si="12"/>
        <v>0</v>
      </c>
      <c r="H53" s="66" t="str">
        <f t="shared" si="13"/>
        <v>N/A</v>
      </c>
      <c r="I53" s="3">
        <f>COUNTIFS($S$60:$S$60,C53,$AK$60:$AK$60,Table!$C$41)</f>
        <v>0</v>
      </c>
      <c r="J53" s="3">
        <f>COUNTIFS($S$60:$S$60,C53,$AK$60:$AK$60,Table!$C$42)</f>
        <v>0</v>
      </c>
    </row>
    <row r="54" spans="2:40" x14ac:dyDescent="0.25">
      <c r="B54" s="63">
        <v>13</v>
      </c>
      <c r="C54" s="76" t="s">
        <v>742</v>
      </c>
      <c r="D54" s="65">
        <f>SUM(D35*Table!$D$4/Table!$C$4,D16)</f>
        <v>0</v>
      </c>
      <c r="E54" s="65">
        <f>SUM(E35*Table!$D$4/Table!$C$4,E16)</f>
        <v>0</v>
      </c>
      <c r="F54" s="65">
        <f t="shared" ca="1" si="8"/>
        <v>22</v>
      </c>
      <c r="G54" s="65">
        <f t="shared" ca="1" si="12"/>
        <v>0</v>
      </c>
      <c r="H54" s="66" t="str">
        <f t="shared" si="13"/>
        <v>N/A</v>
      </c>
      <c r="I54" s="3">
        <f>COUNTIFS($S$60:$S$60,C54,$AK$60:$AK$60,Table!$C$41)</f>
        <v>0</v>
      </c>
      <c r="J54" s="3">
        <f>COUNTIFS($S$60:$S$60,C54,$AK$60:$AK$60,Table!$C$42)</f>
        <v>0</v>
      </c>
    </row>
    <row r="55" spans="2:40" x14ac:dyDescent="0.25">
      <c r="B55" s="63">
        <v>14</v>
      </c>
      <c r="C55" s="76" t="s">
        <v>743</v>
      </c>
      <c r="D55" s="65">
        <f>SUM(D36*Table!$D$4/Table!$C$4,D17)</f>
        <v>0</v>
      </c>
      <c r="E55" s="65">
        <f>SUM(E36*Table!$D$4/Table!$C$4,E17)</f>
        <v>0</v>
      </c>
      <c r="F55" s="65">
        <f t="shared" ca="1" si="8"/>
        <v>22</v>
      </c>
      <c r="G55" s="65">
        <f t="shared" ca="1" si="12"/>
        <v>0</v>
      </c>
      <c r="H55" s="66" t="str">
        <f t="shared" si="13"/>
        <v>N/A</v>
      </c>
      <c r="I55" s="3">
        <f>COUNTIFS($S$60:$S$60,C55,$AK$60:$AK$60,Table!$C$41)</f>
        <v>0</v>
      </c>
      <c r="J55" s="3">
        <f>COUNTIFS($S$60:$S$60,C55,$AK$60:$AK$60,Table!$C$42)</f>
        <v>0</v>
      </c>
    </row>
    <row r="56" spans="2:40" x14ac:dyDescent="0.25">
      <c r="B56" s="61" t="s">
        <v>106</v>
      </c>
      <c r="C56" s="67"/>
      <c r="D56" s="65">
        <f>SUM(D42:D55)</f>
        <v>31638.392307692309</v>
      </c>
      <c r="E56" s="65">
        <f>SUM(E42:E55)</f>
        <v>31638.392307692309</v>
      </c>
      <c r="F56" s="65">
        <f ca="1">$K$20*COUNTA(C42:C55)</f>
        <v>308</v>
      </c>
      <c r="G56" s="65">
        <f ca="1">IF(ISERROR(E56/(F56)),"N/A",E56/F56)</f>
        <v>102.72205294705296</v>
      </c>
      <c r="H56" s="66">
        <f t="shared" si="10"/>
        <v>1</v>
      </c>
      <c r="I56" s="3">
        <f>SUM(I42:I55)</f>
        <v>0</v>
      </c>
      <c r="J56" s="3">
        <f>SUM(J42:J55)</f>
        <v>0</v>
      </c>
    </row>
    <row r="59" spans="2: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2:40" x14ac:dyDescent="0.25">
      <c r="B60" s="158">
        <v>1</v>
      </c>
      <c r="C60" s="16">
        <v>20200511</v>
      </c>
      <c r="D60" s="15" t="s">
        <v>2</v>
      </c>
      <c r="E60" s="80" t="s">
        <v>210</v>
      </c>
      <c r="F60" s="17" t="s">
        <v>171</v>
      </c>
      <c r="G60" s="52" t="s">
        <v>61</v>
      </c>
      <c r="H60" s="15" t="s">
        <v>282</v>
      </c>
      <c r="I60" s="15" t="s">
        <v>280</v>
      </c>
      <c r="J60" s="15" t="s">
        <v>211</v>
      </c>
      <c r="K60" s="52" t="s">
        <v>61</v>
      </c>
      <c r="L60" s="98" t="s">
        <v>61</v>
      </c>
      <c r="M60" s="52" t="s">
        <v>61</v>
      </c>
      <c r="N60" s="15" t="s">
        <v>221</v>
      </c>
      <c r="O60" s="17" t="s">
        <v>281</v>
      </c>
      <c r="P60" s="17" t="s">
        <v>212</v>
      </c>
      <c r="Q60" s="18"/>
      <c r="R60" s="106" t="s">
        <v>94</v>
      </c>
      <c r="S60" s="15" t="s">
        <v>141</v>
      </c>
      <c r="T60" s="15"/>
      <c r="U60" s="15"/>
      <c r="V60" s="15">
        <v>418</v>
      </c>
      <c r="W60" s="15">
        <f>ROUND(IF(D60=Table!$C$3,Y60*Table!$C$4/8,Y60*Table!$D$4/8),3)</f>
        <v>364</v>
      </c>
      <c r="X60" s="15">
        <f>W60</f>
        <v>364</v>
      </c>
      <c r="Y60" s="15">
        <v>22.4</v>
      </c>
      <c r="Z60" s="15">
        <v>20</v>
      </c>
      <c r="AA60" s="15" t="s">
        <v>74</v>
      </c>
      <c r="AB60" s="19">
        <v>43976</v>
      </c>
      <c r="AC60" s="19">
        <v>43970</v>
      </c>
      <c r="AD60" s="19">
        <v>43977</v>
      </c>
      <c r="AE60" s="19">
        <v>43973</v>
      </c>
      <c r="AF60" s="19">
        <v>43976</v>
      </c>
      <c r="AG60" s="19" t="s">
        <v>176</v>
      </c>
      <c r="AH60" s="31">
        <v>0.99399999999999999</v>
      </c>
      <c r="AI60" s="31">
        <v>0.995</v>
      </c>
      <c r="AJ60" s="31">
        <v>0.98499999999999999</v>
      </c>
      <c r="AK60" s="134" t="s">
        <v>150</v>
      </c>
      <c r="AL60" s="134" t="s">
        <v>455</v>
      </c>
      <c r="AM60" s="15"/>
      <c r="AN60" s="15"/>
    </row>
    <row r="61" spans="2:40" x14ac:dyDescent="0.25">
      <c r="B61" s="158">
        <f>B60+1</f>
        <v>2</v>
      </c>
      <c r="C61" s="16">
        <v>20200525</v>
      </c>
      <c r="D61" s="16" t="s">
        <v>3</v>
      </c>
      <c r="E61" s="141" t="s">
        <v>667</v>
      </c>
      <c r="F61" s="98" t="s">
        <v>716</v>
      </c>
      <c r="G61" s="52" t="s">
        <v>61</v>
      </c>
      <c r="H61" s="16" t="s">
        <v>727</v>
      </c>
      <c r="I61" s="16" t="s">
        <v>719</v>
      </c>
      <c r="J61" s="98" t="s">
        <v>61</v>
      </c>
      <c r="K61" s="52" t="s">
        <v>61</v>
      </c>
      <c r="L61" s="98" t="s">
        <v>949</v>
      </c>
      <c r="M61" s="52" t="s">
        <v>61</v>
      </c>
      <c r="N61" s="16" t="s">
        <v>735</v>
      </c>
      <c r="O61" s="98" t="s">
        <v>61</v>
      </c>
      <c r="P61" s="98" t="s">
        <v>736</v>
      </c>
      <c r="Q61" s="18"/>
      <c r="R61" s="106" t="s">
        <v>94</v>
      </c>
      <c r="S61" s="16" t="s">
        <v>141</v>
      </c>
      <c r="T61" s="16"/>
      <c r="U61" s="16"/>
      <c r="V61" s="16">
        <v>207</v>
      </c>
      <c r="W61" s="15">
        <f>ROUND(IF(D61=Table!$C$3,Y61*Table!$C$4/8,Y61*Table!$D$4/8),3)</f>
        <v>202.5</v>
      </c>
      <c r="X61" s="15">
        <f t="shared" ref="X61:X68" si="14">W61</f>
        <v>202.5</v>
      </c>
      <c r="Y61" s="16">
        <v>3.6</v>
      </c>
      <c r="Z61" s="16">
        <v>3</v>
      </c>
      <c r="AA61" s="15" t="s">
        <v>74</v>
      </c>
      <c r="AB61" s="99">
        <v>43979</v>
      </c>
      <c r="AC61" s="19">
        <v>43976</v>
      </c>
      <c r="AD61" s="99">
        <v>43980</v>
      </c>
      <c r="AE61" s="99">
        <v>43977</v>
      </c>
      <c r="AF61" s="99">
        <v>43978</v>
      </c>
      <c r="AG61" s="99" t="s">
        <v>176</v>
      </c>
      <c r="AH61" s="100">
        <v>1</v>
      </c>
      <c r="AI61" s="100">
        <v>1</v>
      </c>
      <c r="AJ61" s="100">
        <v>1</v>
      </c>
      <c r="AK61" s="157" t="s">
        <v>150</v>
      </c>
      <c r="AL61" s="134"/>
      <c r="AM61" s="15"/>
      <c r="AN61" s="15"/>
    </row>
    <row r="62" spans="2:40" x14ac:dyDescent="0.25">
      <c r="B62" s="158">
        <f t="shared" ref="B62:B84" si="15">B61+1</f>
        <v>3</v>
      </c>
      <c r="C62" s="16">
        <v>20200525</v>
      </c>
      <c r="D62" s="16" t="s">
        <v>3</v>
      </c>
      <c r="E62" s="141" t="s">
        <v>667</v>
      </c>
      <c r="F62" s="98" t="s">
        <v>717</v>
      </c>
      <c r="G62" s="52" t="s">
        <v>61</v>
      </c>
      <c r="H62" s="16" t="s">
        <v>728</v>
      </c>
      <c r="I62" s="16" t="s">
        <v>720</v>
      </c>
      <c r="J62" s="98" t="s">
        <v>61</v>
      </c>
      <c r="K62" s="52" t="s">
        <v>61</v>
      </c>
      <c r="L62" s="98" t="s">
        <v>949</v>
      </c>
      <c r="M62" s="52" t="s">
        <v>61</v>
      </c>
      <c r="N62" s="16" t="s">
        <v>735</v>
      </c>
      <c r="O62" s="98" t="s">
        <v>61</v>
      </c>
      <c r="P62" s="98" t="s">
        <v>736</v>
      </c>
      <c r="Q62" s="18"/>
      <c r="R62" s="106" t="s">
        <v>95</v>
      </c>
      <c r="S62" s="16" t="s">
        <v>66</v>
      </c>
      <c r="T62" s="16"/>
      <c r="U62" s="16"/>
      <c r="V62" s="16">
        <v>322</v>
      </c>
      <c r="W62" s="15">
        <f>ROUND(IF(D62=Table!$C$3,Y62*Table!$C$4/8,Y62*Table!$D$4/8),3)</f>
        <v>337.5</v>
      </c>
      <c r="X62" s="15">
        <f t="shared" si="14"/>
        <v>337.5</v>
      </c>
      <c r="Y62" s="16">
        <v>6</v>
      </c>
      <c r="Z62" s="16">
        <v>2</v>
      </c>
      <c r="AA62" s="15" t="s">
        <v>74</v>
      </c>
      <c r="AB62" s="99">
        <v>43979</v>
      </c>
      <c r="AC62" s="19">
        <v>43976</v>
      </c>
      <c r="AD62" s="99">
        <v>43980</v>
      </c>
      <c r="AE62" s="99">
        <v>43978</v>
      </c>
      <c r="AF62" s="99">
        <v>43978</v>
      </c>
      <c r="AG62" s="99" t="s">
        <v>176</v>
      </c>
      <c r="AH62" s="100">
        <v>1</v>
      </c>
      <c r="AI62" s="100">
        <v>1</v>
      </c>
      <c r="AJ62" s="100">
        <v>0.9</v>
      </c>
      <c r="AK62" s="157" t="s">
        <v>150</v>
      </c>
      <c r="AL62" s="134" t="s">
        <v>737</v>
      </c>
      <c r="AM62" s="15"/>
      <c r="AN62" s="15"/>
    </row>
    <row r="63" spans="2:40" x14ac:dyDescent="0.25">
      <c r="B63" s="158">
        <f t="shared" si="15"/>
        <v>4</v>
      </c>
      <c r="C63" s="16">
        <v>20200525</v>
      </c>
      <c r="D63" s="16" t="s">
        <v>3</v>
      </c>
      <c r="E63" s="141" t="s">
        <v>667</v>
      </c>
      <c r="F63" s="98" t="s">
        <v>717</v>
      </c>
      <c r="G63" s="52" t="s">
        <v>61</v>
      </c>
      <c r="H63" s="16" t="s">
        <v>729</v>
      </c>
      <c r="I63" s="16" t="s">
        <v>721</v>
      </c>
      <c r="J63" s="98" t="s">
        <v>61</v>
      </c>
      <c r="K63" s="52" t="s">
        <v>61</v>
      </c>
      <c r="L63" s="98" t="s">
        <v>949</v>
      </c>
      <c r="M63" s="52" t="s">
        <v>61</v>
      </c>
      <c r="N63" s="16" t="s">
        <v>735</v>
      </c>
      <c r="O63" s="98" t="s">
        <v>61</v>
      </c>
      <c r="P63" s="98" t="s">
        <v>736</v>
      </c>
      <c r="Q63" s="18"/>
      <c r="R63" s="106" t="s">
        <v>94</v>
      </c>
      <c r="S63" s="16" t="s">
        <v>141</v>
      </c>
      <c r="T63" s="16"/>
      <c r="U63" s="16"/>
      <c r="V63" s="16">
        <v>787</v>
      </c>
      <c r="W63" s="15">
        <f>ROUND(IF(D63=Table!$C$3,Y63*Table!$C$4/8,Y63*Table!$D$4/8),3)</f>
        <v>697.5</v>
      </c>
      <c r="X63" s="15">
        <f t="shared" si="14"/>
        <v>697.5</v>
      </c>
      <c r="Y63" s="16">
        <v>12.4</v>
      </c>
      <c r="Z63" s="16">
        <v>10</v>
      </c>
      <c r="AA63" s="15" t="s">
        <v>74</v>
      </c>
      <c r="AB63" s="99">
        <v>43979</v>
      </c>
      <c r="AC63" s="19">
        <v>43976</v>
      </c>
      <c r="AD63" s="99">
        <v>43980</v>
      </c>
      <c r="AE63" s="99">
        <v>43978</v>
      </c>
      <c r="AF63" s="99">
        <v>43978</v>
      </c>
      <c r="AG63" s="99" t="s">
        <v>176</v>
      </c>
      <c r="AH63" s="100">
        <v>0.98</v>
      </c>
      <c r="AI63" s="100">
        <v>0.98</v>
      </c>
      <c r="AJ63" s="100">
        <v>1</v>
      </c>
      <c r="AK63" s="157" t="s">
        <v>150</v>
      </c>
      <c r="AL63" s="134" t="s">
        <v>708</v>
      </c>
      <c r="AM63" s="15"/>
      <c r="AN63" s="15"/>
    </row>
    <row r="64" spans="2:40" x14ac:dyDescent="0.25">
      <c r="B64" s="158">
        <f t="shared" si="15"/>
        <v>5</v>
      </c>
      <c r="C64" s="16">
        <v>20200525</v>
      </c>
      <c r="D64" s="16" t="s">
        <v>3</v>
      </c>
      <c r="E64" s="141" t="s">
        <v>667</v>
      </c>
      <c r="F64" s="98" t="s">
        <v>717</v>
      </c>
      <c r="G64" s="52" t="s">
        <v>61</v>
      </c>
      <c r="H64" s="16" t="s">
        <v>730</v>
      </c>
      <c r="I64" s="16" t="s">
        <v>722</v>
      </c>
      <c r="J64" s="98" t="s">
        <v>61</v>
      </c>
      <c r="K64" s="52" t="s">
        <v>61</v>
      </c>
      <c r="L64" s="98" t="s">
        <v>949</v>
      </c>
      <c r="M64" s="52" t="s">
        <v>61</v>
      </c>
      <c r="N64" s="16" t="s">
        <v>735</v>
      </c>
      <c r="O64" s="98" t="s">
        <v>61</v>
      </c>
      <c r="P64" s="98" t="s">
        <v>736</v>
      </c>
      <c r="Q64" s="18"/>
      <c r="R64" s="106" t="s">
        <v>95</v>
      </c>
      <c r="S64" s="16" t="s">
        <v>66</v>
      </c>
      <c r="T64" s="16"/>
      <c r="U64" s="16"/>
      <c r="V64" s="16">
        <v>114</v>
      </c>
      <c r="W64" s="15">
        <f>ROUND(IF(D64=Table!$C$3,Y64*Table!$C$4/8,Y64*Table!$D$4/8),3)</f>
        <v>112.5</v>
      </c>
      <c r="X64" s="15">
        <f t="shared" si="14"/>
        <v>112.5</v>
      </c>
      <c r="Y64" s="16">
        <v>2</v>
      </c>
      <c r="Z64" s="16">
        <v>2</v>
      </c>
      <c r="AA64" s="15" t="s">
        <v>74</v>
      </c>
      <c r="AB64" s="99">
        <v>43979</v>
      </c>
      <c r="AC64" s="19">
        <v>43976</v>
      </c>
      <c r="AD64" s="99">
        <v>43980</v>
      </c>
      <c r="AE64" s="99">
        <v>43978</v>
      </c>
      <c r="AF64" s="99">
        <v>43978</v>
      </c>
      <c r="AG64" s="99" t="s">
        <v>176</v>
      </c>
      <c r="AH64" s="100">
        <v>0.96</v>
      </c>
      <c r="AI64" s="100">
        <v>0.95</v>
      </c>
      <c r="AJ64" s="100">
        <v>1</v>
      </c>
      <c r="AK64" s="157" t="s">
        <v>150</v>
      </c>
      <c r="AL64" s="134" t="s">
        <v>664</v>
      </c>
      <c r="AM64" s="15"/>
      <c r="AN64" s="15"/>
    </row>
    <row r="65" spans="2:40" x14ac:dyDescent="0.25">
      <c r="B65" s="158">
        <f t="shared" si="15"/>
        <v>6</v>
      </c>
      <c r="C65" s="16">
        <v>20200525</v>
      </c>
      <c r="D65" s="16" t="s">
        <v>3</v>
      </c>
      <c r="E65" s="141" t="s">
        <v>667</v>
      </c>
      <c r="F65" s="98" t="s">
        <v>717</v>
      </c>
      <c r="G65" s="52" t="s">
        <v>61</v>
      </c>
      <c r="H65" s="16" t="s">
        <v>731</v>
      </c>
      <c r="I65" s="16" t="s">
        <v>723</v>
      </c>
      <c r="J65" s="98" t="s">
        <v>61</v>
      </c>
      <c r="K65" s="52" t="s">
        <v>61</v>
      </c>
      <c r="L65" s="98" t="s">
        <v>949</v>
      </c>
      <c r="M65" s="52" t="s">
        <v>61</v>
      </c>
      <c r="N65" s="16" t="s">
        <v>735</v>
      </c>
      <c r="O65" s="98" t="s">
        <v>61</v>
      </c>
      <c r="P65" s="98" t="s">
        <v>736</v>
      </c>
      <c r="Q65" s="18"/>
      <c r="R65" s="106" t="s">
        <v>95</v>
      </c>
      <c r="S65" s="16" t="s">
        <v>66</v>
      </c>
      <c r="T65" s="16"/>
      <c r="U65" s="16"/>
      <c r="V65" s="16">
        <v>111</v>
      </c>
      <c r="W65" s="15">
        <f>ROUND(IF(D65=Table!$C$3,Y65*Table!$C$4/8,Y65*Table!$D$4/8),3)</f>
        <v>112.5</v>
      </c>
      <c r="X65" s="15">
        <f t="shared" si="14"/>
        <v>112.5</v>
      </c>
      <c r="Y65" s="16">
        <v>2</v>
      </c>
      <c r="Z65" s="16">
        <v>2</v>
      </c>
      <c r="AA65" s="15" t="s">
        <v>74</v>
      </c>
      <c r="AB65" s="99">
        <v>43979</v>
      </c>
      <c r="AC65" s="19">
        <v>43976</v>
      </c>
      <c r="AD65" s="99">
        <v>43980</v>
      </c>
      <c r="AE65" s="99">
        <v>43978</v>
      </c>
      <c r="AF65" s="99">
        <v>43978</v>
      </c>
      <c r="AG65" s="99" t="s">
        <v>176</v>
      </c>
      <c r="AH65" s="100">
        <v>1</v>
      </c>
      <c r="AI65" s="100">
        <v>1</v>
      </c>
      <c r="AJ65" s="100">
        <v>1</v>
      </c>
      <c r="AK65" s="157" t="s">
        <v>150</v>
      </c>
      <c r="AL65" s="134"/>
      <c r="AM65" s="15"/>
      <c r="AN65" s="15"/>
    </row>
    <row r="66" spans="2:40" x14ac:dyDescent="0.25">
      <c r="B66" s="158">
        <f t="shared" si="15"/>
        <v>7</v>
      </c>
      <c r="C66" s="16">
        <v>20200525</v>
      </c>
      <c r="D66" s="16" t="s">
        <v>3</v>
      </c>
      <c r="E66" s="141" t="s">
        <v>667</v>
      </c>
      <c r="F66" s="98" t="s">
        <v>718</v>
      </c>
      <c r="G66" s="52" t="s">
        <v>61</v>
      </c>
      <c r="H66" s="16" t="s">
        <v>732</v>
      </c>
      <c r="I66" s="16" t="s">
        <v>724</v>
      </c>
      <c r="J66" s="98" t="s">
        <v>61</v>
      </c>
      <c r="K66" s="52" t="s">
        <v>61</v>
      </c>
      <c r="L66" s="98" t="s">
        <v>949</v>
      </c>
      <c r="M66" s="52" t="s">
        <v>61</v>
      </c>
      <c r="N66" s="16" t="s">
        <v>735</v>
      </c>
      <c r="O66" s="98" t="s">
        <v>61</v>
      </c>
      <c r="P66" s="98" t="s">
        <v>736</v>
      </c>
      <c r="Q66" s="18"/>
      <c r="R66" s="106" t="s">
        <v>95</v>
      </c>
      <c r="S66" s="16" t="s">
        <v>66</v>
      </c>
      <c r="T66" s="16"/>
      <c r="U66" s="16"/>
      <c r="V66" s="16">
        <v>164</v>
      </c>
      <c r="W66" s="15">
        <f>ROUND(IF(D66=Table!$C$3,Y66*Table!$C$4/8,Y66*Table!$D$4/8),3)</f>
        <v>135</v>
      </c>
      <c r="X66" s="15">
        <f t="shared" si="14"/>
        <v>135</v>
      </c>
      <c r="Y66" s="16">
        <v>2.4</v>
      </c>
      <c r="Z66" s="16">
        <v>2</v>
      </c>
      <c r="AA66" s="15" t="s">
        <v>74</v>
      </c>
      <c r="AB66" s="99">
        <v>43979</v>
      </c>
      <c r="AC66" s="19">
        <v>43976</v>
      </c>
      <c r="AD66" s="99">
        <v>43980</v>
      </c>
      <c r="AE66" s="99">
        <v>43978</v>
      </c>
      <c r="AF66" s="99">
        <v>43978</v>
      </c>
      <c r="AG66" s="99" t="s">
        <v>176</v>
      </c>
      <c r="AH66" s="100">
        <v>1</v>
      </c>
      <c r="AI66" s="100">
        <v>0.42</v>
      </c>
      <c r="AJ66" s="100">
        <v>0.66</v>
      </c>
      <c r="AK66" s="157" t="s">
        <v>150</v>
      </c>
      <c r="AL66" s="134" t="s">
        <v>665</v>
      </c>
      <c r="AM66" s="15"/>
      <c r="AN66" s="15"/>
    </row>
    <row r="67" spans="2:40" x14ac:dyDescent="0.25">
      <c r="B67" s="158">
        <f t="shared" si="15"/>
        <v>8</v>
      </c>
      <c r="C67" s="16">
        <v>20200525</v>
      </c>
      <c r="D67" s="16" t="s">
        <v>3</v>
      </c>
      <c r="E67" s="141" t="s">
        <v>667</v>
      </c>
      <c r="F67" s="98" t="s">
        <v>718</v>
      </c>
      <c r="G67" s="52" t="s">
        <v>61</v>
      </c>
      <c r="H67" s="16" t="s">
        <v>733</v>
      </c>
      <c r="I67" s="16" t="s">
        <v>725</v>
      </c>
      <c r="J67" s="98" t="s">
        <v>61</v>
      </c>
      <c r="K67" s="52" t="s">
        <v>61</v>
      </c>
      <c r="L67" s="98" t="s">
        <v>949</v>
      </c>
      <c r="M67" s="52" t="s">
        <v>61</v>
      </c>
      <c r="N67" s="16" t="s">
        <v>735</v>
      </c>
      <c r="O67" s="98" t="s">
        <v>61</v>
      </c>
      <c r="P67" s="98" t="s">
        <v>736</v>
      </c>
      <c r="Q67" s="18"/>
      <c r="R67" s="106" t="s">
        <v>95</v>
      </c>
      <c r="S67" s="16" t="s">
        <v>66</v>
      </c>
      <c r="T67" s="16"/>
      <c r="U67" s="16"/>
      <c r="V67" s="16">
        <v>143</v>
      </c>
      <c r="W67" s="15">
        <f>ROUND(IF(D67=Table!$C$3,Y67*Table!$C$4/8,Y67*Table!$D$4/8),3)</f>
        <v>135</v>
      </c>
      <c r="X67" s="15">
        <f t="shared" si="14"/>
        <v>135</v>
      </c>
      <c r="Y67" s="16">
        <v>2.4</v>
      </c>
      <c r="Z67" s="16">
        <v>2</v>
      </c>
      <c r="AA67" s="15" t="s">
        <v>74</v>
      </c>
      <c r="AB67" s="99">
        <v>43979</v>
      </c>
      <c r="AC67" s="19">
        <v>43976</v>
      </c>
      <c r="AD67" s="99">
        <v>43980</v>
      </c>
      <c r="AE67" s="99">
        <v>43978</v>
      </c>
      <c r="AF67" s="99">
        <v>43978</v>
      </c>
      <c r="AG67" s="99" t="s">
        <v>176</v>
      </c>
      <c r="AH67" s="100">
        <v>1</v>
      </c>
      <c r="AI67" s="100">
        <v>1</v>
      </c>
      <c r="AJ67" s="100">
        <v>1</v>
      </c>
      <c r="AK67" s="157" t="s">
        <v>150</v>
      </c>
      <c r="AL67" s="134"/>
      <c r="AM67" s="15"/>
      <c r="AN67" s="15"/>
    </row>
    <row r="68" spans="2:40" x14ac:dyDescent="0.25">
      <c r="B68" s="158">
        <f t="shared" si="15"/>
        <v>9</v>
      </c>
      <c r="C68" s="16">
        <v>20200525</v>
      </c>
      <c r="D68" s="16" t="s">
        <v>3</v>
      </c>
      <c r="E68" s="141" t="s">
        <v>667</v>
      </c>
      <c r="F68" s="98" t="s">
        <v>718</v>
      </c>
      <c r="G68" s="52" t="s">
        <v>61</v>
      </c>
      <c r="H68" s="16" t="s">
        <v>734</v>
      </c>
      <c r="I68" s="16" t="s">
        <v>726</v>
      </c>
      <c r="J68" s="98" t="s">
        <v>61</v>
      </c>
      <c r="K68" s="52" t="s">
        <v>61</v>
      </c>
      <c r="L68" s="98" t="s">
        <v>949</v>
      </c>
      <c r="M68" s="52" t="s">
        <v>61</v>
      </c>
      <c r="N68" s="16" t="s">
        <v>735</v>
      </c>
      <c r="O68" s="98" t="s">
        <v>61</v>
      </c>
      <c r="P68" s="98" t="s">
        <v>736</v>
      </c>
      <c r="Q68" s="18"/>
      <c r="R68" s="106" t="s">
        <v>95</v>
      </c>
      <c r="S68" s="16" t="s">
        <v>66</v>
      </c>
      <c r="T68" s="16"/>
      <c r="U68" s="16"/>
      <c r="V68" s="16">
        <v>115</v>
      </c>
      <c r="W68" s="15">
        <f>ROUND(IF(D68=Table!$C$3,Y68*Table!$C$4/8,Y68*Table!$D$4/8),3)</f>
        <v>112.5</v>
      </c>
      <c r="X68" s="15">
        <f t="shared" si="14"/>
        <v>112.5</v>
      </c>
      <c r="Y68" s="16">
        <v>2</v>
      </c>
      <c r="Z68" s="16">
        <v>2</v>
      </c>
      <c r="AA68" s="15" t="s">
        <v>74</v>
      </c>
      <c r="AB68" s="99">
        <v>43979</v>
      </c>
      <c r="AC68" s="19">
        <v>43976</v>
      </c>
      <c r="AD68" s="99">
        <v>43980</v>
      </c>
      <c r="AE68" s="99">
        <v>43978</v>
      </c>
      <c r="AF68" s="99">
        <v>43978</v>
      </c>
      <c r="AG68" s="99" t="s">
        <v>176</v>
      </c>
      <c r="AH68" s="100">
        <v>0.97</v>
      </c>
      <c r="AI68" s="100">
        <v>0.88</v>
      </c>
      <c r="AJ68" s="100">
        <v>0.47</v>
      </c>
      <c r="AK68" s="157" t="s">
        <v>150</v>
      </c>
      <c r="AL68" s="134" t="s">
        <v>666</v>
      </c>
      <c r="AM68" s="15"/>
      <c r="AN68" s="15"/>
    </row>
    <row r="69" spans="2:40" x14ac:dyDescent="0.25">
      <c r="B69" s="162">
        <f t="shared" si="15"/>
        <v>10</v>
      </c>
      <c r="C69" s="16">
        <v>20200528</v>
      </c>
      <c r="D69" s="16" t="s">
        <v>3</v>
      </c>
      <c r="E69" s="141" t="s">
        <v>667</v>
      </c>
      <c r="F69" s="98" t="s">
        <v>791</v>
      </c>
      <c r="G69" s="52" t="s">
        <v>61</v>
      </c>
      <c r="H69" s="16" t="s">
        <v>793</v>
      </c>
      <c r="I69" s="16" t="s">
        <v>745</v>
      </c>
      <c r="J69" s="16" t="s">
        <v>834</v>
      </c>
      <c r="K69" s="52" t="s">
        <v>61</v>
      </c>
      <c r="L69" s="98" t="s">
        <v>949</v>
      </c>
      <c r="M69" s="52" t="s">
        <v>61</v>
      </c>
      <c r="N69" s="16" t="s">
        <v>735</v>
      </c>
      <c r="O69" s="98" t="s">
        <v>61</v>
      </c>
      <c r="P69" s="98" t="s">
        <v>736</v>
      </c>
      <c r="Q69" s="18"/>
      <c r="R69" s="16" t="s">
        <v>96</v>
      </c>
      <c r="S69" s="16" t="s">
        <v>6</v>
      </c>
      <c r="T69" s="16"/>
      <c r="U69" s="16"/>
      <c r="V69" s="16">
        <v>76</v>
      </c>
      <c r="W69" s="15">
        <f>ROUND(IF(D69=Table!$C$3,Y69*Table!$C$4/8,Y69*Table!$D$4/8),3)</f>
        <v>90</v>
      </c>
      <c r="X69" s="16">
        <f t="shared" ref="X69:X84" si="16">W69</f>
        <v>90</v>
      </c>
      <c r="Y69" s="16">
        <v>1.6</v>
      </c>
      <c r="Z69" s="16">
        <f t="shared" ref="Z69:Z84" si="17">Y69</f>
        <v>1.6</v>
      </c>
      <c r="AA69" s="16" t="s">
        <v>74</v>
      </c>
      <c r="AB69" s="99">
        <v>43987</v>
      </c>
      <c r="AC69" s="99">
        <v>43979</v>
      </c>
      <c r="AD69" s="99">
        <v>43987</v>
      </c>
      <c r="AE69" s="99">
        <v>43979</v>
      </c>
      <c r="AF69" s="99">
        <v>43979</v>
      </c>
      <c r="AG69" s="99" t="s">
        <v>176</v>
      </c>
      <c r="AH69" s="100">
        <v>1</v>
      </c>
      <c r="AI69" s="100">
        <v>0.96</v>
      </c>
      <c r="AJ69" s="100">
        <v>0.8</v>
      </c>
      <c r="AK69" s="157" t="s">
        <v>150</v>
      </c>
      <c r="AL69" s="134" t="s">
        <v>945</v>
      </c>
      <c r="AM69" s="15"/>
      <c r="AN69" s="15" t="s">
        <v>838</v>
      </c>
    </row>
    <row r="70" spans="2:40" x14ac:dyDescent="0.25">
      <c r="B70" s="162">
        <f t="shared" si="15"/>
        <v>11</v>
      </c>
      <c r="C70" s="16">
        <v>20200528</v>
      </c>
      <c r="D70" s="16" t="s">
        <v>3</v>
      </c>
      <c r="E70" s="141" t="s">
        <v>667</v>
      </c>
      <c r="F70" s="98" t="s">
        <v>791</v>
      </c>
      <c r="G70" s="52" t="s">
        <v>61</v>
      </c>
      <c r="H70" s="16" t="s">
        <v>794</v>
      </c>
      <c r="I70" s="16" t="s">
        <v>746</v>
      </c>
      <c r="J70" s="16" t="s">
        <v>834</v>
      </c>
      <c r="K70" s="52" t="s">
        <v>61</v>
      </c>
      <c r="L70" s="98" t="s">
        <v>949</v>
      </c>
      <c r="M70" s="52" t="s">
        <v>61</v>
      </c>
      <c r="N70" s="16" t="s">
        <v>735</v>
      </c>
      <c r="O70" s="98" t="s">
        <v>61</v>
      </c>
      <c r="P70" s="98" t="s">
        <v>736</v>
      </c>
      <c r="Q70" s="18"/>
      <c r="R70" s="16" t="s">
        <v>96</v>
      </c>
      <c r="S70" s="16" t="s">
        <v>6</v>
      </c>
      <c r="T70" s="16"/>
      <c r="U70" s="16"/>
      <c r="V70" s="16">
        <v>308</v>
      </c>
      <c r="W70" s="15">
        <f>ROUND(IF(D70=Table!$C$3,Y70*Table!$C$4/8,Y70*Table!$D$4/8),3)</f>
        <v>126</v>
      </c>
      <c r="X70" s="16">
        <f t="shared" si="16"/>
        <v>126</v>
      </c>
      <c r="Y70" s="16">
        <v>2.2400000000000002</v>
      </c>
      <c r="Z70" s="16">
        <f t="shared" si="17"/>
        <v>2.2400000000000002</v>
      </c>
      <c r="AA70" s="16" t="s">
        <v>74</v>
      </c>
      <c r="AB70" s="99">
        <v>43987</v>
      </c>
      <c r="AC70" s="99">
        <v>43979</v>
      </c>
      <c r="AD70" s="99">
        <v>43987</v>
      </c>
      <c r="AE70" s="99">
        <v>43979</v>
      </c>
      <c r="AF70" s="99">
        <v>43979</v>
      </c>
      <c r="AG70" s="99" t="s">
        <v>176</v>
      </c>
      <c r="AH70" s="100">
        <v>0.97</v>
      </c>
      <c r="AI70" s="100">
        <v>0.95</v>
      </c>
      <c r="AJ70" s="100">
        <v>0.83</v>
      </c>
      <c r="AK70" s="157" t="s">
        <v>150</v>
      </c>
      <c r="AL70" s="134" t="s">
        <v>946</v>
      </c>
      <c r="AM70" s="15"/>
      <c r="AN70" s="15" t="s">
        <v>838</v>
      </c>
    </row>
    <row r="71" spans="2:40" x14ac:dyDescent="0.25">
      <c r="B71" s="162">
        <f t="shared" si="15"/>
        <v>12</v>
      </c>
      <c r="C71" s="16">
        <v>20200528</v>
      </c>
      <c r="D71" s="16" t="s">
        <v>3</v>
      </c>
      <c r="E71" s="141" t="s">
        <v>667</v>
      </c>
      <c r="F71" s="98" t="s">
        <v>792</v>
      </c>
      <c r="G71" s="52" t="s">
        <v>61</v>
      </c>
      <c r="H71" s="16" t="s">
        <v>795</v>
      </c>
      <c r="I71" s="16" t="s">
        <v>747</v>
      </c>
      <c r="J71" s="16" t="s">
        <v>834</v>
      </c>
      <c r="K71" s="52" t="s">
        <v>61</v>
      </c>
      <c r="L71" s="98" t="s">
        <v>949</v>
      </c>
      <c r="M71" s="52" t="s">
        <v>61</v>
      </c>
      <c r="N71" s="16" t="s">
        <v>735</v>
      </c>
      <c r="O71" s="98" t="s">
        <v>61</v>
      </c>
      <c r="P71" s="98" t="s">
        <v>736</v>
      </c>
      <c r="Q71" s="18"/>
      <c r="R71" s="16" t="s">
        <v>96</v>
      </c>
      <c r="S71" s="16" t="s">
        <v>6</v>
      </c>
      <c r="T71" s="16"/>
      <c r="U71" s="16"/>
      <c r="V71" s="16">
        <v>363</v>
      </c>
      <c r="W71" s="15">
        <f>ROUND(IF(D71=Table!$C$3,Y71*Table!$C$4/8,Y71*Table!$D$4/8),3)</f>
        <v>270</v>
      </c>
      <c r="X71" s="16">
        <f t="shared" si="16"/>
        <v>270</v>
      </c>
      <c r="Y71" s="16">
        <v>4.8</v>
      </c>
      <c r="Z71" s="16">
        <f t="shared" si="17"/>
        <v>4.8</v>
      </c>
      <c r="AA71" s="16" t="s">
        <v>74</v>
      </c>
      <c r="AB71" s="99">
        <v>43987</v>
      </c>
      <c r="AC71" s="99">
        <v>43979</v>
      </c>
      <c r="AD71" s="99">
        <v>43987</v>
      </c>
      <c r="AE71" s="99">
        <v>43980</v>
      </c>
      <c r="AF71" s="99">
        <v>43980</v>
      </c>
      <c r="AG71" s="99" t="s">
        <v>176</v>
      </c>
      <c r="AH71" s="100">
        <v>0.87</v>
      </c>
      <c r="AI71" s="100">
        <v>0.84</v>
      </c>
      <c r="AJ71" s="100">
        <v>1</v>
      </c>
      <c r="AK71" s="157" t="s">
        <v>150</v>
      </c>
      <c r="AL71" s="134" t="s">
        <v>947</v>
      </c>
      <c r="AM71" s="15"/>
      <c r="AN71" s="15" t="s">
        <v>838</v>
      </c>
    </row>
    <row r="72" spans="2:40" x14ac:dyDescent="0.25">
      <c r="B72" s="162">
        <f t="shared" si="15"/>
        <v>13</v>
      </c>
      <c r="C72" s="16">
        <v>20200528</v>
      </c>
      <c r="D72" s="16" t="s">
        <v>3</v>
      </c>
      <c r="E72" s="141" t="s">
        <v>667</v>
      </c>
      <c r="F72" s="98" t="s">
        <v>717</v>
      </c>
      <c r="G72" s="52" t="s">
        <v>61</v>
      </c>
      <c r="H72" s="16" t="s">
        <v>796</v>
      </c>
      <c r="I72" s="16" t="s">
        <v>748</v>
      </c>
      <c r="J72" s="16" t="s">
        <v>834</v>
      </c>
      <c r="K72" s="52" t="s">
        <v>61</v>
      </c>
      <c r="L72" s="98" t="s">
        <v>949</v>
      </c>
      <c r="M72" s="52" t="s">
        <v>61</v>
      </c>
      <c r="N72" s="16" t="s">
        <v>735</v>
      </c>
      <c r="O72" s="98" t="s">
        <v>61</v>
      </c>
      <c r="P72" s="98" t="s">
        <v>736</v>
      </c>
      <c r="Q72" s="18"/>
      <c r="R72" s="16" t="s">
        <v>96</v>
      </c>
      <c r="S72" s="16" t="s">
        <v>6</v>
      </c>
      <c r="T72" s="16"/>
      <c r="U72" s="16"/>
      <c r="V72" s="16">
        <v>170</v>
      </c>
      <c r="W72" s="15">
        <f>ROUND(IF(D72=Table!$C$3,Y72*Table!$C$4/8,Y72*Table!$D$4/8),3)</f>
        <v>166.5</v>
      </c>
      <c r="X72" s="16">
        <f t="shared" si="16"/>
        <v>166.5</v>
      </c>
      <c r="Y72" s="16">
        <v>2.96</v>
      </c>
      <c r="Z72" s="16">
        <f t="shared" si="17"/>
        <v>2.96</v>
      </c>
      <c r="AA72" s="16" t="s">
        <v>74</v>
      </c>
      <c r="AB72" s="99">
        <v>43987</v>
      </c>
      <c r="AC72" s="99">
        <v>43979</v>
      </c>
      <c r="AD72" s="99">
        <v>43987</v>
      </c>
      <c r="AE72" s="99">
        <v>43980</v>
      </c>
      <c r="AF72" s="99">
        <v>43980</v>
      </c>
      <c r="AG72" s="99" t="s">
        <v>176</v>
      </c>
      <c r="AH72" s="100">
        <v>1</v>
      </c>
      <c r="AI72" s="100">
        <v>1</v>
      </c>
      <c r="AJ72" s="100">
        <v>1</v>
      </c>
      <c r="AK72" s="157" t="s">
        <v>150</v>
      </c>
      <c r="AL72" s="134"/>
      <c r="AM72" s="15"/>
      <c r="AN72" s="15" t="s">
        <v>838</v>
      </c>
    </row>
    <row r="73" spans="2:40" x14ac:dyDescent="0.25">
      <c r="B73" s="162">
        <f t="shared" si="15"/>
        <v>14</v>
      </c>
      <c r="C73" s="16">
        <v>20200528</v>
      </c>
      <c r="D73" s="16" t="s">
        <v>3</v>
      </c>
      <c r="E73" s="141" t="s">
        <v>667</v>
      </c>
      <c r="F73" s="98" t="s">
        <v>717</v>
      </c>
      <c r="G73" s="52" t="s">
        <v>61</v>
      </c>
      <c r="H73" s="16" t="s">
        <v>797</v>
      </c>
      <c r="I73" s="16" t="s">
        <v>749</v>
      </c>
      <c r="J73" s="16" t="s">
        <v>835</v>
      </c>
      <c r="K73" s="52" t="s">
        <v>61</v>
      </c>
      <c r="L73" s="98" t="s">
        <v>949</v>
      </c>
      <c r="M73" s="52" t="s">
        <v>61</v>
      </c>
      <c r="N73" s="16" t="s">
        <v>735</v>
      </c>
      <c r="O73" s="98" t="s">
        <v>61</v>
      </c>
      <c r="P73" s="98" t="s">
        <v>736</v>
      </c>
      <c r="Q73" s="18"/>
      <c r="R73" s="16" t="s">
        <v>96</v>
      </c>
      <c r="S73" s="16" t="s">
        <v>6</v>
      </c>
      <c r="T73" s="16"/>
      <c r="U73" s="16"/>
      <c r="V73" s="16">
        <v>434</v>
      </c>
      <c r="W73" s="15">
        <f>ROUND(IF(D73=Table!$C$3,Y73*Table!$C$4/8,Y73*Table!$D$4/8),3)</f>
        <v>414</v>
      </c>
      <c r="X73" s="16">
        <f t="shared" si="16"/>
        <v>414</v>
      </c>
      <c r="Y73" s="16">
        <v>7.36</v>
      </c>
      <c r="Z73" s="16">
        <f t="shared" si="17"/>
        <v>7.36</v>
      </c>
      <c r="AA73" s="16" t="s">
        <v>74</v>
      </c>
      <c r="AB73" s="99">
        <v>43987</v>
      </c>
      <c r="AC73" s="99">
        <v>43979</v>
      </c>
      <c r="AD73" s="99">
        <v>43987</v>
      </c>
      <c r="AE73" s="99">
        <v>43980</v>
      </c>
      <c r="AF73" s="99">
        <v>43980</v>
      </c>
      <c r="AG73" s="99" t="s">
        <v>176</v>
      </c>
      <c r="AH73" s="100">
        <v>0.99</v>
      </c>
      <c r="AI73" s="100">
        <v>0.98</v>
      </c>
      <c r="AJ73" s="100">
        <v>0.97</v>
      </c>
      <c r="AK73" s="157" t="s">
        <v>150</v>
      </c>
      <c r="AL73" s="134" t="s">
        <v>948</v>
      </c>
      <c r="AM73" s="15"/>
      <c r="AN73" s="15" t="s">
        <v>838</v>
      </c>
    </row>
    <row r="74" spans="2:40" x14ac:dyDescent="0.25">
      <c r="B74" s="162">
        <f t="shared" si="15"/>
        <v>15</v>
      </c>
      <c r="C74" s="16">
        <v>20200528</v>
      </c>
      <c r="D74" s="16" t="s">
        <v>3</v>
      </c>
      <c r="E74" s="141" t="s">
        <v>667</v>
      </c>
      <c r="F74" s="98" t="s">
        <v>717</v>
      </c>
      <c r="G74" s="52" t="s">
        <v>61</v>
      </c>
      <c r="H74" s="16" t="s">
        <v>798</v>
      </c>
      <c r="I74" s="16" t="s">
        <v>750</v>
      </c>
      <c r="J74" s="16" t="s">
        <v>834</v>
      </c>
      <c r="K74" s="52" t="s">
        <v>61</v>
      </c>
      <c r="L74" s="98" t="s">
        <v>949</v>
      </c>
      <c r="M74" s="52" t="s">
        <v>61</v>
      </c>
      <c r="N74" s="16" t="s">
        <v>735</v>
      </c>
      <c r="O74" s="98" t="s">
        <v>61</v>
      </c>
      <c r="P74" s="98" t="s">
        <v>736</v>
      </c>
      <c r="Q74" s="18"/>
      <c r="R74" s="16" t="s">
        <v>96</v>
      </c>
      <c r="S74" s="16" t="s">
        <v>6</v>
      </c>
      <c r="T74" s="16"/>
      <c r="U74" s="16"/>
      <c r="V74" s="16">
        <v>95</v>
      </c>
      <c r="W74" s="15">
        <f>ROUND(IF(D74=Table!$C$3,Y74*Table!$C$4/8,Y74*Table!$D$4/8),3)</f>
        <v>90</v>
      </c>
      <c r="X74" s="16">
        <f t="shared" si="16"/>
        <v>90</v>
      </c>
      <c r="Y74" s="16">
        <v>1.6</v>
      </c>
      <c r="Z74" s="16">
        <f t="shared" si="17"/>
        <v>1.6</v>
      </c>
      <c r="AA74" s="16" t="s">
        <v>74</v>
      </c>
      <c r="AB74" s="99">
        <v>43987</v>
      </c>
      <c r="AC74" s="99">
        <v>43979</v>
      </c>
      <c r="AD74" s="99">
        <v>43987</v>
      </c>
      <c r="AE74" s="99">
        <v>43983</v>
      </c>
      <c r="AF74" s="99">
        <v>43983</v>
      </c>
      <c r="AG74" s="99" t="s">
        <v>176</v>
      </c>
      <c r="AH74" s="100">
        <v>1</v>
      </c>
      <c r="AI74" s="100">
        <v>1</v>
      </c>
      <c r="AJ74" s="100">
        <v>1</v>
      </c>
      <c r="AK74" s="157" t="s">
        <v>150</v>
      </c>
      <c r="AL74" s="134"/>
      <c r="AM74" s="15"/>
      <c r="AN74" s="15" t="s">
        <v>838</v>
      </c>
    </row>
    <row r="75" spans="2:40" x14ac:dyDescent="0.25">
      <c r="B75" s="162">
        <f t="shared" si="15"/>
        <v>16</v>
      </c>
      <c r="C75" s="16">
        <v>20200528</v>
      </c>
      <c r="D75" s="16" t="s">
        <v>3</v>
      </c>
      <c r="E75" s="141" t="s">
        <v>667</v>
      </c>
      <c r="F75" s="98" t="s">
        <v>717</v>
      </c>
      <c r="G75" s="52" t="s">
        <v>61</v>
      </c>
      <c r="H75" s="16" t="s">
        <v>799</v>
      </c>
      <c r="I75" s="16" t="s">
        <v>751</v>
      </c>
      <c r="J75" s="16" t="s">
        <v>835</v>
      </c>
      <c r="K75" s="52" t="s">
        <v>61</v>
      </c>
      <c r="L75" s="98" t="s">
        <v>949</v>
      </c>
      <c r="M75" s="52" t="s">
        <v>61</v>
      </c>
      <c r="N75" s="16" t="s">
        <v>735</v>
      </c>
      <c r="O75" s="98" t="s">
        <v>61</v>
      </c>
      <c r="P75" s="98" t="s">
        <v>736</v>
      </c>
      <c r="Q75" s="18"/>
      <c r="R75" s="16" t="s">
        <v>96</v>
      </c>
      <c r="S75" s="16" t="s">
        <v>6</v>
      </c>
      <c r="T75" s="16"/>
      <c r="U75" s="16"/>
      <c r="V75" s="16">
        <v>271</v>
      </c>
      <c r="W75" s="15">
        <f>ROUND(IF(D75=Table!$C$3,Y75*Table!$C$4/8,Y75*Table!$D$4/8),3)</f>
        <v>90</v>
      </c>
      <c r="X75" s="16">
        <f t="shared" si="16"/>
        <v>90</v>
      </c>
      <c r="Y75" s="16">
        <v>1.6</v>
      </c>
      <c r="Z75" s="16">
        <f t="shared" si="17"/>
        <v>1.6</v>
      </c>
      <c r="AA75" s="16" t="s">
        <v>74</v>
      </c>
      <c r="AB75" s="99">
        <v>43987</v>
      </c>
      <c r="AC75" s="99">
        <v>43979</v>
      </c>
      <c r="AD75" s="99">
        <v>43987</v>
      </c>
      <c r="AE75" s="99">
        <v>43983</v>
      </c>
      <c r="AF75" s="99">
        <v>43983</v>
      </c>
      <c r="AG75" s="99" t="s">
        <v>176</v>
      </c>
      <c r="AH75" s="100">
        <v>1</v>
      </c>
      <c r="AI75" s="100">
        <v>1</v>
      </c>
      <c r="AJ75" s="100">
        <v>1</v>
      </c>
      <c r="AK75" s="157" t="s">
        <v>150</v>
      </c>
      <c r="AL75" s="134"/>
      <c r="AM75" s="15"/>
      <c r="AN75" s="15" t="s">
        <v>838</v>
      </c>
    </row>
    <row r="76" spans="2:40" x14ac:dyDescent="0.25">
      <c r="B76" s="162">
        <f t="shared" si="15"/>
        <v>17</v>
      </c>
      <c r="C76" s="16">
        <v>20200528</v>
      </c>
      <c r="D76" s="16" t="s">
        <v>3</v>
      </c>
      <c r="E76" s="141" t="s">
        <v>667</v>
      </c>
      <c r="F76" s="98" t="s">
        <v>717</v>
      </c>
      <c r="G76" s="52" t="s">
        <v>61</v>
      </c>
      <c r="H76" s="16" t="s">
        <v>800</v>
      </c>
      <c r="I76" s="16" t="s">
        <v>752</v>
      </c>
      <c r="J76" s="16" t="s">
        <v>836</v>
      </c>
      <c r="K76" s="52" t="s">
        <v>61</v>
      </c>
      <c r="L76" s="98" t="s">
        <v>949</v>
      </c>
      <c r="M76" s="52" t="s">
        <v>61</v>
      </c>
      <c r="N76" s="16" t="s">
        <v>735</v>
      </c>
      <c r="O76" s="98" t="s">
        <v>61</v>
      </c>
      <c r="P76" s="98" t="s">
        <v>736</v>
      </c>
      <c r="Q76" s="18"/>
      <c r="R76" s="16" t="s">
        <v>96</v>
      </c>
      <c r="S76" s="16" t="s">
        <v>6</v>
      </c>
      <c r="T76" s="16"/>
      <c r="U76" s="16"/>
      <c r="V76" s="16">
        <v>1194</v>
      </c>
      <c r="W76" s="15">
        <f>ROUND(IF(D76=Table!$C$3,Y76*Table!$C$4/8,Y76*Table!$D$4/8),3)</f>
        <v>270</v>
      </c>
      <c r="X76" s="16">
        <f t="shared" si="16"/>
        <v>270</v>
      </c>
      <c r="Y76" s="16">
        <v>4.8</v>
      </c>
      <c r="Z76" s="16">
        <f t="shared" si="17"/>
        <v>4.8</v>
      </c>
      <c r="AA76" s="16" t="s">
        <v>74</v>
      </c>
      <c r="AB76" s="99">
        <v>43987</v>
      </c>
      <c r="AC76" s="99">
        <v>43979</v>
      </c>
      <c r="AD76" s="99">
        <v>43987</v>
      </c>
      <c r="AE76" s="99">
        <v>43983</v>
      </c>
      <c r="AF76" s="99">
        <v>43983</v>
      </c>
      <c r="AG76" s="99" t="s">
        <v>176</v>
      </c>
      <c r="AH76" s="100">
        <v>1</v>
      </c>
      <c r="AI76" s="100">
        <v>1</v>
      </c>
      <c r="AJ76" s="100">
        <v>1</v>
      </c>
      <c r="AK76" s="157" t="s">
        <v>150</v>
      </c>
      <c r="AL76" s="134"/>
      <c r="AM76" s="15"/>
      <c r="AN76" s="15" t="s">
        <v>838</v>
      </c>
    </row>
    <row r="77" spans="2:40" x14ac:dyDescent="0.25">
      <c r="B77" s="162">
        <f t="shared" si="15"/>
        <v>18</v>
      </c>
      <c r="C77" s="16">
        <v>20200528</v>
      </c>
      <c r="D77" s="16" t="s">
        <v>3</v>
      </c>
      <c r="E77" s="141" t="s">
        <v>667</v>
      </c>
      <c r="F77" s="98" t="s">
        <v>717</v>
      </c>
      <c r="G77" s="52" t="s">
        <v>61</v>
      </c>
      <c r="H77" s="16" t="s">
        <v>801</v>
      </c>
      <c r="I77" s="16" t="s">
        <v>753</v>
      </c>
      <c r="J77" s="16" t="s">
        <v>834</v>
      </c>
      <c r="K77" s="52" t="s">
        <v>61</v>
      </c>
      <c r="L77" s="98" t="s">
        <v>949</v>
      </c>
      <c r="M77" s="52" t="s">
        <v>61</v>
      </c>
      <c r="N77" s="16" t="s">
        <v>735</v>
      </c>
      <c r="O77" s="98" t="s">
        <v>61</v>
      </c>
      <c r="P77" s="98" t="s">
        <v>736</v>
      </c>
      <c r="Q77" s="18"/>
      <c r="R77" s="16" t="s">
        <v>96</v>
      </c>
      <c r="S77" s="16" t="s">
        <v>6</v>
      </c>
      <c r="T77" s="16"/>
      <c r="U77" s="16"/>
      <c r="V77" s="16">
        <v>46</v>
      </c>
      <c r="W77" s="15">
        <f>ROUND(IF(D77=Table!$C$3,Y77*Table!$C$4/8,Y77*Table!$D$4/8),3)</f>
        <v>90</v>
      </c>
      <c r="X77" s="16">
        <f t="shared" si="16"/>
        <v>90</v>
      </c>
      <c r="Y77" s="16">
        <v>1.6</v>
      </c>
      <c r="Z77" s="16">
        <f t="shared" si="17"/>
        <v>1.6</v>
      </c>
      <c r="AA77" s="16" t="s">
        <v>74</v>
      </c>
      <c r="AB77" s="99">
        <v>43987</v>
      </c>
      <c r="AC77" s="99">
        <v>43979</v>
      </c>
      <c r="AD77" s="99">
        <v>43987</v>
      </c>
      <c r="AE77" s="99">
        <v>43983</v>
      </c>
      <c r="AF77" s="99">
        <v>43983</v>
      </c>
      <c r="AG77" s="99" t="s">
        <v>176</v>
      </c>
      <c r="AH77" s="100">
        <v>0.96</v>
      </c>
      <c r="AI77" s="100">
        <v>0.94</v>
      </c>
      <c r="AJ77" s="100">
        <v>1</v>
      </c>
      <c r="AK77" s="157" t="s">
        <v>150</v>
      </c>
      <c r="AL77" s="134" t="s">
        <v>1179</v>
      </c>
      <c r="AM77" s="15"/>
      <c r="AN77" s="15" t="s">
        <v>838</v>
      </c>
    </row>
    <row r="78" spans="2:40" x14ac:dyDescent="0.25">
      <c r="B78" s="162">
        <f t="shared" si="15"/>
        <v>19</v>
      </c>
      <c r="C78" s="16">
        <v>20200528</v>
      </c>
      <c r="D78" s="16" t="s">
        <v>3</v>
      </c>
      <c r="E78" s="141" t="s">
        <v>667</v>
      </c>
      <c r="F78" s="98" t="s">
        <v>717</v>
      </c>
      <c r="G78" s="52" t="s">
        <v>61</v>
      </c>
      <c r="H78" s="16" t="s">
        <v>802</v>
      </c>
      <c r="I78" s="16" t="s">
        <v>754</v>
      </c>
      <c r="J78" s="16" t="s">
        <v>834</v>
      </c>
      <c r="K78" s="52" t="s">
        <v>61</v>
      </c>
      <c r="L78" s="98" t="s">
        <v>949</v>
      </c>
      <c r="M78" s="52" t="s">
        <v>61</v>
      </c>
      <c r="N78" s="16" t="s">
        <v>735</v>
      </c>
      <c r="O78" s="98" t="s">
        <v>61</v>
      </c>
      <c r="P78" s="98" t="s">
        <v>736</v>
      </c>
      <c r="Q78" s="18"/>
      <c r="R78" s="16" t="s">
        <v>96</v>
      </c>
      <c r="S78" s="16" t="s">
        <v>6</v>
      </c>
      <c r="T78" s="16"/>
      <c r="U78" s="16"/>
      <c r="V78" s="16">
        <v>59</v>
      </c>
      <c r="W78" s="15">
        <f>ROUND(IF(D78=Table!$C$3,Y78*Table!$C$4/8,Y78*Table!$D$4/8),3)</f>
        <v>90</v>
      </c>
      <c r="X78" s="16">
        <f t="shared" si="16"/>
        <v>90</v>
      </c>
      <c r="Y78" s="16">
        <v>1.6</v>
      </c>
      <c r="Z78" s="16">
        <f t="shared" si="17"/>
        <v>1.6</v>
      </c>
      <c r="AA78" s="16" t="s">
        <v>74</v>
      </c>
      <c r="AB78" s="99">
        <v>43987</v>
      </c>
      <c r="AC78" s="99">
        <v>43979</v>
      </c>
      <c r="AD78" s="99">
        <v>43987</v>
      </c>
      <c r="AE78" s="99">
        <v>43983</v>
      </c>
      <c r="AF78" s="99">
        <v>43983</v>
      </c>
      <c r="AG78" s="99" t="s">
        <v>176</v>
      </c>
      <c r="AH78" s="100">
        <v>0.97</v>
      </c>
      <c r="AI78" s="100">
        <v>0.96</v>
      </c>
      <c r="AJ78" s="100">
        <v>1</v>
      </c>
      <c r="AK78" s="157" t="s">
        <v>150</v>
      </c>
      <c r="AL78" s="134" t="s">
        <v>1180</v>
      </c>
      <c r="AM78" s="15"/>
      <c r="AN78" s="15" t="s">
        <v>838</v>
      </c>
    </row>
    <row r="79" spans="2:40" x14ac:dyDescent="0.25">
      <c r="B79" s="162">
        <f t="shared" si="15"/>
        <v>20</v>
      </c>
      <c r="C79" s="16">
        <v>20200528</v>
      </c>
      <c r="D79" s="16" t="s">
        <v>3</v>
      </c>
      <c r="E79" s="141" t="s">
        <v>667</v>
      </c>
      <c r="F79" s="98" t="s">
        <v>717</v>
      </c>
      <c r="G79" s="52" t="s">
        <v>61</v>
      </c>
      <c r="H79" s="16" t="s">
        <v>803</v>
      </c>
      <c r="I79" s="16" t="s">
        <v>755</v>
      </c>
      <c r="J79" s="16" t="s">
        <v>834</v>
      </c>
      <c r="K79" s="52" t="s">
        <v>61</v>
      </c>
      <c r="L79" s="98" t="s">
        <v>949</v>
      </c>
      <c r="M79" s="52" t="s">
        <v>61</v>
      </c>
      <c r="N79" s="16" t="s">
        <v>735</v>
      </c>
      <c r="O79" s="98" t="s">
        <v>61</v>
      </c>
      <c r="P79" s="98" t="s">
        <v>736</v>
      </c>
      <c r="Q79" s="18"/>
      <c r="R79" s="16" t="s">
        <v>96</v>
      </c>
      <c r="S79" s="16" t="s">
        <v>6</v>
      </c>
      <c r="T79" s="16"/>
      <c r="U79" s="16"/>
      <c r="V79" s="16">
        <v>103</v>
      </c>
      <c r="W79" s="15">
        <f>ROUND(IF(D79=Table!$C$3,Y79*Table!$C$4/8,Y79*Table!$D$4/8),3)</f>
        <v>90</v>
      </c>
      <c r="X79" s="16">
        <f t="shared" si="16"/>
        <v>90</v>
      </c>
      <c r="Y79" s="16">
        <v>1.6</v>
      </c>
      <c r="Z79" s="16">
        <f t="shared" si="17"/>
        <v>1.6</v>
      </c>
      <c r="AA79" s="16" t="s">
        <v>74</v>
      </c>
      <c r="AB79" s="99">
        <v>43987</v>
      </c>
      <c r="AC79" s="99">
        <v>43979</v>
      </c>
      <c r="AD79" s="99">
        <v>43987</v>
      </c>
      <c r="AE79" s="99">
        <v>43983</v>
      </c>
      <c r="AF79" s="99">
        <v>43983</v>
      </c>
      <c r="AG79" s="99" t="s">
        <v>176</v>
      </c>
      <c r="AH79" s="100">
        <v>0.95</v>
      </c>
      <c r="AI79" s="100">
        <v>0.95</v>
      </c>
      <c r="AJ79" s="100">
        <v>1</v>
      </c>
      <c r="AK79" s="157" t="s">
        <v>150</v>
      </c>
      <c r="AL79" s="134" t="s">
        <v>1181</v>
      </c>
      <c r="AM79" s="15"/>
      <c r="AN79" s="15" t="s">
        <v>838</v>
      </c>
    </row>
    <row r="80" spans="2:40" x14ac:dyDescent="0.25">
      <c r="B80" s="162">
        <f t="shared" si="15"/>
        <v>21</v>
      </c>
      <c r="C80" s="16">
        <v>20200528</v>
      </c>
      <c r="D80" s="16" t="s">
        <v>3</v>
      </c>
      <c r="E80" s="141" t="s">
        <v>667</v>
      </c>
      <c r="F80" s="98" t="s">
        <v>717</v>
      </c>
      <c r="G80" s="52" t="s">
        <v>61</v>
      </c>
      <c r="H80" s="16" t="s">
        <v>804</v>
      </c>
      <c r="I80" s="16" t="s">
        <v>756</v>
      </c>
      <c r="J80" s="16" t="s">
        <v>834</v>
      </c>
      <c r="K80" s="52" t="s">
        <v>61</v>
      </c>
      <c r="L80" s="98" t="s">
        <v>949</v>
      </c>
      <c r="M80" s="52" t="s">
        <v>61</v>
      </c>
      <c r="N80" s="16" t="s">
        <v>735</v>
      </c>
      <c r="O80" s="98" t="s">
        <v>61</v>
      </c>
      <c r="P80" s="98" t="s">
        <v>736</v>
      </c>
      <c r="Q80" s="18"/>
      <c r="R80" s="16" t="s">
        <v>96</v>
      </c>
      <c r="S80" s="16" t="s">
        <v>6</v>
      </c>
      <c r="T80" s="16"/>
      <c r="U80" s="16"/>
      <c r="V80" s="16">
        <v>71</v>
      </c>
      <c r="W80" s="15">
        <f>ROUND(IF(D80=Table!$C$3,Y80*Table!$C$4/8,Y80*Table!$D$4/8),3)</f>
        <v>67.5</v>
      </c>
      <c r="X80" s="16">
        <f t="shared" si="16"/>
        <v>67.5</v>
      </c>
      <c r="Y80" s="16">
        <v>1.2</v>
      </c>
      <c r="Z80" s="16">
        <f t="shared" si="17"/>
        <v>1.2</v>
      </c>
      <c r="AA80" s="16" t="s">
        <v>74</v>
      </c>
      <c r="AB80" s="99">
        <v>43987</v>
      </c>
      <c r="AC80" s="99">
        <v>43979</v>
      </c>
      <c r="AD80" s="99">
        <v>43987</v>
      </c>
      <c r="AE80" s="99">
        <v>43983</v>
      </c>
      <c r="AF80" s="99">
        <v>43983</v>
      </c>
      <c r="AG80" s="99" t="s">
        <v>176</v>
      </c>
      <c r="AH80" s="100">
        <v>0.98</v>
      </c>
      <c r="AI80" s="100">
        <v>0.98</v>
      </c>
      <c r="AJ80" s="100">
        <v>0.5</v>
      </c>
      <c r="AK80" s="157" t="s">
        <v>150</v>
      </c>
      <c r="AL80" s="134" t="s">
        <v>1182</v>
      </c>
      <c r="AM80" s="15"/>
      <c r="AN80" s="15" t="s">
        <v>838</v>
      </c>
    </row>
    <row r="81" spans="2:40" x14ac:dyDescent="0.25">
      <c r="B81" s="162">
        <f t="shared" si="15"/>
        <v>22</v>
      </c>
      <c r="C81" s="16">
        <v>20200528</v>
      </c>
      <c r="D81" s="16" t="s">
        <v>3</v>
      </c>
      <c r="E81" s="141" t="s">
        <v>667</v>
      </c>
      <c r="F81" s="98" t="s">
        <v>717</v>
      </c>
      <c r="G81" s="52" t="s">
        <v>61</v>
      </c>
      <c r="H81" s="16" t="s">
        <v>805</v>
      </c>
      <c r="I81" s="16" t="s">
        <v>757</v>
      </c>
      <c r="J81" s="16" t="s">
        <v>834</v>
      </c>
      <c r="K81" s="52" t="s">
        <v>61</v>
      </c>
      <c r="L81" s="98" t="s">
        <v>949</v>
      </c>
      <c r="M81" s="52" t="s">
        <v>61</v>
      </c>
      <c r="N81" s="16" t="s">
        <v>735</v>
      </c>
      <c r="O81" s="98" t="s">
        <v>61</v>
      </c>
      <c r="P81" s="98" t="s">
        <v>736</v>
      </c>
      <c r="Q81" s="18"/>
      <c r="R81" s="16" t="s">
        <v>96</v>
      </c>
      <c r="S81" s="16" t="s">
        <v>6</v>
      </c>
      <c r="T81" s="16"/>
      <c r="U81" s="16"/>
      <c r="V81" s="16">
        <v>147</v>
      </c>
      <c r="W81" s="15">
        <f>ROUND(IF(D81=Table!$C$3,Y81*Table!$C$4/8,Y81*Table!$D$4/8),3)</f>
        <v>139.5</v>
      </c>
      <c r="X81" s="16">
        <f t="shared" si="16"/>
        <v>139.5</v>
      </c>
      <c r="Y81" s="16">
        <v>2.48</v>
      </c>
      <c r="Z81" s="16">
        <f t="shared" si="17"/>
        <v>2.48</v>
      </c>
      <c r="AA81" s="16" t="s">
        <v>74</v>
      </c>
      <c r="AB81" s="99">
        <v>43987</v>
      </c>
      <c r="AC81" s="99">
        <v>43979</v>
      </c>
      <c r="AD81" s="99">
        <v>43987</v>
      </c>
      <c r="AE81" s="99">
        <v>43983</v>
      </c>
      <c r="AF81" s="99">
        <v>43983</v>
      </c>
      <c r="AG81" s="99" t="s">
        <v>176</v>
      </c>
      <c r="AH81" s="100">
        <v>0.99</v>
      </c>
      <c r="AI81" s="100">
        <v>0.99</v>
      </c>
      <c r="AJ81" s="100">
        <v>1</v>
      </c>
      <c r="AK81" s="157" t="s">
        <v>150</v>
      </c>
      <c r="AL81" s="134" t="s">
        <v>1183</v>
      </c>
      <c r="AM81" s="15"/>
      <c r="AN81" s="15" t="s">
        <v>838</v>
      </c>
    </row>
    <row r="82" spans="2:40" x14ac:dyDescent="0.25">
      <c r="B82" s="162">
        <f t="shared" si="15"/>
        <v>23</v>
      </c>
      <c r="C82" s="16">
        <v>20200528</v>
      </c>
      <c r="D82" s="16" t="s">
        <v>3</v>
      </c>
      <c r="E82" s="141" t="s">
        <v>667</v>
      </c>
      <c r="F82" s="98" t="s">
        <v>717</v>
      </c>
      <c r="G82" s="52" t="s">
        <v>61</v>
      </c>
      <c r="H82" s="16" t="s">
        <v>806</v>
      </c>
      <c r="I82" s="16" t="s">
        <v>758</v>
      </c>
      <c r="J82" s="16" t="s">
        <v>834</v>
      </c>
      <c r="K82" s="52" t="s">
        <v>61</v>
      </c>
      <c r="L82" s="98" t="s">
        <v>949</v>
      </c>
      <c r="M82" s="52" t="s">
        <v>61</v>
      </c>
      <c r="N82" s="16" t="s">
        <v>735</v>
      </c>
      <c r="O82" s="98" t="s">
        <v>61</v>
      </c>
      <c r="P82" s="98" t="s">
        <v>736</v>
      </c>
      <c r="Q82" s="18"/>
      <c r="R82" s="16" t="s">
        <v>96</v>
      </c>
      <c r="S82" s="16" t="s">
        <v>6</v>
      </c>
      <c r="T82" s="16"/>
      <c r="U82" s="16"/>
      <c r="V82" s="16">
        <v>59</v>
      </c>
      <c r="W82" s="15">
        <f>ROUND(IF(D82=Table!$C$3,Y82*Table!$C$4/8,Y82*Table!$D$4/8),3)</f>
        <v>90</v>
      </c>
      <c r="X82" s="16">
        <f t="shared" si="16"/>
        <v>90</v>
      </c>
      <c r="Y82" s="16">
        <v>1.6</v>
      </c>
      <c r="Z82" s="16">
        <f t="shared" si="17"/>
        <v>1.6</v>
      </c>
      <c r="AA82" s="16" t="s">
        <v>74</v>
      </c>
      <c r="AB82" s="99">
        <v>43987</v>
      </c>
      <c r="AC82" s="99">
        <v>43979</v>
      </c>
      <c r="AD82" s="99">
        <v>43987</v>
      </c>
      <c r="AE82" s="99">
        <v>43983</v>
      </c>
      <c r="AF82" s="99">
        <v>43983</v>
      </c>
      <c r="AG82" s="99" t="s">
        <v>176</v>
      </c>
      <c r="AH82" s="100">
        <v>0.97</v>
      </c>
      <c r="AI82" s="100">
        <v>0.96</v>
      </c>
      <c r="AJ82" s="100">
        <v>1</v>
      </c>
      <c r="AK82" s="157" t="s">
        <v>150</v>
      </c>
      <c r="AL82" s="134" t="s">
        <v>1180</v>
      </c>
      <c r="AM82" s="15"/>
      <c r="AN82" s="15" t="s">
        <v>838</v>
      </c>
    </row>
    <row r="83" spans="2:40" x14ac:dyDescent="0.25">
      <c r="B83" s="162">
        <f t="shared" si="15"/>
        <v>24</v>
      </c>
      <c r="C83" s="16">
        <v>20200528</v>
      </c>
      <c r="D83" s="16" t="s">
        <v>3</v>
      </c>
      <c r="E83" s="141" t="s">
        <v>667</v>
      </c>
      <c r="F83" s="98" t="s">
        <v>717</v>
      </c>
      <c r="G83" s="52" t="s">
        <v>61</v>
      </c>
      <c r="H83" s="16" t="s">
        <v>807</v>
      </c>
      <c r="I83" s="16" t="s">
        <v>759</v>
      </c>
      <c r="J83" s="16" t="s">
        <v>834</v>
      </c>
      <c r="K83" s="52" t="s">
        <v>61</v>
      </c>
      <c r="L83" s="98" t="s">
        <v>949</v>
      </c>
      <c r="M83" s="52" t="s">
        <v>61</v>
      </c>
      <c r="N83" s="16" t="s">
        <v>735</v>
      </c>
      <c r="O83" s="98" t="s">
        <v>61</v>
      </c>
      <c r="P83" s="98" t="s">
        <v>736</v>
      </c>
      <c r="Q83" s="18"/>
      <c r="R83" s="16" t="s">
        <v>96</v>
      </c>
      <c r="S83" s="16" t="s">
        <v>6</v>
      </c>
      <c r="T83" s="16"/>
      <c r="U83" s="16"/>
      <c r="V83" s="16">
        <v>119</v>
      </c>
      <c r="W83" s="15">
        <f>ROUND(IF(D83=Table!$C$3,Y83*Table!$C$4/8,Y83*Table!$D$4/8),3)</f>
        <v>112.5</v>
      </c>
      <c r="X83" s="16">
        <f t="shared" si="16"/>
        <v>112.5</v>
      </c>
      <c r="Y83" s="16">
        <v>2</v>
      </c>
      <c r="Z83" s="16">
        <f t="shared" si="17"/>
        <v>2</v>
      </c>
      <c r="AA83" s="16" t="s">
        <v>74</v>
      </c>
      <c r="AB83" s="99">
        <v>43987</v>
      </c>
      <c r="AC83" s="99">
        <v>43979</v>
      </c>
      <c r="AD83" s="99">
        <v>43987</v>
      </c>
      <c r="AE83" s="99">
        <v>43983</v>
      </c>
      <c r="AF83" s="99">
        <v>43983</v>
      </c>
      <c r="AG83" s="99" t="s">
        <v>176</v>
      </c>
      <c r="AH83" s="100">
        <v>0.98</v>
      </c>
      <c r="AI83" s="100">
        <v>0.98</v>
      </c>
      <c r="AJ83" s="100">
        <v>1</v>
      </c>
      <c r="AK83" s="157" t="s">
        <v>150</v>
      </c>
      <c r="AL83" s="134" t="s">
        <v>1184</v>
      </c>
      <c r="AM83" s="15"/>
      <c r="AN83" s="15" t="s">
        <v>838</v>
      </c>
    </row>
    <row r="84" spans="2:40" x14ac:dyDescent="0.25">
      <c r="B84" s="162">
        <f t="shared" si="15"/>
        <v>25</v>
      </c>
      <c r="C84" s="16">
        <v>20200528</v>
      </c>
      <c r="D84" s="16" t="s">
        <v>3</v>
      </c>
      <c r="E84" s="141" t="s">
        <v>667</v>
      </c>
      <c r="F84" s="98" t="s">
        <v>717</v>
      </c>
      <c r="G84" s="52" t="s">
        <v>61</v>
      </c>
      <c r="H84" s="16" t="s">
        <v>808</v>
      </c>
      <c r="I84" s="16" t="s">
        <v>760</v>
      </c>
      <c r="J84" s="16" t="s">
        <v>834</v>
      </c>
      <c r="K84" s="52" t="s">
        <v>61</v>
      </c>
      <c r="L84" s="98" t="s">
        <v>949</v>
      </c>
      <c r="M84" s="52" t="s">
        <v>61</v>
      </c>
      <c r="N84" s="16" t="s">
        <v>735</v>
      </c>
      <c r="O84" s="98" t="s">
        <v>61</v>
      </c>
      <c r="P84" s="98" t="s">
        <v>736</v>
      </c>
      <c r="Q84" s="18"/>
      <c r="R84" s="16" t="s">
        <v>96</v>
      </c>
      <c r="S84" s="16" t="s">
        <v>6</v>
      </c>
      <c r="T84" s="16"/>
      <c r="U84" s="16"/>
      <c r="V84" s="16">
        <v>367</v>
      </c>
      <c r="W84" s="15">
        <f>ROUND(IF(D84=Table!$C$3,Y84*Table!$C$4/8,Y84*Table!$D$4/8),3)</f>
        <v>382.5</v>
      </c>
      <c r="X84" s="16">
        <f t="shared" si="16"/>
        <v>382.5</v>
      </c>
      <c r="Y84" s="16">
        <v>6.8</v>
      </c>
      <c r="Z84" s="16">
        <f t="shared" si="17"/>
        <v>6.8</v>
      </c>
      <c r="AA84" s="16" t="s">
        <v>74</v>
      </c>
      <c r="AB84" s="99">
        <v>43987</v>
      </c>
      <c r="AC84" s="99">
        <v>43979</v>
      </c>
      <c r="AD84" s="99">
        <v>43987</v>
      </c>
      <c r="AE84" s="99">
        <v>43983</v>
      </c>
      <c r="AF84" s="99">
        <v>43983</v>
      </c>
      <c r="AG84" s="99" t="s">
        <v>176</v>
      </c>
      <c r="AH84" s="100">
        <v>0.98</v>
      </c>
      <c r="AI84" s="100">
        <v>0.98</v>
      </c>
      <c r="AJ84" s="100">
        <v>1</v>
      </c>
      <c r="AK84" s="157" t="s">
        <v>150</v>
      </c>
      <c r="AL84" s="134" t="s">
        <v>1185</v>
      </c>
      <c r="AM84" s="15"/>
      <c r="AN84" s="15" t="s">
        <v>838</v>
      </c>
    </row>
    <row r="85" spans="2:40" x14ac:dyDescent="0.25">
      <c r="B85" s="162">
        <f t="shared" ref="B85:B114" si="18">B84+1</f>
        <v>26</v>
      </c>
      <c r="C85" s="16">
        <v>20200528</v>
      </c>
      <c r="D85" s="16" t="s">
        <v>3</v>
      </c>
      <c r="E85" s="141" t="s">
        <v>667</v>
      </c>
      <c r="F85" s="98" t="s">
        <v>718</v>
      </c>
      <c r="G85" s="52" t="s">
        <v>61</v>
      </c>
      <c r="H85" s="16" t="s">
        <v>826</v>
      </c>
      <c r="I85" s="16" t="s">
        <v>778</v>
      </c>
      <c r="J85" s="16" t="s">
        <v>835</v>
      </c>
      <c r="K85" s="52" t="s">
        <v>61</v>
      </c>
      <c r="L85" s="98" t="s">
        <v>949</v>
      </c>
      <c r="M85" s="52" t="s">
        <v>61</v>
      </c>
      <c r="N85" s="16" t="s">
        <v>735</v>
      </c>
      <c r="O85" s="98" t="s">
        <v>61</v>
      </c>
      <c r="P85" s="98" t="s">
        <v>736</v>
      </c>
      <c r="Q85" s="18"/>
      <c r="R85" s="106" t="s">
        <v>94</v>
      </c>
      <c r="S85" s="16" t="s">
        <v>141</v>
      </c>
      <c r="T85" s="16"/>
      <c r="U85" s="16"/>
      <c r="V85" s="16">
        <v>89</v>
      </c>
      <c r="W85" s="15">
        <f>ROUND(IF(D85=Table!$C$3,Y85*Table!$C$4/8,Y85*Table!$D$4/8),3)</f>
        <v>90</v>
      </c>
      <c r="X85" s="16">
        <v>90</v>
      </c>
      <c r="Y85" s="16">
        <v>1.6</v>
      </c>
      <c r="Z85" s="16">
        <v>1</v>
      </c>
      <c r="AA85" s="16" t="s">
        <v>74</v>
      </c>
      <c r="AB85" s="99">
        <v>43987</v>
      </c>
      <c r="AC85" s="99">
        <v>43979</v>
      </c>
      <c r="AD85" s="99">
        <v>43987</v>
      </c>
      <c r="AE85" s="99">
        <v>43980</v>
      </c>
      <c r="AF85" s="99">
        <v>43980</v>
      </c>
      <c r="AG85" s="99" t="s">
        <v>176</v>
      </c>
      <c r="AH85" s="100">
        <v>1</v>
      </c>
      <c r="AI85" s="100">
        <v>1</v>
      </c>
      <c r="AJ85" s="100">
        <v>1</v>
      </c>
      <c r="AK85" s="157" t="s">
        <v>150</v>
      </c>
      <c r="AL85" s="134"/>
      <c r="AM85" s="15"/>
      <c r="AN85" s="15" t="s">
        <v>839</v>
      </c>
    </row>
    <row r="86" spans="2:40" x14ac:dyDescent="0.25">
      <c r="B86" s="162">
        <f t="shared" si="18"/>
        <v>27</v>
      </c>
      <c r="C86" s="16">
        <v>20200528</v>
      </c>
      <c r="D86" s="16" t="s">
        <v>3</v>
      </c>
      <c r="E86" s="141" t="s">
        <v>667</v>
      </c>
      <c r="F86" s="98" t="s">
        <v>718</v>
      </c>
      <c r="G86" s="52" t="s">
        <v>61</v>
      </c>
      <c r="H86" s="16" t="s">
        <v>797</v>
      </c>
      <c r="I86" s="16" t="s">
        <v>779</v>
      </c>
      <c r="J86" s="16" t="s">
        <v>835</v>
      </c>
      <c r="K86" s="52" t="s">
        <v>61</v>
      </c>
      <c r="L86" s="98" t="s">
        <v>949</v>
      </c>
      <c r="M86" s="52" t="s">
        <v>61</v>
      </c>
      <c r="N86" s="16" t="s">
        <v>735</v>
      </c>
      <c r="O86" s="98" t="s">
        <v>61</v>
      </c>
      <c r="P86" s="98" t="s">
        <v>736</v>
      </c>
      <c r="Q86" s="18"/>
      <c r="R86" s="106" t="s">
        <v>94</v>
      </c>
      <c r="S86" s="16" t="s">
        <v>141</v>
      </c>
      <c r="T86" s="16"/>
      <c r="U86" s="16"/>
      <c r="V86" s="16">
        <v>67</v>
      </c>
      <c r="W86" s="15">
        <f>ROUND(IF(D86=Table!$C$3,Y86*Table!$C$4/8,Y86*Table!$D$4/8),3)</f>
        <v>90</v>
      </c>
      <c r="X86" s="16">
        <v>90</v>
      </c>
      <c r="Y86" s="16">
        <v>1.6</v>
      </c>
      <c r="Z86" s="16">
        <v>1</v>
      </c>
      <c r="AA86" s="16" t="s">
        <v>74</v>
      </c>
      <c r="AB86" s="99">
        <v>43987</v>
      </c>
      <c r="AC86" s="99">
        <v>43979</v>
      </c>
      <c r="AD86" s="99">
        <v>43987</v>
      </c>
      <c r="AE86" s="99">
        <v>43980</v>
      </c>
      <c r="AF86" s="99">
        <v>43980</v>
      </c>
      <c r="AG86" s="99" t="s">
        <v>176</v>
      </c>
      <c r="AH86" s="100">
        <v>1</v>
      </c>
      <c r="AI86" s="100">
        <v>1</v>
      </c>
      <c r="AJ86" s="100">
        <v>1</v>
      </c>
      <c r="AK86" s="157" t="s">
        <v>150</v>
      </c>
      <c r="AL86" s="134"/>
      <c r="AM86" s="15"/>
      <c r="AN86" s="15" t="s">
        <v>839</v>
      </c>
    </row>
    <row r="87" spans="2:40" x14ac:dyDescent="0.25">
      <c r="B87" s="162">
        <f t="shared" si="18"/>
        <v>28</v>
      </c>
      <c r="C87" s="16">
        <v>20200528</v>
      </c>
      <c r="D87" s="16" t="s">
        <v>3</v>
      </c>
      <c r="E87" s="141" t="s">
        <v>667</v>
      </c>
      <c r="F87" s="98" t="s">
        <v>718</v>
      </c>
      <c r="G87" s="52" t="s">
        <v>61</v>
      </c>
      <c r="H87" s="16" t="s">
        <v>827</v>
      </c>
      <c r="I87" s="16" t="s">
        <v>780</v>
      </c>
      <c r="J87" s="16" t="s">
        <v>835</v>
      </c>
      <c r="K87" s="52" t="s">
        <v>61</v>
      </c>
      <c r="L87" s="98" t="s">
        <v>949</v>
      </c>
      <c r="M87" s="52" t="s">
        <v>61</v>
      </c>
      <c r="N87" s="16" t="s">
        <v>735</v>
      </c>
      <c r="O87" s="98" t="s">
        <v>61</v>
      </c>
      <c r="P87" s="98" t="s">
        <v>736</v>
      </c>
      <c r="Q87" s="18"/>
      <c r="R87" s="106" t="s">
        <v>94</v>
      </c>
      <c r="S87" s="16" t="s">
        <v>141</v>
      </c>
      <c r="T87" s="16"/>
      <c r="U87" s="16"/>
      <c r="V87" s="16">
        <v>145</v>
      </c>
      <c r="W87" s="15">
        <f>ROUND(IF(D87=Table!$C$3,Y87*Table!$C$4/8,Y87*Table!$D$4/8),3)</f>
        <v>144</v>
      </c>
      <c r="X87" s="16">
        <v>144</v>
      </c>
      <c r="Y87" s="16">
        <v>2.56</v>
      </c>
      <c r="Z87" s="16">
        <v>2</v>
      </c>
      <c r="AA87" s="16" t="s">
        <v>74</v>
      </c>
      <c r="AB87" s="99">
        <v>43987</v>
      </c>
      <c r="AC87" s="99">
        <v>43979</v>
      </c>
      <c r="AD87" s="99">
        <v>43987</v>
      </c>
      <c r="AE87" s="99">
        <v>43980</v>
      </c>
      <c r="AF87" s="99">
        <v>43980</v>
      </c>
      <c r="AG87" s="99" t="s">
        <v>176</v>
      </c>
      <c r="AH87" s="100">
        <v>1</v>
      </c>
      <c r="AI87" s="100">
        <v>1</v>
      </c>
      <c r="AJ87" s="100">
        <v>1</v>
      </c>
      <c r="AK87" s="157" t="s">
        <v>150</v>
      </c>
      <c r="AL87" s="134"/>
      <c r="AM87" s="15"/>
      <c r="AN87" s="15" t="s">
        <v>839</v>
      </c>
    </row>
    <row r="88" spans="2:40" x14ac:dyDescent="0.25">
      <c r="B88" s="162">
        <f t="shared" si="18"/>
        <v>29</v>
      </c>
      <c r="C88" s="16">
        <v>20200528</v>
      </c>
      <c r="D88" s="16" t="s">
        <v>3</v>
      </c>
      <c r="E88" s="141" t="s">
        <v>667</v>
      </c>
      <c r="F88" s="98" t="s">
        <v>718</v>
      </c>
      <c r="G88" s="52" t="s">
        <v>61</v>
      </c>
      <c r="H88" s="16" t="s">
        <v>728</v>
      </c>
      <c r="I88" s="16" t="s">
        <v>781</v>
      </c>
      <c r="J88" s="16" t="s">
        <v>835</v>
      </c>
      <c r="K88" s="52" t="s">
        <v>61</v>
      </c>
      <c r="L88" s="98" t="s">
        <v>949</v>
      </c>
      <c r="M88" s="52" t="s">
        <v>61</v>
      </c>
      <c r="N88" s="16" t="s">
        <v>735</v>
      </c>
      <c r="O88" s="98" t="s">
        <v>61</v>
      </c>
      <c r="P88" s="98" t="s">
        <v>736</v>
      </c>
      <c r="Q88" s="18"/>
      <c r="R88" s="106" t="s">
        <v>94</v>
      </c>
      <c r="S88" s="16" t="s">
        <v>141</v>
      </c>
      <c r="T88" s="16"/>
      <c r="U88" s="16"/>
      <c r="V88" s="16">
        <v>47</v>
      </c>
      <c r="W88" s="15">
        <f>ROUND(IF(D88=Table!$C$3,Y88*Table!$C$4/8,Y88*Table!$D$4/8),3)</f>
        <v>90</v>
      </c>
      <c r="X88" s="16">
        <v>90</v>
      </c>
      <c r="Y88" s="16">
        <v>1.6</v>
      </c>
      <c r="Z88" s="16">
        <v>1</v>
      </c>
      <c r="AA88" s="16" t="s">
        <v>74</v>
      </c>
      <c r="AB88" s="99">
        <v>43987</v>
      </c>
      <c r="AC88" s="99">
        <v>43979</v>
      </c>
      <c r="AD88" s="99">
        <v>43987</v>
      </c>
      <c r="AE88" s="99">
        <v>43980</v>
      </c>
      <c r="AF88" s="99">
        <v>43980</v>
      </c>
      <c r="AG88" s="99" t="s">
        <v>176</v>
      </c>
      <c r="AH88" s="100">
        <v>1</v>
      </c>
      <c r="AI88" s="100">
        <v>1</v>
      </c>
      <c r="AJ88" s="100">
        <v>1</v>
      </c>
      <c r="AK88" s="157" t="s">
        <v>150</v>
      </c>
      <c r="AL88" s="134"/>
      <c r="AM88" s="15"/>
      <c r="AN88" s="15" t="s">
        <v>839</v>
      </c>
    </row>
    <row r="89" spans="2:40" x14ac:dyDescent="0.25">
      <c r="B89" s="162">
        <f t="shared" si="18"/>
        <v>30</v>
      </c>
      <c r="C89" s="16">
        <v>20200528</v>
      </c>
      <c r="D89" s="16" t="s">
        <v>3</v>
      </c>
      <c r="E89" s="141" t="s">
        <v>667</v>
      </c>
      <c r="F89" s="98" t="s">
        <v>718</v>
      </c>
      <c r="G89" s="52" t="s">
        <v>61</v>
      </c>
      <c r="H89" s="16" t="s">
        <v>798</v>
      </c>
      <c r="I89" s="16" t="s">
        <v>782</v>
      </c>
      <c r="J89" s="16" t="s">
        <v>835</v>
      </c>
      <c r="K89" s="52" t="s">
        <v>61</v>
      </c>
      <c r="L89" s="98" t="s">
        <v>949</v>
      </c>
      <c r="M89" s="52" t="s">
        <v>61</v>
      </c>
      <c r="N89" s="16" t="s">
        <v>735</v>
      </c>
      <c r="O89" s="98" t="s">
        <v>61</v>
      </c>
      <c r="P89" s="98" t="s">
        <v>736</v>
      </c>
      <c r="Q89" s="18"/>
      <c r="R89" s="106" t="s">
        <v>94</v>
      </c>
      <c r="S89" s="16" t="s">
        <v>141</v>
      </c>
      <c r="T89" s="16"/>
      <c r="U89" s="16"/>
      <c r="V89" s="16">
        <v>71</v>
      </c>
      <c r="W89" s="15">
        <f>ROUND(IF(D89=Table!$C$3,Y89*Table!$C$4/8,Y89*Table!$D$4/8),3)</f>
        <v>90</v>
      </c>
      <c r="X89" s="16">
        <v>90</v>
      </c>
      <c r="Y89" s="16">
        <v>1.6</v>
      </c>
      <c r="Z89" s="16">
        <v>1</v>
      </c>
      <c r="AA89" s="16" t="s">
        <v>74</v>
      </c>
      <c r="AB89" s="99">
        <v>43987</v>
      </c>
      <c r="AC89" s="99">
        <v>43979</v>
      </c>
      <c r="AD89" s="99">
        <v>43987</v>
      </c>
      <c r="AE89" s="99">
        <v>43980</v>
      </c>
      <c r="AF89" s="99">
        <v>43980</v>
      </c>
      <c r="AG89" s="99" t="s">
        <v>176</v>
      </c>
      <c r="AH89" s="100">
        <v>1</v>
      </c>
      <c r="AI89" s="100">
        <v>1</v>
      </c>
      <c r="AJ89" s="100">
        <v>1</v>
      </c>
      <c r="AK89" s="157" t="s">
        <v>150</v>
      </c>
      <c r="AL89" s="134"/>
      <c r="AM89" s="15"/>
      <c r="AN89" s="15" t="s">
        <v>839</v>
      </c>
    </row>
    <row r="90" spans="2:40" x14ac:dyDescent="0.25">
      <c r="B90" s="162">
        <f t="shared" si="18"/>
        <v>31</v>
      </c>
      <c r="C90" s="16">
        <v>20200528</v>
      </c>
      <c r="D90" s="16" t="s">
        <v>3</v>
      </c>
      <c r="E90" s="141" t="s">
        <v>667</v>
      </c>
      <c r="F90" s="98" t="s">
        <v>718</v>
      </c>
      <c r="G90" s="52" t="s">
        <v>61</v>
      </c>
      <c r="H90" s="16" t="s">
        <v>828</v>
      </c>
      <c r="I90" s="16" t="s">
        <v>783</v>
      </c>
      <c r="J90" s="16" t="s">
        <v>835</v>
      </c>
      <c r="K90" s="52" t="s">
        <v>61</v>
      </c>
      <c r="L90" s="98" t="s">
        <v>949</v>
      </c>
      <c r="M90" s="52" t="s">
        <v>61</v>
      </c>
      <c r="N90" s="16" t="s">
        <v>735</v>
      </c>
      <c r="O90" s="98" t="s">
        <v>61</v>
      </c>
      <c r="P90" s="98" t="s">
        <v>736</v>
      </c>
      <c r="Q90" s="18"/>
      <c r="R90" s="106" t="s">
        <v>94</v>
      </c>
      <c r="S90" s="16" t="s">
        <v>141</v>
      </c>
      <c r="T90" s="16"/>
      <c r="U90" s="16"/>
      <c r="V90" s="16">
        <v>529</v>
      </c>
      <c r="W90" s="15">
        <f>ROUND(IF(D90=Table!$C$3,Y90*Table!$C$4/8,Y90*Table!$D$4/8),3)</f>
        <v>562.5</v>
      </c>
      <c r="X90" s="16">
        <v>562.5</v>
      </c>
      <c r="Y90" s="16">
        <v>10</v>
      </c>
      <c r="Z90" s="16">
        <v>12</v>
      </c>
      <c r="AA90" s="16" t="s">
        <v>74</v>
      </c>
      <c r="AB90" s="99">
        <v>43987</v>
      </c>
      <c r="AC90" s="99">
        <v>43979</v>
      </c>
      <c r="AD90" s="99">
        <v>43987</v>
      </c>
      <c r="AE90" s="99">
        <v>43980</v>
      </c>
      <c r="AF90" s="99">
        <v>43980</v>
      </c>
      <c r="AG90" s="99" t="s">
        <v>176</v>
      </c>
      <c r="AH90" s="100">
        <v>0.99</v>
      </c>
      <c r="AI90" s="100">
        <v>0.99</v>
      </c>
      <c r="AJ90" s="100">
        <v>1</v>
      </c>
      <c r="AK90" s="157" t="s">
        <v>150</v>
      </c>
      <c r="AL90" s="134" t="s">
        <v>1272</v>
      </c>
      <c r="AM90" s="15"/>
      <c r="AN90" s="15" t="s">
        <v>839</v>
      </c>
    </row>
    <row r="91" spans="2:40" x14ac:dyDescent="0.25">
      <c r="B91" s="162">
        <f t="shared" si="18"/>
        <v>32</v>
      </c>
      <c r="C91" s="16">
        <v>20200528</v>
      </c>
      <c r="D91" s="16" t="s">
        <v>3</v>
      </c>
      <c r="E91" s="141" t="s">
        <v>667</v>
      </c>
      <c r="F91" s="98" t="s">
        <v>718</v>
      </c>
      <c r="G91" s="52" t="s">
        <v>61</v>
      </c>
      <c r="H91" s="16" t="s">
        <v>829</v>
      </c>
      <c r="I91" s="16" t="s">
        <v>784</v>
      </c>
      <c r="J91" s="16" t="s">
        <v>835</v>
      </c>
      <c r="K91" s="52" t="s">
        <v>61</v>
      </c>
      <c r="L91" s="98" t="s">
        <v>949</v>
      </c>
      <c r="M91" s="52" t="s">
        <v>61</v>
      </c>
      <c r="N91" s="16" t="s">
        <v>735</v>
      </c>
      <c r="O91" s="98" t="s">
        <v>61</v>
      </c>
      <c r="P91" s="98" t="s">
        <v>736</v>
      </c>
      <c r="Q91" s="18"/>
      <c r="R91" s="106" t="s">
        <v>94</v>
      </c>
      <c r="S91" s="16" t="s">
        <v>141</v>
      </c>
      <c r="T91" s="16"/>
      <c r="U91" s="16"/>
      <c r="V91" s="16">
        <v>88</v>
      </c>
      <c r="W91" s="15">
        <f>ROUND(IF(D91=Table!$C$3,Y91*Table!$C$4/8,Y91*Table!$D$4/8),3)</f>
        <v>90</v>
      </c>
      <c r="X91" s="16">
        <v>90</v>
      </c>
      <c r="Y91" s="16">
        <v>1.6</v>
      </c>
      <c r="Z91" s="16">
        <v>1</v>
      </c>
      <c r="AA91" s="16" t="s">
        <v>74</v>
      </c>
      <c r="AB91" s="99">
        <v>43987</v>
      </c>
      <c r="AC91" s="99">
        <v>43979</v>
      </c>
      <c r="AD91" s="99">
        <v>43987</v>
      </c>
      <c r="AE91" s="99">
        <v>43980</v>
      </c>
      <c r="AF91" s="99">
        <v>43980</v>
      </c>
      <c r="AG91" s="99" t="s">
        <v>176</v>
      </c>
      <c r="AH91" s="100">
        <v>0.98</v>
      </c>
      <c r="AI91" s="100">
        <v>0.98</v>
      </c>
      <c r="AJ91" s="100">
        <v>0.71</v>
      </c>
      <c r="AK91" s="157" t="s">
        <v>150</v>
      </c>
      <c r="AL91" s="134" t="s">
        <v>1273</v>
      </c>
      <c r="AM91" s="15"/>
      <c r="AN91" s="15" t="s">
        <v>839</v>
      </c>
    </row>
    <row r="92" spans="2:40" x14ac:dyDescent="0.25">
      <c r="B92" s="162">
        <f t="shared" si="18"/>
        <v>33</v>
      </c>
      <c r="C92" s="16">
        <v>20200528</v>
      </c>
      <c r="D92" s="16" t="s">
        <v>3</v>
      </c>
      <c r="E92" s="141" t="s">
        <v>667</v>
      </c>
      <c r="F92" s="98" t="s">
        <v>718</v>
      </c>
      <c r="G92" s="52" t="s">
        <v>61</v>
      </c>
      <c r="H92" s="16" t="s">
        <v>830</v>
      </c>
      <c r="I92" s="16" t="s">
        <v>785</v>
      </c>
      <c r="J92" s="16" t="s">
        <v>835</v>
      </c>
      <c r="K92" s="52" t="s">
        <v>61</v>
      </c>
      <c r="L92" s="98" t="s">
        <v>949</v>
      </c>
      <c r="M92" s="52" t="s">
        <v>61</v>
      </c>
      <c r="N92" s="16" t="s">
        <v>735</v>
      </c>
      <c r="O92" s="98" t="s">
        <v>61</v>
      </c>
      <c r="P92" s="98" t="s">
        <v>736</v>
      </c>
      <c r="Q92" s="18"/>
      <c r="R92" s="106" t="s">
        <v>94</v>
      </c>
      <c r="S92" s="16" t="s">
        <v>141</v>
      </c>
      <c r="T92" s="16"/>
      <c r="U92" s="16"/>
      <c r="V92" s="16">
        <v>108</v>
      </c>
      <c r="W92" s="15">
        <f>ROUND(IF(D92=Table!$C$3,Y92*Table!$C$4/8,Y92*Table!$D$4/8),3)</f>
        <v>103.5</v>
      </c>
      <c r="X92" s="16">
        <v>103.5</v>
      </c>
      <c r="Y92" s="16">
        <v>1.84</v>
      </c>
      <c r="Z92" s="16">
        <v>1</v>
      </c>
      <c r="AA92" s="16" t="s">
        <v>74</v>
      </c>
      <c r="AB92" s="99">
        <v>43987</v>
      </c>
      <c r="AC92" s="99">
        <v>43979</v>
      </c>
      <c r="AD92" s="99">
        <v>43987</v>
      </c>
      <c r="AE92" s="99">
        <v>43983</v>
      </c>
      <c r="AF92" s="99">
        <v>43983</v>
      </c>
      <c r="AG92" s="99" t="s">
        <v>176</v>
      </c>
      <c r="AH92" s="100">
        <v>1</v>
      </c>
      <c r="AI92" s="100">
        <v>1</v>
      </c>
      <c r="AJ92" s="100">
        <v>0.8</v>
      </c>
      <c r="AK92" s="157" t="s">
        <v>150</v>
      </c>
      <c r="AL92" s="134"/>
      <c r="AM92" s="15"/>
      <c r="AN92" s="15" t="s">
        <v>839</v>
      </c>
    </row>
    <row r="93" spans="2:40" x14ac:dyDescent="0.25">
      <c r="B93" s="162">
        <f t="shared" si="18"/>
        <v>34</v>
      </c>
      <c r="C93" s="16">
        <v>20200528</v>
      </c>
      <c r="D93" s="16" t="s">
        <v>3</v>
      </c>
      <c r="E93" s="141" t="s">
        <v>667</v>
      </c>
      <c r="F93" s="98" t="s">
        <v>718</v>
      </c>
      <c r="G93" s="52" t="s">
        <v>61</v>
      </c>
      <c r="H93" s="16" t="s">
        <v>831</v>
      </c>
      <c r="I93" s="16" t="s">
        <v>786</v>
      </c>
      <c r="J93" s="16" t="s">
        <v>835</v>
      </c>
      <c r="K93" s="52" t="s">
        <v>61</v>
      </c>
      <c r="L93" s="98" t="s">
        <v>949</v>
      </c>
      <c r="M93" s="52" t="s">
        <v>61</v>
      </c>
      <c r="N93" s="16" t="s">
        <v>735</v>
      </c>
      <c r="O93" s="98" t="s">
        <v>61</v>
      </c>
      <c r="P93" s="98" t="s">
        <v>736</v>
      </c>
      <c r="Q93" s="18"/>
      <c r="R93" s="106" t="s">
        <v>94</v>
      </c>
      <c r="S93" s="16" t="s">
        <v>141</v>
      </c>
      <c r="T93" s="16"/>
      <c r="U93" s="16"/>
      <c r="V93" s="16">
        <v>80</v>
      </c>
      <c r="W93" s="15">
        <f>ROUND(IF(D93=Table!$C$3,Y93*Table!$C$4/8,Y93*Table!$D$4/8),3)</f>
        <v>90</v>
      </c>
      <c r="X93" s="16">
        <v>90</v>
      </c>
      <c r="Y93" s="16">
        <v>1.6</v>
      </c>
      <c r="Z93" s="16">
        <v>1</v>
      </c>
      <c r="AA93" s="16" t="s">
        <v>74</v>
      </c>
      <c r="AB93" s="99">
        <v>43987</v>
      </c>
      <c r="AC93" s="99">
        <v>43979</v>
      </c>
      <c r="AD93" s="99">
        <v>43987</v>
      </c>
      <c r="AE93" s="99">
        <v>43983</v>
      </c>
      <c r="AF93" s="99">
        <v>43983</v>
      </c>
      <c r="AG93" s="99" t="s">
        <v>176</v>
      </c>
      <c r="AH93" s="100">
        <v>1</v>
      </c>
      <c r="AI93" s="100">
        <v>1</v>
      </c>
      <c r="AJ93" s="100">
        <v>1</v>
      </c>
      <c r="AK93" s="157" t="s">
        <v>150</v>
      </c>
      <c r="AL93" s="134"/>
      <c r="AM93" s="15"/>
      <c r="AN93" s="15" t="s">
        <v>839</v>
      </c>
    </row>
    <row r="94" spans="2:40" x14ac:dyDescent="0.25">
      <c r="B94" s="162">
        <f t="shared" si="18"/>
        <v>35</v>
      </c>
      <c r="C94" s="16">
        <v>20200528</v>
      </c>
      <c r="D94" s="16" t="s">
        <v>3</v>
      </c>
      <c r="E94" s="141" t="s">
        <v>667</v>
      </c>
      <c r="F94" s="98" t="s">
        <v>718</v>
      </c>
      <c r="G94" s="52" t="s">
        <v>61</v>
      </c>
      <c r="H94" s="16" t="s">
        <v>832</v>
      </c>
      <c r="I94" s="16" t="s">
        <v>787</v>
      </c>
      <c r="J94" s="16" t="s">
        <v>835</v>
      </c>
      <c r="K94" s="52" t="s">
        <v>61</v>
      </c>
      <c r="L94" s="98" t="s">
        <v>949</v>
      </c>
      <c r="M94" s="52" t="s">
        <v>61</v>
      </c>
      <c r="N94" s="16" t="s">
        <v>735</v>
      </c>
      <c r="O94" s="98" t="s">
        <v>61</v>
      </c>
      <c r="P94" s="98" t="s">
        <v>736</v>
      </c>
      <c r="Q94" s="18"/>
      <c r="R94" s="106" t="s">
        <v>94</v>
      </c>
      <c r="S94" s="16" t="s">
        <v>141</v>
      </c>
      <c r="T94" s="16"/>
      <c r="U94" s="16"/>
      <c r="V94" s="16">
        <v>125</v>
      </c>
      <c r="W94" s="15">
        <f>ROUND(IF(D94=Table!$C$3,Y94*Table!$C$4/8,Y94*Table!$D$4/8),3)</f>
        <v>121.5</v>
      </c>
      <c r="X94" s="16">
        <v>121.5</v>
      </c>
      <c r="Y94" s="16">
        <v>2.16</v>
      </c>
      <c r="Z94" s="16">
        <v>2</v>
      </c>
      <c r="AA94" s="16" t="s">
        <v>74</v>
      </c>
      <c r="AB94" s="99">
        <v>43987</v>
      </c>
      <c r="AC94" s="99">
        <v>43979</v>
      </c>
      <c r="AD94" s="99">
        <v>43987</v>
      </c>
      <c r="AE94" s="99">
        <v>43983</v>
      </c>
      <c r="AF94" s="99">
        <v>43983</v>
      </c>
      <c r="AG94" s="99" t="s">
        <v>176</v>
      </c>
      <c r="AH94" s="100">
        <v>1</v>
      </c>
      <c r="AI94" s="100">
        <v>1</v>
      </c>
      <c r="AJ94" s="100">
        <v>0.5</v>
      </c>
      <c r="AK94" s="157" t="s">
        <v>150</v>
      </c>
      <c r="AL94" s="134" t="s">
        <v>1274</v>
      </c>
      <c r="AM94" s="15"/>
      <c r="AN94" s="15" t="s">
        <v>839</v>
      </c>
    </row>
    <row r="95" spans="2:40" x14ac:dyDescent="0.25">
      <c r="B95" s="162">
        <f t="shared" si="18"/>
        <v>36</v>
      </c>
      <c r="C95" s="16">
        <v>20200528</v>
      </c>
      <c r="D95" s="16" t="s">
        <v>3</v>
      </c>
      <c r="E95" s="141" t="s">
        <v>667</v>
      </c>
      <c r="F95" s="98" t="s">
        <v>718</v>
      </c>
      <c r="G95" s="52" t="s">
        <v>61</v>
      </c>
      <c r="H95" s="16" t="s">
        <v>833</v>
      </c>
      <c r="I95" s="16" t="s">
        <v>788</v>
      </c>
      <c r="J95" s="16" t="s">
        <v>835</v>
      </c>
      <c r="K95" s="52" t="s">
        <v>61</v>
      </c>
      <c r="L95" s="98" t="s">
        <v>949</v>
      </c>
      <c r="M95" s="52" t="s">
        <v>61</v>
      </c>
      <c r="N95" s="16" t="s">
        <v>735</v>
      </c>
      <c r="O95" s="98" t="s">
        <v>61</v>
      </c>
      <c r="P95" s="98" t="s">
        <v>736</v>
      </c>
      <c r="Q95" s="18"/>
      <c r="R95" s="106" t="s">
        <v>94</v>
      </c>
      <c r="S95" s="16" t="s">
        <v>141</v>
      </c>
      <c r="T95" s="16"/>
      <c r="U95" s="16"/>
      <c r="V95" s="16">
        <v>416</v>
      </c>
      <c r="W95" s="15">
        <f>ROUND(IF(D95=Table!$C$3,Y95*Table!$C$4/8,Y95*Table!$D$4/8),3)</f>
        <v>450</v>
      </c>
      <c r="X95" s="16">
        <v>450</v>
      </c>
      <c r="Y95" s="16">
        <v>8</v>
      </c>
      <c r="Z95" s="16">
        <v>4</v>
      </c>
      <c r="AA95" s="16" t="s">
        <v>74</v>
      </c>
      <c r="AB95" s="99">
        <v>43987</v>
      </c>
      <c r="AC95" s="99">
        <v>43979</v>
      </c>
      <c r="AD95" s="99">
        <v>43987</v>
      </c>
      <c r="AE95" s="99">
        <v>43983</v>
      </c>
      <c r="AF95" s="99">
        <v>43983</v>
      </c>
      <c r="AG95" s="99" t="s">
        <v>176</v>
      </c>
      <c r="AH95" s="100">
        <v>1</v>
      </c>
      <c r="AI95" s="100">
        <v>1</v>
      </c>
      <c r="AJ95" s="100">
        <v>1</v>
      </c>
      <c r="AK95" s="157" t="s">
        <v>150</v>
      </c>
      <c r="AL95" s="134"/>
      <c r="AM95" s="15"/>
      <c r="AN95" s="15" t="s">
        <v>839</v>
      </c>
    </row>
    <row r="96" spans="2:40" x14ac:dyDescent="0.25">
      <c r="B96" s="162">
        <f t="shared" si="18"/>
        <v>37</v>
      </c>
      <c r="C96" s="16">
        <v>20200528</v>
      </c>
      <c r="D96" s="16" t="s">
        <v>3</v>
      </c>
      <c r="E96" s="141" t="s">
        <v>667</v>
      </c>
      <c r="F96" s="98" t="s">
        <v>718</v>
      </c>
      <c r="G96" s="52" t="s">
        <v>61</v>
      </c>
      <c r="H96" s="16" t="s">
        <v>804</v>
      </c>
      <c r="I96" s="16" t="s">
        <v>789</v>
      </c>
      <c r="J96" s="16" t="s">
        <v>835</v>
      </c>
      <c r="K96" s="52" t="s">
        <v>61</v>
      </c>
      <c r="L96" s="98" t="s">
        <v>949</v>
      </c>
      <c r="M96" s="52" t="s">
        <v>61</v>
      </c>
      <c r="N96" s="16" t="s">
        <v>735</v>
      </c>
      <c r="O96" s="98" t="s">
        <v>61</v>
      </c>
      <c r="P96" s="98" t="s">
        <v>736</v>
      </c>
      <c r="Q96" s="18"/>
      <c r="R96" s="106" t="s">
        <v>94</v>
      </c>
      <c r="S96" s="16" t="s">
        <v>141</v>
      </c>
      <c r="T96" s="16"/>
      <c r="U96" s="16"/>
      <c r="V96" s="16">
        <v>57</v>
      </c>
      <c r="W96" s="15">
        <f>ROUND(IF(D96=Table!$C$3,Y96*Table!$C$4/8,Y96*Table!$D$4/8),3)</f>
        <v>90</v>
      </c>
      <c r="X96" s="16">
        <v>90</v>
      </c>
      <c r="Y96" s="16">
        <v>1.6</v>
      </c>
      <c r="Z96" s="16">
        <v>1</v>
      </c>
      <c r="AA96" s="16" t="s">
        <v>74</v>
      </c>
      <c r="AB96" s="99">
        <v>43987</v>
      </c>
      <c r="AC96" s="99">
        <v>43979</v>
      </c>
      <c r="AD96" s="99">
        <v>43987</v>
      </c>
      <c r="AE96" s="99">
        <v>43983</v>
      </c>
      <c r="AF96" s="99">
        <v>43983</v>
      </c>
      <c r="AG96" s="99" t="s">
        <v>176</v>
      </c>
      <c r="AH96" s="100">
        <v>1</v>
      </c>
      <c r="AI96" s="100">
        <v>1</v>
      </c>
      <c r="AJ96" s="100">
        <v>1</v>
      </c>
      <c r="AK96" s="157" t="s">
        <v>150</v>
      </c>
      <c r="AL96" s="134"/>
      <c r="AM96" s="15"/>
      <c r="AN96" s="15" t="s">
        <v>839</v>
      </c>
    </row>
    <row r="97" spans="2:40" x14ac:dyDescent="0.25">
      <c r="B97" s="162">
        <f t="shared" si="18"/>
        <v>38</v>
      </c>
      <c r="C97" s="16">
        <v>20200528</v>
      </c>
      <c r="D97" s="16" t="s">
        <v>3</v>
      </c>
      <c r="E97" s="141" t="s">
        <v>667</v>
      </c>
      <c r="F97" s="98" t="s">
        <v>718</v>
      </c>
      <c r="G97" s="52" t="s">
        <v>61</v>
      </c>
      <c r="H97" s="16" t="s">
        <v>807</v>
      </c>
      <c r="I97" s="16" t="s">
        <v>790</v>
      </c>
      <c r="J97" s="16" t="s">
        <v>835</v>
      </c>
      <c r="K97" s="52" t="s">
        <v>61</v>
      </c>
      <c r="L97" s="98" t="s">
        <v>949</v>
      </c>
      <c r="M97" s="52" t="s">
        <v>61</v>
      </c>
      <c r="N97" s="16" t="s">
        <v>735</v>
      </c>
      <c r="O97" s="98" t="s">
        <v>61</v>
      </c>
      <c r="P97" s="98" t="s">
        <v>736</v>
      </c>
      <c r="Q97" s="18"/>
      <c r="R97" s="106" t="s">
        <v>94</v>
      </c>
      <c r="S97" s="16" t="s">
        <v>141</v>
      </c>
      <c r="T97" s="16"/>
      <c r="U97" s="16"/>
      <c r="V97" s="16">
        <v>122</v>
      </c>
      <c r="W97" s="15">
        <f>ROUND(IF(D97=Table!$C$3,Y97*Table!$C$4/8,Y97*Table!$D$4/8),3)</f>
        <v>90</v>
      </c>
      <c r="X97" s="16">
        <v>90</v>
      </c>
      <c r="Y97" s="16">
        <v>1.6</v>
      </c>
      <c r="Z97" s="16">
        <v>1</v>
      </c>
      <c r="AA97" s="16" t="s">
        <v>74</v>
      </c>
      <c r="AB97" s="99">
        <v>43987</v>
      </c>
      <c r="AC97" s="99">
        <v>43979</v>
      </c>
      <c r="AD97" s="99">
        <v>43987</v>
      </c>
      <c r="AE97" s="99">
        <v>43983</v>
      </c>
      <c r="AF97" s="99">
        <v>43983</v>
      </c>
      <c r="AG97" s="99" t="s">
        <v>176</v>
      </c>
      <c r="AH97" s="100">
        <v>1</v>
      </c>
      <c r="AI97" s="100">
        <v>1</v>
      </c>
      <c r="AJ97" s="100">
        <v>1</v>
      </c>
      <c r="AK97" s="157" t="s">
        <v>150</v>
      </c>
      <c r="AL97" s="134"/>
      <c r="AM97" s="15"/>
      <c r="AN97" s="15" t="s">
        <v>839</v>
      </c>
    </row>
    <row r="98" spans="2:40" x14ac:dyDescent="0.25">
      <c r="B98" s="162">
        <f t="shared" si="18"/>
        <v>39</v>
      </c>
      <c r="C98" s="16">
        <v>20200528</v>
      </c>
      <c r="D98" s="16" t="s">
        <v>3</v>
      </c>
      <c r="E98" s="141" t="s">
        <v>667</v>
      </c>
      <c r="F98" s="98" t="s">
        <v>717</v>
      </c>
      <c r="G98" s="52" t="s">
        <v>61</v>
      </c>
      <c r="H98" s="16" t="s">
        <v>809</v>
      </c>
      <c r="I98" s="16" t="s">
        <v>761</v>
      </c>
      <c r="J98" s="16" t="s">
        <v>834</v>
      </c>
      <c r="K98" s="52" t="s">
        <v>61</v>
      </c>
      <c r="L98" s="98" t="s">
        <v>949</v>
      </c>
      <c r="M98" s="52" t="s">
        <v>61</v>
      </c>
      <c r="N98" s="16" t="s">
        <v>735</v>
      </c>
      <c r="O98" s="98" t="s">
        <v>61</v>
      </c>
      <c r="P98" s="98" t="s">
        <v>736</v>
      </c>
      <c r="Q98" s="18"/>
      <c r="R98" s="16" t="s">
        <v>94</v>
      </c>
      <c r="S98" s="16" t="s">
        <v>141</v>
      </c>
      <c r="T98" s="16"/>
      <c r="U98" s="16"/>
      <c r="V98" s="16">
        <v>35</v>
      </c>
      <c r="W98" s="15">
        <f>ROUND(IF(D98=Table!$C$3,Y98*Table!$C$4/8,Y98*Table!$D$4/8),3)</f>
        <v>90</v>
      </c>
      <c r="X98" s="16">
        <v>90</v>
      </c>
      <c r="Y98" s="16">
        <v>1.6</v>
      </c>
      <c r="Z98" s="16">
        <v>1</v>
      </c>
      <c r="AA98" s="16" t="s">
        <v>74</v>
      </c>
      <c r="AB98" s="99">
        <v>43987</v>
      </c>
      <c r="AC98" s="99">
        <v>43979</v>
      </c>
      <c r="AD98" s="99">
        <v>43987</v>
      </c>
      <c r="AE98" s="99">
        <v>43984</v>
      </c>
      <c r="AF98" s="99">
        <v>43984</v>
      </c>
      <c r="AG98" s="99" t="s">
        <v>176</v>
      </c>
      <c r="AH98" s="100">
        <v>1</v>
      </c>
      <c r="AI98" s="100">
        <v>1</v>
      </c>
      <c r="AJ98" s="100">
        <v>1</v>
      </c>
      <c r="AK98" s="157" t="s">
        <v>150</v>
      </c>
      <c r="AL98" s="134"/>
      <c r="AM98" s="15" t="s">
        <v>1275</v>
      </c>
      <c r="AN98" s="15" t="s">
        <v>838</v>
      </c>
    </row>
    <row r="99" spans="2:40" x14ac:dyDescent="0.25">
      <c r="B99" s="162">
        <f t="shared" si="18"/>
        <v>40</v>
      </c>
      <c r="C99" s="16">
        <v>20200528</v>
      </c>
      <c r="D99" s="16" t="s">
        <v>3</v>
      </c>
      <c r="E99" s="141" t="s">
        <v>667</v>
      </c>
      <c r="F99" s="98" t="s">
        <v>717</v>
      </c>
      <c r="G99" s="52" t="s">
        <v>61</v>
      </c>
      <c r="H99" s="16" t="s">
        <v>810</v>
      </c>
      <c r="I99" s="16" t="s">
        <v>762</v>
      </c>
      <c r="J99" s="16" t="s">
        <v>835</v>
      </c>
      <c r="K99" s="52" t="s">
        <v>61</v>
      </c>
      <c r="L99" s="98" t="s">
        <v>949</v>
      </c>
      <c r="M99" s="52" t="s">
        <v>61</v>
      </c>
      <c r="N99" s="16" t="s">
        <v>735</v>
      </c>
      <c r="O99" s="98" t="s">
        <v>61</v>
      </c>
      <c r="P99" s="98" t="s">
        <v>736</v>
      </c>
      <c r="Q99" s="18"/>
      <c r="R99" s="106" t="s">
        <v>94</v>
      </c>
      <c r="S99" s="16" t="s">
        <v>141</v>
      </c>
      <c r="T99" s="16"/>
      <c r="U99" s="16"/>
      <c r="V99" s="16">
        <v>68</v>
      </c>
      <c r="W99" s="15">
        <f>ROUND(IF(D99=Table!$C$3,Y99*Table!$C$4/8,Y99*Table!$D$4/8),3)</f>
        <v>90</v>
      </c>
      <c r="X99" s="16">
        <v>90</v>
      </c>
      <c r="Y99" s="16">
        <v>1.6</v>
      </c>
      <c r="Z99" s="16">
        <v>1</v>
      </c>
      <c r="AA99" s="16" t="s">
        <v>74</v>
      </c>
      <c r="AB99" s="99">
        <v>43987</v>
      </c>
      <c r="AC99" s="99">
        <v>43979</v>
      </c>
      <c r="AD99" s="99">
        <v>43987</v>
      </c>
      <c r="AE99" s="99">
        <v>43984</v>
      </c>
      <c r="AF99" s="99">
        <v>43984</v>
      </c>
      <c r="AG99" s="99" t="s">
        <v>176</v>
      </c>
      <c r="AH99" s="100">
        <v>1</v>
      </c>
      <c r="AI99" s="100">
        <v>1</v>
      </c>
      <c r="AJ99" s="100">
        <v>1</v>
      </c>
      <c r="AK99" s="157" t="s">
        <v>150</v>
      </c>
      <c r="AL99" s="134"/>
      <c r="AM99" s="15"/>
      <c r="AN99" s="15" t="s">
        <v>838</v>
      </c>
    </row>
    <row r="100" spans="2:40" x14ac:dyDescent="0.25">
      <c r="B100" s="162">
        <f t="shared" si="18"/>
        <v>41</v>
      </c>
      <c r="C100" s="16">
        <v>20200528</v>
      </c>
      <c r="D100" s="16" t="s">
        <v>3</v>
      </c>
      <c r="E100" s="141" t="s">
        <v>667</v>
      </c>
      <c r="F100" s="98" t="s">
        <v>717</v>
      </c>
      <c r="G100" s="52" t="s">
        <v>61</v>
      </c>
      <c r="H100" s="16" t="s">
        <v>811</v>
      </c>
      <c r="I100" s="16" t="s">
        <v>763</v>
      </c>
      <c r="J100" s="16" t="s">
        <v>834</v>
      </c>
      <c r="K100" s="52" t="s">
        <v>61</v>
      </c>
      <c r="L100" s="98" t="s">
        <v>949</v>
      </c>
      <c r="M100" s="52" t="s">
        <v>61</v>
      </c>
      <c r="N100" s="16" t="s">
        <v>735</v>
      </c>
      <c r="O100" s="98" t="s">
        <v>61</v>
      </c>
      <c r="P100" s="98" t="s">
        <v>736</v>
      </c>
      <c r="Q100" s="18"/>
      <c r="R100" s="106" t="s">
        <v>94</v>
      </c>
      <c r="S100" s="16" t="s">
        <v>141</v>
      </c>
      <c r="T100" s="16"/>
      <c r="U100" s="16"/>
      <c r="V100" s="16">
        <v>108</v>
      </c>
      <c r="W100" s="15">
        <f>ROUND(IF(D100=Table!$C$3,Y100*Table!$C$4/8,Y100*Table!$D$4/8),3)</f>
        <v>90</v>
      </c>
      <c r="X100" s="16">
        <v>90</v>
      </c>
      <c r="Y100" s="16">
        <v>1.6</v>
      </c>
      <c r="Z100" s="16">
        <v>1</v>
      </c>
      <c r="AA100" s="16" t="s">
        <v>74</v>
      </c>
      <c r="AB100" s="99">
        <v>43987</v>
      </c>
      <c r="AC100" s="99">
        <v>43979</v>
      </c>
      <c r="AD100" s="99">
        <v>43987</v>
      </c>
      <c r="AE100" s="99">
        <v>43984</v>
      </c>
      <c r="AF100" s="99">
        <v>43984</v>
      </c>
      <c r="AG100" s="99" t="s">
        <v>176</v>
      </c>
      <c r="AH100" s="100">
        <v>0.98</v>
      </c>
      <c r="AI100" s="100">
        <v>0.97</v>
      </c>
      <c r="AJ100" s="100">
        <v>1</v>
      </c>
      <c r="AK100" s="157" t="s">
        <v>150</v>
      </c>
      <c r="AL100" s="214" t="s">
        <v>1276</v>
      </c>
      <c r="AM100" s="15"/>
      <c r="AN100" s="15" t="s">
        <v>838</v>
      </c>
    </row>
    <row r="101" spans="2:40" x14ac:dyDescent="0.25">
      <c r="B101" s="162">
        <f t="shared" si="18"/>
        <v>42</v>
      </c>
      <c r="C101" s="16">
        <v>20200528</v>
      </c>
      <c r="D101" s="16" t="s">
        <v>3</v>
      </c>
      <c r="E101" s="141" t="s">
        <v>667</v>
      </c>
      <c r="F101" s="98" t="s">
        <v>717</v>
      </c>
      <c r="G101" s="52" t="s">
        <v>61</v>
      </c>
      <c r="H101" s="16" t="s">
        <v>812</v>
      </c>
      <c r="I101" s="16" t="s">
        <v>764</v>
      </c>
      <c r="J101" s="16" t="s">
        <v>834</v>
      </c>
      <c r="K101" s="52" t="s">
        <v>61</v>
      </c>
      <c r="L101" s="98" t="s">
        <v>949</v>
      </c>
      <c r="M101" s="52" t="s">
        <v>61</v>
      </c>
      <c r="N101" s="16" t="s">
        <v>735</v>
      </c>
      <c r="O101" s="98" t="s">
        <v>61</v>
      </c>
      <c r="P101" s="98" t="s">
        <v>736</v>
      </c>
      <c r="Q101" s="18"/>
      <c r="R101" s="106" t="s">
        <v>94</v>
      </c>
      <c r="S101" s="16" t="s">
        <v>141</v>
      </c>
      <c r="T101" s="16"/>
      <c r="U101" s="16"/>
      <c r="V101" s="16">
        <v>223</v>
      </c>
      <c r="W101" s="15">
        <f>ROUND(IF(D101=Table!$C$3,Y101*Table!$C$4/8,Y101*Table!$D$4/8),3)</f>
        <v>225</v>
      </c>
      <c r="X101" s="16">
        <v>225</v>
      </c>
      <c r="Y101" s="16">
        <v>4</v>
      </c>
      <c r="Z101" s="16">
        <v>2</v>
      </c>
      <c r="AA101" s="16" t="s">
        <v>74</v>
      </c>
      <c r="AB101" s="99">
        <v>43987</v>
      </c>
      <c r="AC101" s="99">
        <v>43979</v>
      </c>
      <c r="AD101" s="99">
        <v>43987</v>
      </c>
      <c r="AE101" s="99">
        <v>43984</v>
      </c>
      <c r="AF101" s="99">
        <v>43984</v>
      </c>
      <c r="AG101" s="99" t="s">
        <v>176</v>
      </c>
      <c r="AH101" s="100">
        <v>1</v>
      </c>
      <c r="AI101" s="100">
        <v>1</v>
      </c>
      <c r="AJ101" s="100">
        <v>1</v>
      </c>
      <c r="AK101" s="157" t="s">
        <v>150</v>
      </c>
      <c r="AL101" s="134"/>
      <c r="AM101" s="15"/>
      <c r="AN101" s="15" t="s">
        <v>838</v>
      </c>
    </row>
    <row r="102" spans="2:40" x14ac:dyDescent="0.25">
      <c r="B102" s="162">
        <f t="shared" si="18"/>
        <v>43</v>
      </c>
      <c r="C102" s="16">
        <v>20200528</v>
      </c>
      <c r="D102" s="16" t="s">
        <v>3</v>
      </c>
      <c r="E102" s="141" t="s">
        <v>667</v>
      </c>
      <c r="F102" s="98" t="s">
        <v>717</v>
      </c>
      <c r="G102" s="52" t="s">
        <v>61</v>
      </c>
      <c r="H102" s="16" t="s">
        <v>813</v>
      </c>
      <c r="I102" s="16" t="s">
        <v>765</v>
      </c>
      <c r="J102" s="16" t="s">
        <v>834</v>
      </c>
      <c r="K102" s="52" t="s">
        <v>61</v>
      </c>
      <c r="L102" s="98" t="s">
        <v>949</v>
      </c>
      <c r="M102" s="52" t="s">
        <v>61</v>
      </c>
      <c r="N102" s="16" t="s">
        <v>735</v>
      </c>
      <c r="O102" s="98" t="s">
        <v>61</v>
      </c>
      <c r="P102" s="98" t="s">
        <v>736</v>
      </c>
      <c r="Q102" s="18"/>
      <c r="R102" s="106" t="s">
        <v>94</v>
      </c>
      <c r="S102" s="16" t="s">
        <v>141</v>
      </c>
      <c r="T102" s="16"/>
      <c r="U102" s="16"/>
      <c r="V102" s="16">
        <v>69</v>
      </c>
      <c r="W102" s="15">
        <f>ROUND(IF(D102=Table!$C$3,Y102*Table!$C$4/8,Y102*Table!$D$4/8),3)</f>
        <v>90</v>
      </c>
      <c r="X102" s="16">
        <v>90</v>
      </c>
      <c r="Y102" s="16">
        <v>1.6</v>
      </c>
      <c r="Z102" s="16">
        <v>1</v>
      </c>
      <c r="AA102" s="16" t="s">
        <v>74</v>
      </c>
      <c r="AB102" s="99">
        <v>43987</v>
      </c>
      <c r="AC102" s="99">
        <v>43979</v>
      </c>
      <c r="AD102" s="99">
        <v>43987</v>
      </c>
      <c r="AE102" s="99">
        <v>43985</v>
      </c>
      <c r="AF102" s="99">
        <v>43985</v>
      </c>
      <c r="AG102" s="99" t="s">
        <v>176</v>
      </c>
      <c r="AH102" s="100">
        <v>1</v>
      </c>
      <c r="AI102" s="100">
        <v>1</v>
      </c>
      <c r="AJ102" s="100">
        <v>1</v>
      </c>
      <c r="AK102" s="157" t="s">
        <v>150</v>
      </c>
      <c r="AL102" s="134"/>
      <c r="AM102" s="15"/>
      <c r="AN102" s="15" t="s">
        <v>838</v>
      </c>
    </row>
    <row r="103" spans="2:40" x14ac:dyDescent="0.25">
      <c r="B103" s="162">
        <f t="shared" si="18"/>
        <v>44</v>
      </c>
      <c r="C103" s="16">
        <v>20200528</v>
      </c>
      <c r="D103" s="16" t="s">
        <v>3</v>
      </c>
      <c r="E103" s="141" t="s">
        <v>667</v>
      </c>
      <c r="F103" s="98" t="s">
        <v>717</v>
      </c>
      <c r="G103" s="52" t="s">
        <v>61</v>
      </c>
      <c r="H103" s="16" t="s">
        <v>814</v>
      </c>
      <c r="I103" s="16" t="s">
        <v>766</v>
      </c>
      <c r="J103" s="16" t="s">
        <v>834</v>
      </c>
      <c r="K103" s="52" t="s">
        <v>61</v>
      </c>
      <c r="L103" s="98" t="s">
        <v>949</v>
      </c>
      <c r="M103" s="52" t="s">
        <v>61</v>
      </c>
      <c r="N103" s="16" t="s">
        <v>735</v>
      </c>
      <c r="O103" s="98" t="s">
        <v>61</v>
      </c>
      <c r="P103" s="98" t="s">
        <v>736</v>
      </c>
      <c r="Q103" s="18"/>
      <c r="R103" s="106" t="s">
        <v>94</v>
      </c>
      <c r="S103" s="16" t="s">
        <v>141</v>
      </c>
      <c r="T103" s="16"/>
      <c r="U103" s="16"/>
      <c r="V103" s="16">
        <v>102</v>
      </c>
      <c r="W103" s="15">
        <f>ROUND(IF(D103=Table!$C$3,Y103*Table!$C$4/8,Y103*Table!$D$4/8),3)</f>
        <v>99</v>
      </c>
      <c r="X103" s="16">
        <v>99</v>
      </c>
      <c r="Y103" s="16">
        <v>1.76</v>
      </c>
      <c r="Z103" s="16">
        <v>1</v>
      </c>
      <c r="AA103" s="16" t="s">
        <v>74</v>
      </c>
      <c r="AB103" s="99">
        <v>43987</v>
      </c>
      <c r="AC103" s="99">
        <v>43979</v>
      </c>
      <c r="AD103" s="99">
        <v>43987</v>
      </c>
      <c r="AE103" s="99">
        <v>43985</v>
      </c>
      <c r="AF103" s="99">
        <v>43985</v>
      </c>
      <c r="AG103" s="99" t="s">
        <v>176</v>
      </c>
      <c r="AH103" s="100">
        <v>0.98</v>
      </c>
      <c r="AI103" s="100">
        <v>0.98</v>
      </c>
      <c r="AJ103" s="100">
        <v>1</v>
      </c>
      <c r="AK103" s="157" t="s">
        <v>150</v>
      </c>
      <c r="AL103" s="134" t="s">
        <v>1277</v>
      </c>
      <c r="AM103" s="15"/>
      <c r="AN103" s="15" t="s">
        <v>838</v>
      </c>
    </row>
    <row r="104" spans="2:40" x14ac:dyDescent="0.25">
      <c r="B104" s="162">
        <f t="shared" si="18"/>
        <v>45</v>
      </c>
      <c r="C104" s="16">
        <v>20200528</v>
      </c>
      <c r="D104" s="16" t="s">
        <v>3</v>
      </c>
      <c r="E104" s="141" t="s">
        <v>667</v>
      </c>
      <c r="F104" s="98" t="s">
        <v>717</v>
      </c>
      <c r="G104" s="52" t="s">
        <v>61</v>
      </c>
      <c r="H104" s="16" t="s">
        <v>815</v>
      </c>
      <c r="I104" s="16" t="s">
        <v>767</v>
      </c>
      <c r="J104" s="16" t="s">
        <v>834</v>
      </c>
      <c r="K104" s="52" t="s">
        <v>61</v>
      </c>
      <c r="L104" s="98" t="s">
        <v>949</v>
      </c>
      <c r="M104" s="52" t="s">
        <v>61</v>
      </c>
      <c r="N104" s="16" t="s">
        <v>735</v>
      </c>
      <c r="O104" s="98" t="s">
        <v>61</v>
      </c>
      <c r="P104" s="98" t="s">
        <v>736</v>
      </c>
      <c r="Q104" s="18"/>
      <c r="R104" s="106" t="s">
        <v>94</v>
      </c>
      <c r="S104" s="16" t="s">
        <v>141</v>
      </c>
      <c r="T104" s="16"/>
      <c r="U104" s="16"/>
      <c r="V104" s="16">
        <v>141</v>
      </c>
      <c r="W104" s="15">
        <f>ROUND(IF(D104=Table!$C$3,Y104*Table!$C$4/8,Y104*Table!$D$4/8),3)</f>
        <v>135</v>
      </c>
      <c r="X104" s="16">
        <v>135</v>
      </c>
      <c r="Y104" s="16">
        <v>2.4</v>
      </c>
      <c r="Z104" s="16">
        <v>1</v>
      </c>
      <c r="AA104" s="16" t="s">
        <v>74</v>
      </c>
      <c r="AB104" s="99">
        <v>43987</v>
      </c>
      <c r="AC104" s="99">
        <v>43979</v>
      </c>
      <c r="AD104" s="99">
        <v>43987</v>
      </c>
      <c r="AE104" s="99">
        <v>43985</v>
      </c>
      <c r="AF104" s="99">
        <v>43985</v>
      </c>
      <c r="AG104" s="99" t="s">
        <v>176</v>
      </c>
      <c r="AH104" s="100">
        <v>1</v>
      </c>
      <c r="AI104" s="100">
        <v>1</v>
      </c>
      <c r="AJ104" s="100">
        <v>1</v>
      </c>
      <c r="AK104" s="157" t="s">
        <v>150</v>
      </c>
      <c r="AL104" s="134"/>
      <c r="AM104" s="15"/>
      <c r="AN104" s="15" t="s">
        <v>838</v>
      </c>
    </row>
    <row r="105" spans="2:40" x14ac:dyDescent="0.25">
      <c r="B105" s="162">
        <f t="shared" si="18"/>
        <v>46</v>
      </c>
      <c r="C105" s="16">
        <v>20200528</v>
      </c>
      <c r="D105" s="16" t="s">
        <v>3</v>
      </c>
      <c r="E105" s="141" t="s">
        <v>667</v>
      </c>
      <c r="F105" s="98" t="s">
        <v>717</v>
      </c>
      <c r="G105" s="52" t="s">
        <v>61</v>
      </c>
      <c r="H105" s="16" t="s">
        <v>816</v>
      </c>
      <c r="I105" s="16" t="s">
        <v>768</v>
      </c>
      <c r="J105" s="16" t="s">
        <v>834</v>
      </c>
      <c r="K105" s="52" t="s">
        <v>61</v>
      </c>
      <c r="L105" s="98" t="s">
        <v>949</v>
      </c>
      <c r="M105" s="52" t="s">
        <v>61</v>
      </c>
      <c r="N105" s="16" t="s">
        <v>735</v>
      </c>
      <c r="O105" s="98" t="s">
        <v>61</v>
      </c>
      <c r="P105" s="98" t="s">
        <v>736</v>
      </c>
      <c r="Q105" s="18"/>
      <c r="R105" s="106" t="s">
        <v>94</v>
      </c>
      <c r="S105" s="16" t="s">
        <v>141</v>
      </c>
      <c r="T105" s="16"/>
      <c r="U105" s="16"/>
      <c r="V105" s="16">
        <v>156</v>
      </c>
      <c r="W105" s="15">
        <f>ROUND(IF(D105=Table!$C$3,Y105*Table!$C$4/8,Y105*Table!$D$4/8),3)</f>
        <v>157.5</v>
      </c>
      <c r="X105" s="16">
        <v>157.5</v>
      </c>
      <c r="Y105" s="16">
        <v>2.8</v>
      </c>
      <c r="Z105" s="16">
        <v>1</v>
      </c>
      <c r="AA105" s="16" t="s">
        <v>74</v>
      </c>
      <c r="AB105" s="99">
        <v>43987</v>
      </c>
      <c r="AC105" s="99">
        <v>43979</v>
      </c>
      <c r="AD105" s="99">
        <v>43987</v>
      </c>
      <c r="AE105" s="99">
        <v>43985</v>
      </c>
      <c r="AF105" s="99">
        <v>43985</v>
      </c>
      <c r="AG105" s="99" t="s">
        <v>176</v>
      </c>
      <c r="AH105" s="100">
        <v>1</v>
      </c>
      <c r="AI105" s="100">
        <v>1</v>
      </c>
      <c r="AJ105" s="100">
        <v>1</v>
      </c>
      <c r="AK105" s="157" t="s">
        <v>150</v>
      </c>
      <c r="AL105" s="134"/>
      <c r="AM105" s="15"/>
      <c r="AN105" s="15" t="s">
        <v>838</v>
      </c>
    </row>
    <row r="106" spans="2:40" x14ac:dyDescent="0.25">
      <c r="B106" s="162">
        <f t="shared" si="18"/>
        <v>47</v>
      </c>
      <c r="C106" s="16">
        <v>20200528</v>
      </c>
      <c r="D106" s="16" t="s">
        <v>3</v>
      </c>
      <c r="E106" s="141" t="s">
        <v>667</v>
      </c>
      <c r="F106" s="98" t="s">
        <v>717</v>
      </c>
      <c r="G106" s="52" t="s">
        <v>61</v>
      </c>
      <c r="H106" s="16" t="s">
        <v>817</v>
      </c>
      <c r="I106" s="16" t="s">
        <v>769</v>
      </c>
      <c r="J106" s="16" t="s">
        <v>835</v>
      </c>
      <c r="K106" s="52" t="s">
        <v>61</v>
      </c>
      <c r="L106" s="98" t="s">
        <v>949</v>
      </c>
      <c r="M106" s="52" t="s">
        <v>61</v>
      </c>
      <c r="N106" s="16" t="s">
        <v>735</v>
      </c>
      <c r="O106" s="98" t="s">
        <v>61</v>
      </c>
      <c r="P106" s="98" t="s">
        <v>736</v>
      </c>
      <c r="Q106" s="18"/>
      <c r="R106" s="106" t="s">
        <v>94</v>
      </c>
      <c r="S106" s="16" t="s">
        <v>141</v>
      </c>
      <c r="T106" s="16"/>
      <c r="U106" s="16"/>
      <c r="V106" s="16">
        <v>265</v>
      </c>
      <c r="W106" s="15">
        <f>ROUND(IF(D106=Table!$C$3,Y106*Table!$C$4/8,Y106*Table!$D$4/8),3)</f>
        <v>229.5</v>
      </c>
      <c r="X106" s="16">
        <v>229.5</v>
      </c>
      <c r="Y106" s="16">
        <v>4.08</v>
      </c>
      <c r="Z106" s="16">
        <v>2</v>
      </c>
      <c r="AA106" s="16" t="s">
        <v>74</v>
      </c>
      <c r="AB106" s="99">
        <v>43987</v>
      </c>
      <c r="AC106" s="99">
        <v>43979</v>
      </c>
      <c r="AD106" s="99">
        <v>43987</v>
      </c>
      <c r="AE106" s="99">
        <v>43985</v>
      </c>
      <c r="AF106" s="99">
        <v>43985</v>
      </c>
      <c r="AG106" s="99" t="s">
        <v>176</v>
      </c>
      <c r="AH106" s="100">
        <v>1</v>
      </c>
      <c r="AI106" s="100">
        <v>1</v>
      </c>
      <c r="AJ106" s="100">
        <v>1</v>
      </c>
      <c r="AK106" s="157" t="s">
        <v>150</v>
      </c>
      <c r="AL106" s="134"/>
      <c r="AM106" s="15"/>
      <c r="AN106" s="15" t="s">
        <v>838</v>
      </c>
    </row>
    <row r="107" spans="2:40" x14ac:dyDescent="0.25">
      <c r="B107" s="162">
        <f t="shared" si="18"/>
        <v>48</v>
      </c>
      <c r="C107" s="16">
        <v>20200528</v>
      </c>
      <c r="D107" s="16" t="s">
        <v>3</v>
      </c>
      <c r="E107" s="141" t="s">
        <v>667</v>
      </c>
      <c r="F107" s="98" t="s">
        <v>717</v>
      </c>
      <c r="G107" s="52" t="s">
        <v>61</v>
      </c>
      <c r="H107" s="16" t="s">
        <v>818</v>
      </c>
      <c r="I107" s="16" t="s">
        <v>770</v>
      </c>
      <c r="J107" s="16" t="s">
        <v>834</v>
      </c>
      <c r="K107" s="52" t="s">
        <v>61</v>
      </c>
      <c r="L107" s="98" t="s">
        <v>949</v>
      </c>
      <c r="M107" s="52" t="s">
        <v>61</v>
      </c>
      <c r="N107" s="16" t="s">
        <v>735</v>
      </c>
      <c r="O107" s="98" t="s">
        <v>61</v>
      </c>
      <c r="P107" s="98" t="s">
        <v>736</v>
      </c>
      <c r="Q107" s="18"/>
      <c r="R107" s="106" t="s">
        <v>94</v>
      </c>
      <c r="S107" s="16" t="s">
        <v>141</v>
      </c>
      <c r="T107" s="16"/>
      <c r="U107" s="16"/>
      <c r="V107" s="16">
        <v>91</v>
      </c>
      <c r="W107" s="15">
        <f>ROUND(IF(D107=Table!$C$3,Y107*Table!$C$4/8,Y107*Table!$D$4/8),3)</f>
        <v>90</v>
      </c>
      <c r="X107" s="16">
        <v>90</v>
      </c>
      <c r="Y107" s="16">
        <v>1.6</v>
      </c>
      <c r="Z107" s="16">
        <v>1</v>
      </c>
      <c r="AA107" s="16" t="s">
        <v>74</v>
      </c>
      <c r="AB107" s="99">
        <v>43987</v>
      </c>
      <c r="AC107" s="99">
        <v>43979</v>
      </c>
      <c r="AD107" s="99">
        <v>43987</v>
      </c>
      <c r="AE107" s="99">
        <v>43985</v>
      </c>
      <c r="AF107" s="99">
        <v>43985</v>
      </c>
      <c r="AG107" s="99" t="s">
        <v>176</v>
      </c>
      <c r="AH107" s="100">
        <v>1</v>
      </c>
      <c r="AI107" s="100">
        <v>1</v>
      </c>
      <c r="AJ107" s="100">
        <v>1</v>
      </c>
      <c r="AK107" s="157" t="s">
        <v>150</v>
      </c>
      <c r="AL107" s="134"/>
      <c r="AM107" s="15"/>
      <c r="AN107" s="15" t="s">
        <v>838</v>
      </c>
    </row>
    <row r="108" spans="2:40" x14ac:dyDescent="0.25">
      <c r="B108" s="162">
        <f t="shared" si="18"/>
        <v>49</v>
      </c>
      <c r="C108" s="16">
        <v>20200528</v>
      </c>
      <c r="D108" s="16" t="s">
        <v>3</v>
      </c>
      <c r="E108" s="141" t="s">
        <v>667</v>
      </c>
      <c r="F108" s="98" t="s">
        <v>717</v>
      </c>
      <c r="G108" s="52" t="s">
        <v>61</v>
      </c>
      <c r="H108" s="16" t="s">
        <v>819</v>
      </c>
      <c r="I108" s="16" t="s">
        <v>771</v>
      </c>
      <c r="J108" s="16" t="s">
        <v>834</v>
      </c>
      <c r="K108" s="52" t="s">
        <v>61</v>
      </c>
      <c r="L108" s="98" t="s">
        <v>949</v>
      </c>
      <c r="M108" s="52" t="s">
        <v>61</v>
      </c>
      <c r="N108" s="16" t="s">
        <v>735</v>
      </c>
      <c r="O108" s="98" t="s">
        <v>61</v>
      </c>
      <c r="P108" s="98" t="s">
        <v>736</v>
      </c>
      <c r="Q108" s="18"/>
      <c r="R108" s="106" t="s">
        <v>94</v>
      </c>
      <c r="S108" s="16" t="s">
        <v>141</v>
      </c>
      <c r="T108" s="16"/>
      <c r="U108" s="16"/>
      <c r="V108" s="16">
        <v>538</v>
      </c>
      <c r="W108" s="15">
        <f>ROUND(IF(D108=Table!$C$3,Y108*Table!$C$4/8,Y108*Table!$D$4/8),3)</f>
        <v>414</v>
      </c>
      <c r="X108" s="16">
        <v>414</v>
      </c>
      <c r="Y108" s="16">
        <v>7.36</v>
      </c>
      <c r="Z108" s="16">
        <v>3</v>
      </c>
      <c r="AA108" s="16" t="s">
        <v>74</v>
      </c>
      <c r="AB108" s="99">
        <v>43987</v>
      </c>
      <c r="AC108" s="99">
        <v>43979</v>
      </c>
      <c r="AD108" s="99">
        <v>43987</v>
      </c>
      <c r="AE108" s="99">
        <v>43985</v>
      </c>
      <c r="AF108" s="99">
        <v>43985</v>
      </c>
      <c r="AG108" s="99" t="s">
        <v>176</v>
      </c>
      <c r="AH108" s="100">
        <v>0.99</v>
      </c>
      <c r="AI108" s="100">
        <v>0.99</v>
      </c>
      <c r="AJ108" s="100">
        <v>1</v>
      </c>
      <c r="AK108" s="157" t="s">
        <v>150</v>
      </c>
      <c r="AL108" s="134" t="s">
        <v>1278</v>
      </c>
      <c r="AM108" s="15"/>
      <c r="AN108" s="15" t="s">
        <v>838</v>
      </c>
    </row>
    <row r="109" spans="2:40" x14ac:dyDescent="0.25">
      <c r="B109" s="162">
        <f t="shared" si="18"/>
        <v>50</v>
      </c>
      <c r="C109" s="16">
        <v>20200528</v>
      </c>
      <c r="D109" s="16" t="s">
        <v>3</v>
      </c>
      <c r="E109" s="141" t="s">
        <v>667</v>
      </c>
      <c r="F109" s="98" t="s">
        <v>717</v>
      </c>
      <c r="G109" s="52" t="s">
        <v>61</v>
      </c>
      <c r="H109" s="16" t="s">
        <v>820</v>
      </c>
      <c r="I109" s="16" t="s">
        <v>772</v>
      </c>
      <c r="J109" s="16" t="s">
        <v>834</v>
      </c>
      <c r="K109" s="52" t="s">
        <v>61</v>
      </c>
      <c r="L109" s="98" t="s">
        <v>949</v>
      </c>
      <c r="M109" s="52" t="s">
        <v>61</v>
      </c>
      <c r="N109" s="16" t="s">
        <v>735</v>
      </c>
      <c r="O109" s="98" t="s">
        <v>61</v>
      </c>
      <c r="P109" s="98" t="s">
        <v>736</v>
      </c>
      <c r="Q109" s="18"/>
      <c r="R109" s="106" t="s">
        <v>94</v>
      </c>
      <c r="S109" s="16" t="s">
        <v>141</v>
      </c>
      <c r="T109" s="16"/>
      <c r="U109" s="16"/>
      <c r="V109" s="16">
        <v>84</v>
      </c>
      <c r="W109" s="15">
        <f>ROUND(IF(D109=Table!$C$3,Y109*Table!$C$4/8,Y109*Table!$D$4/8),3)</f>
        <v>81</v>
      </c>
      <c r="X109" s="16">
        <v>81</v>
      </c>
      <c r="Y109" s="16">
        <v>1.44</v>
      </c>
      <c r="Z109" s="16">
        <v>1</v>
      </c>
      <c r="AA109" s="16" t="s">
        <v>74</v>
      </c>
      <c r="AB109" s="99">
        <v>43987</v>
      </c>
      <c r="AC109" s="99">
        <v>43979</v>
      </c>
      <c r="AD109" s="99">
        <v>43987</v>
      </c>
      <c r="AE109" s="99">
        <v>43987</v>
      </c>
      <c r="AF109" s="99">
        <v>43987</v>
      </c>
      <c r="AG109" s="99" t="s">
        <v>176</v>
      </c>
      <c r="AH109" s="100">
        <v>0.95</v>
      </c>
      <c r="AI109" s="100">
        <v>0.94</v>
      </c>
      <c r="AJ109" s="100">
        <v>1</v>
      </c>
      <c r="AK109" s="157" t="s">
        <v>150</v>
      </c>
      <c r="AL109" s="134" t="s">
        <v>1279</v>
      </c>
      <c r="AM109" s="15"/>
      <c r="AN109" s="15" t="s">
        <v>838</v>
      </c>
    </row>
    <row r="110" spans="2:40" x14ac:dyDescent="0.25">
      <c r="B110" s="162">
        <f t="shared" si="18"/>
        <v>51</v>
      </c>
      <c r="C110" s="16">
        <v>20200528</v>
      </c>
      <c r="D110" s="16" t="s">
        <v>3</v>
      </c>
      <c r="E110" s="141" t="s">
        <v>667</v>
      </c>
      <c r="F110" s="98" t="s">
        <v>717</v>
      </c>
      <c r="G110" s="52" t="s">
        <v>61</v>
      </c>
      <c r="H110" s="16" t="s">
        <v>821</v>
      </c>
      <c r="I110" s="16" t="s">
        <v>773</v>
      </c>
      <c r="J110" s="16" t="s">
        <v>834</v>
      </c>
      <c r="K110" s="52" t="s">
        <v>61</v>
      </c>
      <c r="L110" s="98" t="s">
        <v>949</v>
      </c>
      <c r="M110" s="52" t="s">
        <v>61</v>
      </c>
      <c r="N110" s="16" t="s">
        <v>735</v>
      </c>
      <c r="O110" s="98" t="s">
        <v>61</v>
      </c>
      <c r="P110" s="98" t="s">
        <v>736</v>
      </c>
      <c r="Q110" s="18"/>
      <c r="R110" s="106" t="s">
        <v>94</v>
      </c>
      <c r="S110" s="16" t="s">
        <v>141</v>
      </c>
      <c r="T110" s="16"/>
      <c r="U110" s="16"/>
      <c r="V110" s="16">
        <v>472</v>
      </c>
      <c r="W110" s="15">
        <f>ROUND(IF(D110=Table!$C$3,Y110*Table!$C$4/8,Y110*Table!$D$4/8),3)</f>
        <v>504</v>
      </c>
      <c r="X110" s="16">
        <v>504</v>
      </c>
      <c r="Y110" s="16">
        <v>8.9600000000000009</v>
      </c>
      <c r="Z110" s="16">
        <v>3</v>
      </c>
      <c r="AA110" s="16" t="s">
        <v>74</v>
      </c>
      <c r="AB110" s="99">
        <v>43987</v>
      </c>
      <c r="AC110" s="99">
        <v>43979</v>
      </c>
      <c r="AD110" s="99">
        <v>43987</v>
      </c>
      <c r="AE110" s="99">
        <v>43987</v>
      </c>
      <c r="AF110" s="99">
        <v>43987</v>
      </c>
      <c r="AG110" s="99" t="s">
        <v>176</v>
      </c>
      <c r="AH110" s="100">
        <v>0.99</v>
      </c>
      <c r="AI110" s="100">
        <v>0.99</v>
      </c>
      <c r="AJ110" s="100">
        <v>1</v>
      </c>
      <c r="AK110" s="157" t="s">
        <v>150</v>
      </c>
      <c r="AL110" s="134" t="s">
        <v>1280</v>
      </c>
      <c r="AM110" s="15"/>
      <c r="AN110" s="15" t="s">
        <v>838</v>
      </c>
    </row>
    <row r="111" spans="2:40" x14ac:dyDescent="0.25">
      <c r="B111" s="162">
        <f t="shared" si="18"/>
        <v>52</v>
      </c>
      <c r="C111" s="16">
        <v>20200528</v>
      </c>
      <c r="D111" s="16" t="s">
        <v>3</v>
      </c>
      <c r="E111" s="141" t="s">
        <v>667</v>
      </c>
      <c r="F111" s="98" t="s">
        <v>717</v>
      </c>
      <c r="G111" s="52" t="s">
        <v>61</v>
      </c>
      <c r="H111" s="16" t="s">
        <v>822</v>
      </c>
      <c r="I111" s="16" t="s">
        <v>774</v>
      </c>
      <c r="J111" s="16" t="s">
        <v>834</v>
      </c>
      <c r="K111" s="52" t="s">
        <v>61</v>
      </c>
      <c r="L111" s="98" t="s">
        <v>949</v>
      </c>
      <c r="M111" s="52" t="s">
        <v>61</v>
      </c>
      <c r="N111" s="16" t="s">
        <v>735</v>
      </c>
      <c r="O111" s="98" t="s">
        <v>61</v>
      </c>
      <c r="P111" s="98" t="s">
        <v>736</v>
      </c>
      <c r="Q111" s="18"/>
      <c r="R111" s="106" t="s">
        <v>94</v>
      </c>
      <c r="S111" s="16" t="s">
        <v>141</v>
      </c>
      <c r="T111" s="16"/>
      <c r="U111" s="16"/>
      <c r="V111" s="16">
        <v>71</v>
      </c>
      <c r="W111" s="15">
        <f>ROUND(IF(D111=Table!$C$3,Y111*Table!$C$4/8,Y111*Table!$D$4/8),3)</f>
        <v>90</v>
      </c>
      <c r="X111" s="16">
        <v>90</v>
      </c>
      <c r="Y111" s="16">
        <v>1.6</v>
      </c>
      <c r="Z111" s="16">
        <v>0.25</v>
      </c>
      <c r="AA111" s="16" t="s">
        <v>74</v>
      </c>
      <c r="AB111" s="99">
        <v>43987</v>
      </c>
      <c r="AC111" s="99">
        <v>43979</v>
      </c>
      <c r="AD111" s="99">
        <v>43987</v>
      </c>
      <c r="AE111" s="99">
        <v>43987</v>
      </c>
      <c r="AF111" s="99">
        <v>43987</v>
      </c>
      <c r="AG111" s="99" t="s">
        <v>176</v>
      </c>
      <c r="AH111" s="100">
        <v>1</v>
      </c>
      <c r="AI111" s="100">
        <v>1</v>
      </c>
      <c r="AJ111" s="100">
        <v>1</v>
      </c>
      <c r="AK111" s="157" t="s">
        <v>150</v>
      </c>
      <c r="AL111" s="134"/>
      <c r="AM111" s="15"/>
      <c r="AN111" s="15" t="s">
        <v>838</v>
      </c>
    </row>
    <row r="112" spans="2:40" x14ac:dyDescent="0.25">
      <c r="B112" s="162">
        <f t="shared" si="18"/>
        <v>53</v>
      </c>
      <c r="C112" s="16">
        <v>20200528</v>
      </c>
      <c r="D112" s="16" t="s">
        <v>3</v>
      </c>
      <c r="E112" s="141" t="s">
        <v>667</v>
      </c>
      <c r="F112" s="98" t="s">
        <v>717</v>
      </c>
      <c r="G112" s="52" t="s">
        <v>61</v>
      </c>
      <c r="H112" s="16" t="s">
        <v>823</v>
      </c>
      <c r="I112" s="16" t="s">
        <v>775</v>
      </c>
      <c r="J112" s="16" t="s">
        <v>834</v>
      </c>
      <c r="K112" s="52" t="s">
        <v>61</v>
      </c>
      <c r="L112" s="98" t="s">
        <v>949</v>
      </c>
      <c r="M112" s="52" t="s">
        <v>61</v>
      </c>
      <c r="N112" s="16" t="s">
        <v>735</v>
      </c>
      <c r="O112" s="98" t="s">
        <v>61</v>
      </c>
      <c r="P112" s="98" t="s">
        <v>736</v>
      </c>
      <c r="Q112" s="18"/>
      <c r="R112" s="106" t="s">
        <v>94</v>
      </c>
      <c r="S112" s="16" t="s">
        <v>141</v>
      </c>
      <c r="T112" s="16"/>
      <c r="U112" s="16"/>
      <c r="V112" s="16">
        <v>60</v>
      </c>
      <c r="W112" s="15">
        <f>ROUND(IF(D112=Table!$C$3,Y112*Table!$C$4/8,Y112*Table!$D$4/8),3)</f>
        <v>90</v>
      </c>
      <c r="X112" s="16">
        <v>90</v>
      </c>
      <c r="Y112" s="16">
        <v>1.6</v>
      </c>
      <c r="Z112" s="16">
        <v>0.25</v>
      </c>
      <c r="AA112" s="16" t="s">
        <v>74</v>
      </c>
      <c r="AB112" s="99">
        <v>43987</v>
      </c>
      <c r="AC112" s="99">
        <v>43979</v>
      </c>
      <c r="AD112" s="99">
        <v>43987</v>
      </c>
      <c r="AE112" s="99">
        <v>43987</v>
      </c>
      <c r="AF112" s="99">
        <v>43987</v>
      </c>
      <c r="AG112" s="99" t="s">
        <v>176</v>
      </c>
      <c r="AH112" s="100">
        <v>1</v>
      </c>
      <c r="AI112" s="100">
        <v>1</v>
      </c>
      <c r="AJ112" s="100">
        <v>1</v>
      </c>
      <c r="AK112" s="157" t="s">
        <v>150</v>
      </c>
      <c r="AL112" s="134"/>
      <c r="AM112" s="15"/>
      <c r="AN112" s="15" t="s">
        <v>838</v>
      </c>
    </row>
    <row r="113" spans="2:40" x14ac:dyDescent="0.25">
      <c r="B113" s="162">
        <f t="shared" si="18"/>
        <v>54</v>
      </c>
      <c r="C113" s="16">
        <v>20200528</v>
      </c>
      <c r="D113" s="16" t="s">
        <v>3</v>
      </c>
      <c r="E113" s="141" t="s">
        <v>667</v>
      </c>
      <c r="F113" s="98" t="s">
        <v>717</v>
      </c>
      <c r="G113" s="52" t="s">
        <v>61</v>
      </c>
      <c r="H113" s="16" t="s">
        <v>824</v>
      </c>
      <c r="I113" s="16" t="s">
        <v>776</v>
      </c>
      <c r="J113" s="16" t="s">
        <v>834</v>
      </c>
      <c r="K113" s="52" t="s">
        <v>61</v>
      </c>
      <c r="L113" s="98" t="s">
        <v>949</v>
      </c>
      <c r="M113" s="52" t="s">
        <v>61</v>
      </c>
      <c r="N113" s="16" t="s">
        <v>735</v>
      </c>
      <c r="O113" s="98" t="s">
        <v>61</v>
      </c>
      <c r="P113" s="98" t="s">
        <v>736</v>
      </c>
      <c r="Q113" s="18"/>
      <c r="R113" s="106" t="s">
        <v>94</v>
      </c>
      <c r="S113" s="16" t="s">
        <v>141</v>
      </c>
      <c r="T113" s="16"/>
      <c r="U113" s="16"/>
      <c r="V113" s="16">
        <v>52</v>
      </c>
      <c r="W113" s="15">
        <f>ROUND(IF(D113=Table!$C$3,Y113*Table!$C$4/8,Y113*Table!$D$4/8),3)</f>
        <v>90</v>
      </c>
      <c r="X113" s="16">
        <v>90</v>
      </c>
      <c r="Y113" s="16">
        <v>1.6</v>
      </c>
      <c r="Z113" s="16">
        <v>0.25</v>
      </c>
      <c r="AA113" s="16" t="s">
        <v>74</v>
      </c>
      <c r="AB113" s="99">
        <v>43987</v>
      </c>
      <c r="AC113" s="99">
        <v>43979</v>
      </c>
      <c r="AD113" s="99">
        <v>43987</v>
      </c>
      <c r="AE113" s="99">
        <v>43987</v>
      </c>
      <c r="AF113" s="99">
        <v>43987</v>
      </c>
      <c r="AG113" s="99" t="s">
        <v>176</v>
      </c>
      <c r="AH113" s="100">
        <v>1</v>
      </c>
      <c r="AI113" s="100">
        <v>1</v>
      </c>
      <c r="AJ113" s="100">
        <v>1</v>
      </c>
      <c r="AK113" s="157" t="s">
        <v>150</v>
      </c>
      <c r="AL113" s="134"/>
      <c r="AM113" s="15"/>
      <c r="AN113" s="15" t="s">
        <v>838</v>
      </c>
    </row>
    <row r="114" spans="2:40" x14ac:dyDescent="0.25">
      <c r="B114" s="162">
        <f t="shared" si="18"/>
        <v>55</v>
      </c>
      <c r="C114" s="16">
        <v>20200528</v>
      </c>
      <c r="D114" s="16" t="s">
        <v>3</v>
      </c>
      <c r="E114" s="141" t="s">
        <v>667</v>
      </c>
      <c r="F114" s="98" t="s">
        <v>717</v>
      </c>
      <c r="G114" s="52" t="s">
        <v>61</v>
      </c>
      <c r="H114" s="16" t="s">
        <v>825</v>
      </c>
      <c r="I114" s="16" t="s">
        <v>777</v>
      </c>
      <c r="J114" s="16" t="s">
        <v>834</v>
      </c>
      <c r="K114" s="52" t="s">
        <v>61</v>
      </c>
      <c r="L114" s="98" t="s">
        <v>949</v>
      </c>
      <c r="M114" s="52" t="s">
        <v>61</v>
      </c>
      <c r="N114" s="16" t="s">
        <v>735</v>
      </c>
      <c r="O114" s="98" t="s">
        <v>61</v>
      </c>
      <c r="P114" s="98" t="s">
        <v>736</v>
      </c>
      <c r="Q114" s="18"/>
      <c r="R114" s="106" t="s">
        <v>94</v>
      </c>
      <c r="S114" s="16" t="s">
        <v>141</v>
      </c>
      <c r="T114" s="16"/>
      <c r="U114" s="16"/>
      <c r="V114" s="16">
        <v>56</v>
      </c>
      <c r="W114" s="15">
        <f>ROUND(IF(D114=Table!$C$3,Y114*Table!$C$4/8,Y114*Table!$D$4/8),3)</f>
        <v>90</v>
      </c>
      <c r="X114" s="16">
        <v>90</v>
      </c>
      <c r="Y114" s="16">
        <v>1.6</v>
      </c>
      <c r="Z114" s="16">
        <v>0.25</v>
      </c>
      <c r="AA114" s="16" t="s">
        <v>74</v>
      </c>
      <c r="AB114" s="99">
        <v>43987</v>
      </c>
      <c r="AC114" s="99">
        <v>43979</v>
      </c>
      <c r="AD114" s="99">
        <v>43987</v>
      </c>
      <c r="AE114" s="99">
        <v>43987</v>
      </c>
      <c r="AF114" s="99">
        <v>43987</v>
      </c>
      <c r="AG114" s="99" t="s">
        <v>176</v>
      </c>
      <c r="AH114" s="100">
        <v>1</v>
      </c>
      <c r="AI114" s="100">
        <v>1</v>
      </c>
      <c r="AJ114" s="100">
        <v>1</v>
      </c>
      <c r="AK114" s="157" t="s">
        <v>150</v>
      </c>
      <c r="AL114" s="134"/>
      <c r="AM114" s="15"/>
      <c r="AN114" s="15" t="s">
        <v>838</v>
      </c>
    </row>
    <row r="115" spans="2:40" x14ac:dyDescent="0.25">
      <c r="B115" s="132">
        <f t="shared" ref="B115:B146" si="19">B114+1</f>
        <v>56</v>
      </c>
      <c r="C115" s="16">
        <v>20200529</v>
      </c>
      <c r="D115" s="16" t="s">
        <v>3</v>
      </c>
      <c r="E115" s="141" t="s">
        <v>871</v>
      </c>
      <c r="F115" s="98" t="s">
        <v>857</v>
      </c>
      <c r="G115" s="52" t="s">
        <v>61</v>
      </c>
      <c r="H115" s="16" t="s">
        <v>909</v>
      </c>
      <c r="I115" s="16" t="s">
        <v>872</v>
      </c>
      <c r="J115" s="16" t="s">
        <v>908</v>
      </c>
      <c r="K115" s="52" t="s">
        <v>61</v>
      </c>
      <c r="L115" s="98" t="s">
        <v>933</v>
      </c>
      <c r="M115" s="52" t="s">
        <v>61</v>
      </c>
      <c r="N115" s="16" t="s">
        <v>934</v>
      </c>
      <c r="O115" s="98" t="s">
        <v>61</v>
      </c>
      <c r="P115" s="98" t="s">
        <v>935</v>
      </c>
      <c r="Q115" s="18"/>
      <c r="R115" s="183" t="s">
        <v>95</v>
      </c>
      <c r="S115" s="16" t="s">
        <v>66</v>
      </c>
      <c r="T115" s="16"/>
      <c r="U115" s="16"/>
      <c r="V115" s="16"/>
      <c r="W115" s="16">
        <f>ROUND(IF(D115=Table!$C$3,Y115*Table!$C$4/8,Y115*Table!$D$4/8),3)</f>
        <v>69.614999999999995</v>
      </c>
      <c r="X115" s="16">
        <f t="shared" ref="X115:X124" si="20">W115</f>
        <v>69.614999999999995</v>
      </c>
      <c r="Y115" s="16">
        <v>1.2376</v>
      </c>
      <c r="Z115" s="16">
        <v>2</v>
      </c>
      <c r="AA115" s="16" t="s">
        <v>74</v>
      </c>
      <c r="AB115" s="99">
        <v>43994</v>
      </c>
      <c r="AC115" s="99">
        <v>43980</v>
      </c>
      <c r="AD115" s="99">
        <v>43994</v>
      </c>
      <c r="AE115" s="99">
        <v>43991</v>
      </c>
      <c r="AF115" s="99">
        <v>43991</v>
      </c>
      <c r="AG115" s="99" t="s">
        <v>176</v>
      </c>
      <c r="AH115" s="163">
        <v>1</v>
      </c>
      <c r="AI115" s="163">
        <v>1</v>
      </c>
      <c r="AJ115" s="163">
        <v>1</v>
      </c>
      <c r="AK115" s="14" t="s">
        <v>150</v>
      </c>
      <c r="AL115" s="134"/>
      <c r="AM115" s="15"/>
      <c r="AN115" s="15"/>
    </row>
    <row r="116" spans="2:40" x14ac:dyDescent="0.25">
      <c r="B116" s="132">
        <f t="shared" si="19"/>
        <v>57</v>
      </c>
      <c r="C116" s="16">
        <v>20200529</v>
      </c>
      <c r="D116" s="16" t="s">
        <v>3</v>
      </c>
      <c r="E116" s="141" t="s">
        <v>871</v>
      </c>
      <c r="F116" s="98" t="s">
        <v>857</v>
      </c>
      <c r="G116" s="52" t="s">
        <v>61</v>
      </c>
      <c r="H116" s="16" t="s">
        <v>793</v>
      </c>
      <c r="I116" s="16" t="s">
        <v>873</v>
      </c>
      <c r="J116" s="16" t="s">
        <v>835</v>
      </c>
      <c r="K116" s="52" t="s">
        <v>61</v>
      </c>
      <c r="L116" s="98" t="s">
        <v>933</v>
      </c>
      <c r="M116" s="52" t="s">
        <v>61</v>
      </c>
      <c r="N116" s="16" t="s">
        <v>934</v>
      </c>
      <c r="O116" s="98" t="s">
        <v>61</v>
      </c>
      <c r="P116" s="98" t="s">
        <v>935</v>
      </c>
      <c r="Q116" s="18"/>
      <c r="R116" s="183" t="s">
        <v>95</v>
      </c>
      <c r="S116" s="16" t="s">
        <v>66</v>
      </c>
      <c r="T116" s="16"/>
      <c r="U116" s="16"/>
      <c r="V116" s="16"/>
      <c r="W116" s="16">
        <f>ROUND(IF(D116=Table!$C$3,Y116*Table!$C$4/8,Y116*Table!$D$4/8),3)</f>
        <v>69.614999999999995</v>
      </c>
      <c r="X116" s="16">
        <f t="shared" si="20"/>
        <v>69.614999999999995</v>
      </c>
      <c r="Y116" s="16">
        <v>1.2376</v>
      </c>
      <c r="Z116" s="16">
        <v>2</v>
      </c>
      <c r="AA116" s="16" t="s">
        <v>74</v>
      </c>
      <c r="AB116" s="99">
        <v>43994</v>
      </c>
      <c r="AC116" s="99">
        <v>43980</v>
      </c>
      <c r="AD116" s="99">
        <v>43994</v>
      </c>
      <c r="AE116" s="99">
        <v>43991</v>
      </c>
      <c r="AF116" s="99">
        <v>43991</v>
      </c>
      <c r="AG116" s="99" t="s">
        <v>176</v>
      </c>
      <c r="AH116" s="163">
        <v>1</v>
      </c>
      <c r="AI116" s="163">
        <v>1</v>
      </c>
      <c r="AJ116" s="163">
        <v>1</v>
      </c>
      <c r="AK116" s="14" t="s">
        <v>150</v>
      </c>
      <c r="AL116" s="134"/>
      <c r="AM116" s="15"/>
      <c r="AN116" s="15"/>
    </row>
    <row r="117" spans="2:40" x14ac:dyDescent="0.25">
      <c r="B117" s="132">
        <f t="shared" si="19"/>
        <v>58</v>
      </c>
      <c r="C117" s="16">
        <v>20200529</v>
      </c>
      <c r="D117" s="16" t="s">
        <v>3</v>
      </c>
      <c r="E117" s="141" t="s">
        <v>871</v>
      </c>
      <c r="F117" s="98" t="s">
        <v>858</v>
      </c>
      <c r="G117" s="52" t="s">
        <v>61</v>
      </c>
      <c r="H117" s="16" t="s">
        <v>828</v>
      </c>
      <c r="I117" s="16" t="s">
        <v>874</v>
      </c>
      <c r="J117" s="16" t="s">
        <v>908</v>
      </c>
      <c r="K117" s="52" t="s">
        <v>61</v>
      </c>
      <c r="L117" s="98" t="s">
        <v>933</v>
      </c>
      <c r="M117" s="52" t="s">
        <v>61</v>
      </c>
      <c r="N117" s="16" t="s">
        <v>934</v>
      </c>
      <c r="O117" s="98" t="s">
        <v>61</v>
      </c>
      <c r="P117" s="98" t="s">
        <v>935</v>
      </c>
      <c r="Q117" s="18"/>
      <c r="R117" s="183" t="s">
        <v>95</v>
      </c>
      <c r="S117" s="16" t="s">
        <v>66</v>
      </c>
      <c r="T117" s="16"/>
      <c r="U117" s="16"/>
      <c r="V117" s="16"/>
      <c r="W117" s="16">
        <f>ROUND(IF(D117=Table!$C$3,Y117*Table!$C$4/8,Y117*Table!$D$4/8),3)</f>
        <v>131.04</v>
      </c>
      <c r="X117" s="16">
        <f t="shared" si="20"/>
        <v>131.04</v>
      </c>
      <c r="Y117" s="16">
        <v>2.3296000000000001</v>
      </c>
      <c r="Z117" s="16">
        <v>2</v>
      </c>
      <c r="AA117" s="16" t="s">
        <v>74</v>
      </c>
      <c r="AB117" s="99">
        <v>43994</v>
      </c>
      <c r="AC117" s="99">
        <v>43980</v>
      </c>
      <c r="AD117" s="99">
        <v>43994</v>
      </c>
      <c r="AE117" s="99">
        <v>43991</v>
      </c>
      <c r="AF117" s="99">
        <v>43991</v>
      </c>
      <c r="AG117" s="99" t="s">
        <v>176</v>
      </c>
      <c r="AH117" s="163">
        <v>1</v>
      </c>
      <c r="AI117" s="163">
        <v>1</v>
      </c>
      <c r="AJ117" s="163">
        <v>0.16</v>
      </c>
      <c r="AK117" s="14" t="s">
        <v>150</v>
      </c>
      <c r="AL117" s="134"/>
      <c r="AM117" s="15"/>
      <c r="AN117" s="15"/>
    </row>
    <row r="118" spans="2:40" x14ac:dyDescent="0.25">
      <c r="B118" s="132">
        <f t="shared" si="19"/>
        <v>59</v>
      </c>
      <c r="C118" s="16">
        <v>20200529</v>
      </c>
      <c r="D118" s="16" t="s">
        <v>3</v>
      </c>
      <c r="E118" s="141" t="s">
        <v>871</v>
      </c>
      <c r="F118" s="98" t="s">
        <v>859</v>
      </c>
      <c r="G118" s="52" t="s">
        <v>61</v>
      </c>
      <c r="H118" s="16" t="s">
        <v>829</v>
      </c>
      <c r="I118" s="16" t="s">
        <v>875</v>
      </c>
      <c r="J118" s="16" t="s">
        <v>908</v>
      </c>
      <c r="K118" s="52" t="s">
        <v>61</v>
      </c>
      <c r="L118" s="98" t="s">
        <v>933</v>
      </c>
      <c r="M118" s="52"/>
      <c r="N118" s="16" t="s">
        <v>934</v>
      </c>
      <c r="O118" s="98" t="s">
        <v>61</v>
      </c>
      <c r="P118" s="98" t="s">
        <v>935</v>
      </c>
      <c r="Q118" s="18"/>
      <c r="R118" s="183" t="s">
        <v>95</v>
      </c>
      <c r="S118" s="16" t="s">
        <v>66</v>
      </c>
      <c r="T118" s="16"/>
      <c r="U118" s="16"/>
      <c r="V118" s="16"/>
      <c r="W118" s="16">
        <f>ROUND(IF(D118=Table!$C$3,Y118*Table!$C$4/8,Y118*Table!$D$4/8),3)</f>
        <v>131.04</v>
      </c>
      <c r="X118" s="16">
        <f t="shared" si="20"/>
        <v>131.04</v>
      </c>
      <c r="Y118" s="16">
        <v>2.3296000000000001</v>
      </c>
      <c r="Z118" s="16">
        <v>2</v>
      </c>
      <c r="AA118" s="16" t="s">
        <v>74</v>
      </c>
      <c r="AB118" s="99">
        <v>43994</v>
      </c>
      <c r="AC118" s="99">
        <v>43980</v>
      </c>
      <c r="AD118" s="99">
        <v>43994</v>
      </c>
      <c r="AE118" s="99">
        <v>43991</v>
      </c>
      <c r="AF118" s="99">
        <v>43991</v>
      </c>
      <c r="AG118" s="99" t="s">
        <v>176</v>
      </c>
      <c r="AH118" s="163">
        <v>1</v>
      </c>
      <c r="AI118" s="163">
        <v>1</v>
      </c>
      <c r="AJ118" s="163">
        <v>0</v>
      </c>
      <c r="AK118" s="14" t="s">
        <v>150</v>
      </c>
      <c r="AL118" s="134"/>
      <c r="AM118" s="15"/>
      <c r="AN118" s="15"/>
    </row>
    <row r="119" spans="2:40" x14ac:dyDescent="0.25">
      <c r="B119" s="132">
        <f t="shared" si="19"/>
        <v>60</v>
      </c>
      <c r="C119" s="16">
        <v>20200529</v>
      </c>
      <c r="D119" s="16" t="s">
        <v>3</v>
      </c>
      <c r="E119" s="141" t="s">
        <v>871</v>
      </c>
      <c r="F119" s="98" t="s">
        <v>859</v>
      </c>
      <c r="G119" s="52" t="s">
        <v>61</v>
      </c>
      <c r="H119" s="16" t="s">
        <v>830</v>
      </c>
      <c r="I119" s="16" t="s">
        <v>876</v>
      </c>
      <c r="J119" s="16" t="s">
        <v>908</v>
      </c>
      <c r="K119" s="52" t="s">
        <v>61</v>
      </c>
      <c r="L119" s="98" t="s">
        <v>933</v>
      </c>
      <c r="M119" s="52"/>
      <c r="N119" s="16" t="s">
        <v>934</v>
      </c>
      <c r="O119" s="98" t="s">
        <v>61</v>
      </c>
      <c r="P119" s="98" t="s">
        <v>935</v>
      </c>
      <c r="Q119" s="18"/>
      <c r="R119" s="183" t="s">
        <v>95</v>
      </c>
      <c r="S119" s="16" t="s">
        <v>66</v>
      </c>
      <c r="T119" s="16"/>
      <c r="U119" s="16"/>
      <c r="V119" s="16"/>
      <c r="W119" s="16">
        <f>ROUND(IF(D119=Table!$C$3,Y119*Table!$C$4/8,Y119*Table!$D$4/8),3)</f>
        <v>196.56</v>
      </c>
      <c r="X119" s="16">
        <f t="shared" si="20"/>
        <v>196.56</v>
      </c>
      <c r="Y119" s="16">
        <v>3.4943999999999997</v>
      </c>
      <c r="Z119" s="16">
        <v>2</v>
      </c>
      <c r="AA119" s="16" t="s">
        <v>74</v>
      </c>
      <c r="AB119" s="99">
        <v>43994</v>
      </c>
      <c r="AC119" s="99">
        <v>43980</v>
      </c>
      <c r="AD119" s="99">
        <v>43994</v>
      </c>
      <c r="AE119" s="99">
        <v>43991</v>
      </c>
      <c r="AF119" s="99">
        <v>43991</v>
      </c>
      <c r="AG119" s="99" t="s">
        <v>176</v>
      </c>
      <c r="AH119" s="163">
        <v>1</v>
      </c>
      <c r="AI119" s="163">
        <v>1</v>
      </c>
      <c r="AJ119" s="163">
        <v>0.5</v>
      </c>
      <c r="AK119" s="14" t="s">
        <v>150</v>
      </c>
      <c r="AL119" s="134"/>
      <c r="AM119" s="15"/>
      <c r="AN119" s="15"/>
    </row>
    <row r="120" spans="2:40" x14ac:dyDescent="0.25">
      <c r="B120" s="132">
        <f t="shared" si="19"/>
        <v>61</v>
      </c>
      <c r="C120" s="16">
        <v>20200529</v>
      </c>
      <c r="D120" s="16" t="s">
        <v>3</v>
      </c>
      <c r="E120" s="141" t="s">
        <v>871</v>
      </c>
      <c r="F120" s="98" t="s">
        <v>859</v>
      </c>
      <c r="G120" s="52" t="s">
        <v>61</v>
      </c>
      <c r="H120" s="16" t="s">
        <v>831</v>
      </c>
      <c r="I120" s="16" t="s">
        <v>877</v>
      </c>
      <c r="J120" s="16" t="s">
        <v>908</v>
      </c>
      <c r="K120" s="52" t="s">
        <v>61</v>
      </c>
      <c r="L120" s="98" t="s">
        <v>933</v>
      </c>
      <c r="M120" s="52"/>
      <c r="N120" s="16" t="s">
        <v>934</v>
      </c>
      <c r="O120" s="98" t="s">
        <v>61</v>
      </c>
      <c r="P120" s="98" t="s">
        <v>935</v>
      </c>
      <c r="Q120" s="18"/>
      <c r="R120" s="183" t="s">
        <v>95</v>
      </c>
      <c r="S120" s="16" t="s">
        <v>66</v>
      </c>
      <c r="T120" s="16"/>
      <c r="U120" s="16"/>
      <c r="V120" s="16"/>
      <c r="W120" s="16">
        <f>ROUND(IF(D120=Table!$C$3,Y120*Table!$C$4/8,Y120*Table!$D$4/8),3)</f>
        <v>196.56</v>
      </c>
      <c r="X120" s="16">
        <f t="shared" si="20"/>
        <v>196.56</v>
      </c>
      <c r="Y120" s="16">
        <v>3.4943999999999997</v>
      </c>
      <c r="Z120" s="16">
        <v>2</v>
      </c>
      <c r="AA120" s="16" t="s">
        <v>74</v>
      </c>
      <c r="AB120" s="99">
        <v>43994</v>
      </c>
      <c r="AC120" s="99">
        <v>43980</v>
      </c>
      <c r="AD120" s="99">
        <v>43994</v>
      </c>
      <c r="AE120" s="99">
        <v>43991</v>
      </c>
      <c r="AF120" s="99">
        <v>43991</v>
      </c>
      <c r="AG120" s="99" t="s">
        <v>176</v>
      </c>
      <c r="AH120" s="163">
        <v>1</v>
      </c>
      <c r="AI120" s="163">
        <v>1</v>
      </c>
      <c r="AJ120" s="163">
        <v>0.36</v>
      </c>
      <c r="AK120" s="14" t="s">
        <v>150</v>
      </c>
      <c r="AL120" s="134"/>
      <c r="AM120" s="15"/>
      <c r="AN120" s="15"/>
    </row>
    <row r="121" spans="2:40" x14ac:dyDescent="0.25">
      <c r="B121" s="132">
        <f t="shared" si="19"/>
        <v>62</v>
      </c>
      <c r="C121" s="16">
        <v>20200529</v>
      </c>
      <c r="D121" s="16" t="s">
        <v>3</v>
      </c>
      <c r="E121" s="141" t="s">
        <v>871</v>
      </c>
      <c r="F121" s="98" t="s">
        <v>859</v>
      </c>
      <c r="G121" s="52" t="s">
        <v>61</v>
      </c>
      <c r="H121" s="16" t="s">
        <v>799</v>
      </c>
      <c r="I121" s="16" t="s">
        <v>878</v>
      </c>
      <c r="J121" s="16" t="s">
        <v>908</v>
      </c>
      <c r="K121" s="52" t="s">
        <v>61</v>
      </c>
      <c r="L121" s="98" t="s">
        <v>933</v>
      </c>
      <c r="M121" s="52"/>
      <c r="N121" s="16" t="s">
        <v>934</v>
      </c>
      <c r="O121" s="98" t="s">
        <v>61</v>
      </c>
      <c r="P121" s="98" t="s">
        <v>935</v>
      </c>
      <c r="Q121" s="18"/>
      <c r="R121" s="183" t="s">
        <v>95</v>
      </c>
      <c r="S121" s="16" t="s">
        <v>66</v>
      </c>
      <c r="T121" s="16"/>
      <c r="U121" s="16"/>
      <c r="V121" s="16"/>
      <c r="W121" s="16">
        <f>ROUND(IF(D121=Table!$C$3,Y121*Table!$C$4/8,Y121*Table!$D$4/8),3)</f>
        <v>196.56</v>
      </c>
      <c r="X121" s="16">
        <f t="shared" si="20"/>
        <v>196.56</v>
      </c>
      <c r="Y121" s="16">
        <v>3.4943999999999997</v>
      </c>
      <c r="Z121" s="16">
        <v>2</v>
      </c>
      <c r="AA121" s="16" t="s">
        <v>74</v>
      </c>
      <c r="AB121" s="99">
        <v>43994</v>
      </c>
      <c r="AC121" s="99">
        <v>43980</v>
      </c>
      <c r="AD121" s="99">
        <v>43994</v>
      </c>
      <c r="AE121" s="99">
        <v>43991</v>
      </c>
      <c r="AF121" s="99">
        <v>43991</v>
      </c>
      <c r="AG121" s="99" t="s">
        <v>176</v>
      </c>
      <c r="AH121" s="163">
        <v>1</v>
      </c>
      <c r="AI121" s="163">
        <v>1</v>
      </c>
      <c r="AJ121" s="163">
        <v>0.5</v>
      </c>
      <c r="AK121" s="14" t="s">
        <v>150</v>
      </c>
      <c r="AL121" s="134"/>
      <c r="AM121" s="15"/>
      <c r="AN121" s="15"/>
    </row>
    <row r="122" spans="2:40" x14ac:dyDescent="0.25">
      <c r="B122" s="132">
        <f t="shared" si="19"/>
        <v>63</v>
      </c>
      <c r="C122" s="16">
        <v>20200529</v>
      </c>
      <c r="D122" s="16" t="s">
        <v>3</v>
      </c>
      <c r="E122" s="141" t="s">
        <v>871</v>
      </c>
      <c r="F122" s="98" t="s">
        <v>859</v>
      </c>
      <c r="G122" s="52" t="s">
        <v>61</v>
      </c>
      <c r="H122" s="16" t="s">
        <v>910</v>
      </c>
      <c r="I122" s="16" t="s">
        <v>879</v>
      </c>
      <c r="J122" s="16" t="s">
        <v>908</v>
      </c>
      <c r="K122" s="52" t="s">
        <v>61</v>
      </c>
      <c r="L122" s="98" t="s">
        <v>933</v>
      </c>
      <c r="M122" s="52"/>
      <c r="N122" s="16" t="s">
        <v>934</v>
      </c>
      <c r="O122" s="98" t="s">
        <v>61</v>
      </c>
      <c r="P122" s="98" t="s">
        <v>935</v>
      </c>
      <c r="Q122" s="18"/>
      <c r="R122" s="183" t="s">
        <v>95</v>
      </c>
      <c r="S122" s="16" t="s">
        <v>66</v>
      </c>
      <c r="T122" s="16"/>
      <c r="U122" s="16"/>
      <c r="V122" s="16"/>
      <c r="W122" s="16">
        <f>ROUND(IF(D122=Table!$C$3,Y122*Table!$C$4/8,Y122*Table!$D$4/8),3)</f>
        <v>61.424999999999997</v>
      </c>
      <c r="X122" s="16">
        <f t="shared" si="20"/>
        <v>61.424999999999997</v>
      </c>
      <c r="Y122" s="16">
        <v>1.0919999999999999</v>
      </c>
      <c r="Z122" s="16">
        <v>2</v>
      </c>
      <c r="AA122" s="16" t="s">
        <v>74</v>
      </c>
      <c r="AB122" s="99">
        <v>43994</v>
      </c>
      <c r="AC122" s="99">
        <v>43980</v>
      </c>
      <c r="AD122" s="99">
        <v>43994</v>
      </c>
      <c r="AE122" s="99">
        <v>43991</v>
      </c>
      <c r="AF122" s="99">
        <v>43991</v>
      </c>
      <c r="AG122" s="99" t="s">
        <v>176</v>
      </c>
      <c r="AH122" s="163">
        <v>1</v>
      </c>
      <c r="AI122" s="163">
        <v>1</v>
      </c>
      <c r="AJ122" s="163">
        <v>1</v>
      </c>
      <c r="AK122" s="14" t="s">
        <v>150</v>
      </c>
      <c r="AL122" s="134"/>
      <c r="AM122" s="15"/>
      <c r="AN122" s="15"/>
    </row>
    <row r="123" spans="2:40" x14ac:dyDescent="0.25">
      <c r="B123" s="132">
        <f t="shared" si="19"/>
        <v>64</v>
      </c>
      <c r="C123" s="16">
        <v>20200529</v>
      </c>
      <c r="D123" s="16" t="s">
        <v>3</v>
      </c>
      <c r="E123" s="141" t="s">
        <v>871</v>
      </c>
      <c r="F123" s="98" t="s">
        <v>860</v>
      </c>
      <c r="G123" s="52" t="s">
        <v>61</v>
      </c>
      <c r="H123" s="16" t="s">
        <v>911</v>
      </c>
      <c r="I123" s="16" t="s">
        <v>880</v>
      </c>
      <c r="J123" s="16" t="s">
        <v>908</v>
      </c>
      <c r="K123" s="52" t="s">
        <v>61</v>
      </c>
      <c r="L123" s="98" t="s">
        <v>933</v>
      </c>
      <c r="M123" s="52"/>
      <c r="N123" s="16" t="s">
        <v>934</v>
      </c>
      <c r="O123" s="98" t="s">
        <v>61</v>
      </c>
      <c r="P123" s="98" t="s">
        <v>935</v>
      </c>
      <c r="Q123" s="18"/>
      <c r="R123" s="183" t="s">
        <v>95</v>
      </c>
      <c r="S123" s="16" t="s">
        <v>66</v>
      </c>
      <c r="T123" s="16"/>
      <c r="U123" s="16"/>
      <c r="V123" s="16"/>
      <c r="W123" s="16">
        <f>ROUND(IF(D123=Table!$C$3,Y123*Table!$C$4/8,Y123*Table!$D$4/8),3)</f>
        <v>315</v>
      </c>
      <c r="X123" s="16">
        <f t="shared" si="20"/>
        <v>315</v>
      </c>
      <c r="Y123" s="16">
        <v>5.6</v>
      </c>
      <c r="Z123" s="16">
        <v>2</v>
      </c>
      <c r="AA123" s="16" t="s">
        <v>74</v>
      </c>
      <c r="AB123" s="99">
        <v>43994</v>
      </c>
      <c r="AC123" s="99">
        <v>43980</v>
      </c>
      <c r="AD123" s="99">
        <v>43994</v>
      </c>
      <c r="AE123" s="99">
        <v>43991</v>
      </c>
      <c r="AF123" s="99">
        <v>43991</v>
      </c>
      <c r="AG123" s="99" t="s">
        <v>176</v>
      </c>
      <c r="AH123" s="163">
        <v>1</v>
      </c>
      <c r="AI123" s="163">
        <v>1</v>
      </c>
      <c r="AJ123" s="163">
        <v>0.5</v>
      </c>
      <c r="AK123" s="14" t="s">
        <v>150</v>
      </c>
      <c r="AL123" s="134"/>
      <c r="AM123" s="15"/>
      <c r="AN123" s="15"/>
    </row>
    <row r="124" spans="2:40" x14ac:dyDescent="0.25">
      <c r="B124" s="132">
        <f t="shared" si="19"/>
        <v>65</v>
      </c>
      <c r="C124" s="16">
        <v>20200529</v>
      </c>
      <c r="D124" s="16" t="s">
        <v>3</v>
      </c>
      <c r="E124" s="141" t="s">
        <v>871</v>
      </c>
      <c r="F124" s="98" t="s">
        <v>861</v>
      </c>
      <c r="G124" s="52" t="s">
        <v>61</v>
      </c>
      <c r="H124" s="16" t="s">
        <v>733</v>
      </c>
      <c r="I124" s="16" t="s">
        <v>881</v>
      </c>
      <c r="J124" s="16" t="s">
        <v>908</v>
      </c>
      <c r="K124" s="52" t="s">
        <v>61</v>
      </c>
      <c r="L124" s="98" t="s">
        <v>933</v>
      </c>
      <c r="M124" s="52"/>
      <c r="N124" s="16" t="s">
        <v>934</v>
      </c>
      <c r="O124" s="98" t="s">
        <v>61</v>
      </c>
      <c r="P124" s="98" t="s">
        <v>935</v>
      </c>
      <c r="Q124" s="18"/>
      <c r="R124" s="183" t="s">
        <v>95</v>
      </c>
      <c r="S124" s="16" t="s">
        <v>66</v>
      </c>
      <c r="T124" s="16"/>
      <c r="U124" s="16"/>
      <c r="V124" s="16"/>
      <c r="W124" s="16">
        <f>ROUND(IF(D124=Table!$C$3,Y124*Table!$C$4/8,Y124*Table!$D$4/8),3)</f>
        <v>121.212</v>
      </c>
      <c r="X124" s="16">
        <f t="shared" si="20"/>
        <v>121.212</v>
      </c>
      <c r="Y124" s="16">
        <v>2.1548799999999999</v>
      </c>
      <c r="Z124" s="16">
        <v>2</v>
      </c>
      <c r="AA124" s="16" t="s">
        <v>74</v>
      </c>
      <c r="AB124" s="99">
        <v>43994</v>
      </c>
      <c r="AC124" s="99">
        <v>43980</v>
      </c>
      <c r="AD124" s="99">
        <v>43994</v>
      </c>
      <c r="AE124" s="99">
        <v>43991</v>
      </c>
      <c r="AF124" s="99">
        <v>43991</v>
      </c>
      <c r="AG124" s="99" t="s">
        <v>176</v>
      </c>
      <c r="AH124" s="163">
        <v>1</v>
      </c>
      <c r="AI124" s="163">
        <v>1</v>
      </c>
      <c r="AJ124" s="163">
        <v>0.2</v>
      </c>
      <c r="AK124" s="14" t="s">
        <v>150</v>
      </c>
      <c r="AL124" s="134"/>
      <c r="AM124" s="15"/>
      <c r="AN124" s="15"/>
    </row>
    <row r="125" spans="2:40" x14ac:dyDescent="0.25">
      <c r="B125" s="132">
        <f t="shared" si="19"/>
        <v>66</v>
      </c>
      <c r="C125" s="16">
        <v>20200529</v>
      </c>
      <c r="D125" s="16" t="s">
        <v>3</v>
      </c>
      <c r="E125" s="141" t="s">
        <v>871</v>
      </c>
      <c r="F125" s="98" t="s">
        <v>862</v>
      </c>
      <c r="G125" s="52" t="s">
        <v>61</v>
      </c>
      <c r="H125" s="16" t="s">
        <v>832</v>
      </c>
      <c r="I125" s="16" t="s">
        <v>882</v>
      </c>
      <c r="J125" s="16" t="s">
        <v>908</v>
      </c>
      <c r="K125" s="52" t="s">
        <v>61</v>
      </c>
      <c r="L125" s="98" t="s">
        <v>933</v>
      </c>
      <c r="M125" s="52"/>
      <c r="N125" s="16" t="s">
        <v>934</v>
      </c>
      <c r="O125" s="98" t="s">
        <v>61</v>
      </c>
      <c r="P125" s="98" t="s">
        <v>935</v>
      </c>
      <c r="Q125" s="18"/>
      <c r="R125" s="213" t="s">
        <v>94</v>
      </c>
      <c r="S125" s="16" t="s">
        <v>64</v>
      </c>
      <c r="T125" s="16"/>
      <c r="U125" s="16"/>
      <c r="V125" s="16"/>
      <c r="W125" s="16">
        <f>ROUND(IF(D125=Table!$C$3,Y125*Table!$C$4/8,Y125*Table!$D$4/8),3)</f>
        <v>247.5</v>
      </c>
      <c r="X125" s="16">
        <f t="shared" ref="X125:X137" si="21">W125</f>
        <v>247.5</v>
      </c>
      <c r="Y125" s="16">
        <v>4.4000000000000004</v>
      </c>
      <c r="Z125" s="16">
        <v>2</v>
      </c>
      <c r="AA125" s="16" t="s">
        <v>74</v>
      </c>
      <c r="AB125" s="99">
        <v>43994</v>
      </c>
      <c r="AC125" s="99">
        <v>43980</v>
      </c>
      <c r="AD125" s="99">
        <v>43994</v>
      </c>
      <c r="AE125" s="99">
        <v>43985</v>
      </c>
      <c r="AF125" s="99">
        <v>43985</v>
      </c>
      <c r="AG125" s="99" t="s">
        <v>176</v>
      </c>
      <c r="AH125" s="163">
        <v>1</v>
      </c>
      <c r="AI125" s="163">
        <v>1</v>
      </c>
      <c r="AJ125" s="163">
        <v>0.5</v>
      </c>
      <c r="AK125" s="14" t="s">
        <v>150</v>
      </c>
      <c r="AL125" s="134"/>
      <c r="AM125" s="15"/>
      <c r="AN125" s="15"/>
    </row>
    <row r="126" spans="2:40" x14ac:dyDescent="0.25">
      <c r="B126" s="132">
        <f t="shared" si="19"/>
        <v>67</v>
      </c>
      <c r="C126" s="16">
        <v>20200529</v>
      </c>
      <c r="D126" s="16" t="s">
        <v>3</v>
      </c>
      <c r="E126" s="141" t="s">
        <v>871</v>
      </c>
      <c r="F126" s="98" t="s">
        <v>862</v>
      </c>
      <c r="G126" s="52" t="s">
        <v>61</v>
      </c>
      <c r="H126" s="16" t="s">
        <v>912</v>
      </c>
      <c r="I126" s="16" t="s">
        <v>883</v>
      </c>
      <c r="J126" s="16" t="s">
        <v>908</v>
      </c>
      <c r="K126" s="52" t="s">
        <v>61</v>
      </c>
      <c r="L126" s="98" t="s">
        <v>933</v>
      </c>
      <c r="M126" s="52"/>
      <c r="N126" s="16" t="s">
        <v>934</v>
      </c>
      <c r="O126" s="98" t="s">
        <v>61</v>
      </c>
      <c r="P126" s="98" t="s">
        <v>935</v>
      </c>
      <c r="Q126" s="18"/>
      <c r="R126" s="213" t="s">
        <v>94</v>
      </c>
      <c r="S126" s="16" t="s">
        <v>64</v>
      </c>
      <c r="T126" s="16"/>
      <c r="U126" s="16"/>
      <c r="V126" s="16"/>
      <c r="W126" s="16">
        <f>ROUND(IF(D126=Table!$C$3,Y126*Table!$C$4/8,Y126*Table!$D$4/8),3)</f>
        <v>131.04</v>
      </c>
      <c r="X126" s="16">
        <f t="shared" si="21"/>
        <v>131.04</v>
      </c>
      <c r="Y126" s="16">
        <v>2.3296000000000001</v>
      </c>
      <c r="Z126" s="16">
        <v>2</v>
      </c>
      <c r="AA126" s="16" t="s">
        <v>74</v>
      </c>
      <c r="AB126" s="99">
        <v>43994</v>
      </c>
      <c r="AC126" s="99">
        <v>43980</v>
      </c>
      <c r="AD126" s="99">
        <v>43994</v>
      </c>
      <c r="AE126" s="99">
        <v>43985</v>
      </c>
      <c r="AF126" s="99">
        <v>43985</v>
      </c>
      <c r="AG126" s="99" t="s">
        <v>177</v>
      </c>
      <c r="AH126" s="163">
        <v>0.98</v>
      </c>
      <c r="AI126" s="163">
        <v>0.97</v>
      </c>
      <c r="AJ126" s="163">
        <v>0.56999999999999995</v>
      </c>
      <c r="AK126" s="14" t="s">
        <v>150</v>
      </c>
      <c r="AL126" s="134" t="s">
        <v>1187</v>
      </c>
      <c r="AM126" s="15"/>
      <c r="AN126" s="15"/>
    </row>
    <row r="127" spans="2:40" x14ac:dyDescent="0.25">
      <c r="B127" s="132">
        <f t="shared" si="19"/>
        <v>68</v>
      </c>
      <c r="C127" s="16">
        <v>20200529</v>
      </c>
      <c r="D127" s="16" t="s">
        <v>3</v>
      </c>
      <c r="E127" s="141" t="s">
        <v>871</v>
      </c>
      <c r="F127" s="98" t="s">
        <v>863</v>
      </c>
      <c r="G127" s="52" t="s">
        <v>61</v>
      </c>
      <c r="H127" s="16" t="s">
        <v>833</v>
      </c>
      <c r="I127" s="16" t="s">
        <v>884</v>
      </c>
      <c r="J127" s="16" t="s">
        <v>908</v>
      </c>
      <c r="K127" s="52" t="s">
        <v>61</v>
      </c>
      <c r="L127" s="98" t="s">
        <v>933</v>
      </c>
      <c r="M127" s="52"/>
      <c r="N127" s="16" t="s">
        <v>934</v>
      </c>
      <c r="O127" s="98" t="s">
        <v>61</v>
      </c>
      <c r="P127" s="98" t="s">
        <v>935</v>
      </c>
      <c r="Q127" s="18"/>
      <c r="R127" s="213" t="s">
        <v>94</v>
      </c>
      <c r="S127" s="16" t="s">
        <v>64</v>
      </c>
      <c r="T127" s="16"/>
      <c r="U127" s="16"/>
      <c r="V127" s="16"/>
      <c r="W127" s="16">
        <f>ROUND(IF(D127=Table!$C$3,Y127*Table!$C$4/8,Y127*Table!$D$4/8),3)</f>
        <v>382.5</v>
      </c>
      <c r="X127" s="16">
        <f t="shared" si="21"/>
        <v>382.5</v>
      </c>
      <c r="Y127" s="16">
        <v>6.8</v>
      </c>
      <c r="Z127" s="16">
        <v>2</v>
      </c>
      <c r="AA127" s="16" t="s">
        <v>74</v>
      </c>
      <c r="AB127" s="99">
        <v>43994</v>
      </c>
      <c r="AC127" s="99">
        <v>43980</v>
      </c>
      <c r="AD127" s="99">
        <v>43994</v>
      </c>
      <c r="AE127" s="99">
        <v>43986</v>
      </c>
      <c r="AF127" s="99">
        <v>43986</v>
      </c>
      <c r="AG127" s="99" t="s">
        <v>176</v>
      </c>
      <c r="AH127" s="163">
        <v>1</v>
      </c>
      <c r="AI127" s="163">
        <v>1</v>
      </c>
      <c r="AJ127" s="163">
        <v>0.6</v>
      </c>
      <c r="AK127" s="14" t="s">
        <v>150</v>
      </c>
      <c r="AL127" s="134"/>
      <c r="AM127" s="15"/>
      <c r="AN127" s="15"/>
    </row>
    <row r="128" spans="2:40" x14ac:dyDescent="0.25">
      <c r="B128" s="132">
        <f t="shared" si="19"/>
        <v>69</v>
      </c>
      <c r="C128" s="16">
        <v>20200529</v>
      </c>
      <c r="D128" s="16" t="s">
        <v>3</v>
      </c>
      <c r="E128" s="141" t="s">
        <v>871</v>
      </c>
      <c r="F128" s="98" t="s">
        <v>863</v>
      </c>
      <c r="G128" s="52" t="s">
        <v>61</v>
      </c>
      <c r="H128" s="16" t="s">
        <v>734</v>
      </c>
      <c r="I128" s="16" t="s">
        <v>885</v>
      </c>
      <c r="J128" s="16" t="s">
        <v>908</v>
      </c>
      <c r="K128" s="52" t="s">
        <v>61</v>
      </c>
      <c r="L128" s="98" t="s">
        <v>933</v>
      </c>
      <c r="M128" s="52"/>
      <c r="N128" s="16" t="s">
        <v>934</v>
      </c>
      <c r="O128" s="98" t="s">
        <v>61</v>
      </c>
      <c r="P128" s="98" t="s">
        <v>935</v>
      </c>
      <c r="Q128" s="18"/>
      <c r="R128" s="213" t="s">
        <v>94</v>
      </c>
      <c r="S128" s="16" t="s">
        <v>64</v>
      </c>
      <c r="T128" s="16"/>
      <c r="U128" s="16"/>
      <c r="V128" s="16"/>
      <c r="W128" s="16">
        <f>ROUND(IF(D128=Table!$C$3,Y128*Table!$C$4/8,Y128*Table!$D$4/8),3)</f>
        <v>382.5</v>
      </c>
      <c r="X128" s="16">
        <f t="shared" si="21"/>
        <v>382.5</v>
      </c>
      <c r="Y128" s="16">
        <v>6.8</v>
      </c>
      <c r="Z128" s="16">
        <v>2</v>
      </c>
      <c r="AA128" s="16" t="s">
        <v>74</v>
      </c>
      <c r="AB128" s="99">
        <v>43994</v>
      </c>
      <c r="AC128" s="99">
        <v>43980</v>
      </c>
      <c r="AD128" s="99">
        <v>43994</v>
      </c>
      <c r="AE128" s="99">
        <v>43986</v>
      </c>
      <c r="AF128" s="99">
        <v>43986</v>
      </c>
      <c r="AG128" s="99" t="s">
        <v>177</v>
      </c>
      <c r="AH128" s="163">
        <v>0.97</v>
      </c>
      <c r="AI128" s="163">
        <v>0.94</v>
      </c>
      <c r="AJ128" s="163">
        <v>0.68</v>
      </c>
      <c r="AK128" s="14" t="s">
        <v>150</v>
      </c>
      <c r="AL128" s="134" t="s">
        <v>1241</v>
      </c>
      <c r="AM128" s="15"/>
      <c r="AN128" s="15"/>
    </row>
    <row r="129" spans="2:40" x14ac:dyDescent="0.25">
      <c r="B129" s="132">
        <f t="shared" si="19"/>
        <v>70</v>
      </c>
      <c r="C129" s="16">
        <v>20200529</v>
      </c>
      <c r="D129" s="16" t="s">
        <v>3</v>
      </c>
      <c r="E129" s="141" t="s">
        <v>871</v>
      </c>
      <c r="F129" s="98" t="s">
        <v>863</v>
      </c>
      <c r="G129" s="52" t="s">
        <v>61</v>
      </c>
      <c r="H129" s="16" t="s">
        <v>913</v>
      </c>
      <c r="I129" s="16" t="s">
        <v>886</v>
      </c>
      <c r="J129" s="16" t="s">
        <v>908</v>
      </c>
      <c r="K129" s="52" t="s">
        <v>61</v>
      </c>
      <c r="L129" s="98" t="s">
        <v>933</v>
      </c>
      <c r="M129" s="52"/>
      <c r="N129" s="16" t="s">
        <v>934</v>
      </c>
      <c r="O129" s="98" t="s">
        <v>61</v>
      </c>
      <c r="P129" s="98" t="s">
        <v>935</v>
      </c>
      <c r="Q129" s="18"/>
      <c r="R129" s="213" t="s">
        <v>94</v>
      </c>
      <c r="S129" s="16" t="s">
        <v>64</v>
      </c>
      <c r="T129" s="16"/>
      <c r="U129" s="16"/>
      <c r="V129" s="16"/>
      <c r="W129" s="16">
        <f>ROUND(IF(D129=Table!$C$3,Y129*Table!$C$4/8,Y129*Table!$D$4/8),3)</f>
        <v>315</v>
      </c>
      <c r="X129" s="16">
        <f t="shared" si="21"/>
        <v>315</v>
      </c>
      <c r="Y129" s="16">
        <v>5.6</v>
      </c>
      <c r="Z129" s="16">
        <v>2</v>
      </c>
      <c r="AA129" s="16" t="s">
        <v>74</v>
      </c>
      <c r="AB129" s="99">
        <v>43994</v>
      </c>
      <c r="AC129" s="99">
        <v>43980</v>
      </c>
      <c r="AD129" s="99">
        <v>43994</v>
      </c>
      <c r="AE129" s="99">
        <v>43986</v>
      </c>
      <c r="AF129" s="99">
        <v>43986</v>
      </c>
      <c r="AG129" s="99" t="s">
        <v>176</v>
      </c>
      <c r="AH129" s="163">
        <v>1</v>
      </c>
      <c r="AI129" s="163">
        <v>1</v>
      </c>
      <c r="AJ129" s="163">
        <v>0.5</v>
      </c>
      <c r="AK129" s="14" t="s">
        <v>150</v>
      </c>
      <c r="AL129" s="134"/>
      <c r="AM129" s="15"/>
      <c r="AN129" s="15"/>
    </row>
    <row r="130" spans="2:40" x14ac:dyDescent="0.25">
      <c r="B130" s="132">
        <f t="shared" si="19"/>
        <v>71</v>
      </c>
      <c r="C130" s="16">
        <v>20200529</v>
      </c>
      <c r="D130" s="16" t="s">
        <v>3</v>
      </c>
      <c r="E130" s="141" t="s">
        <v>871</v>
      </c>
      <c r="F130" s="98" t="s">
        <v>863</v>
      </c>
      <c r="G130" s="52" t="s">
        <v>61</v>
      </c>
      <c r="H130" s="16" t="s">
        <v>802</v>
      </c>
      <c r="I130" s="16" t="s">
        <v>887</v>
      </c>
      <c r="J130" s="16" t="s">
        <v>908</v>
      </c>
      <c r="K130" s="52" t="s">
        <v>61</v>
      </c>
      <c r="L130" s="98" t="s">
        <v>933</v>
      </c>
      <c r="M130" s="52"/>
      <c r="N130" s="16" t="s">
        <v>934</v>
      </c>
      <c r="O130" s="98" t="s">
        <v>61</v>
      </c>
      <c r="P130" s="98" t="s">
        <v>935</v>
      </c>
      <c r="Q130" s="18"/>
      <c r="R130" s="213" t="s">
        <v>94</v>
      </c>
      <c r="S130" s="16" t="s">
        <v>64</v>
      </c>
      <c r="T130" s="16"/>
      <c r="U130" s="16"/>
      <c r="V130" s="16"/>
      <c r="W130" s="16">
        <f>ROUND(IF(D130=Table!$C$3,Y130*Table!$C$4/8,Y130*Table!$D$4/8),3)</f>
        <v>292.5</v>
      </c>
      <c r="X130" s="16">
        <f t="shared" si="21"/>
        <v>292.5</v>
      </c>
      <c r="Y130" s="16">
        <v>5.2</v>
      </c>
      <c r="Z130" s="16">
        <v>2</v>
      </c>
      <c r="AA130" s="16" t="s">
        <v>74</v>
      </c>
      <c r="AB130" s="99">
        <v>43994</v>
      </c>
      <c r="AC130" s="99">
        <v>43980</v>
      </c>
      <c r="AD130" s="99">
        <v>43994</v>
      </c>
      <c r="AE130" s="99">
        <v>43986</v>
      </c>
      <c r="AF130" s="99">
        <v>43986</v>
      </c>
      <c r="AG130" s="99" t="s">
        <v>176</v>
      </c>
      <c r="AH130" s="163">
        <v>1</v>
      </c>
      <c r="AI130" s="163">
        <v>1</v>
      </c>
      <c r="AJ130" s="163">
        <v>0.5</v>
      </c>
      <c r="AK130" s="14" t="s">
        <v>150</v>
      </c>
      <c r="AL130" s="134"/>
      <c r="AM130" s="15"/>
      <c r="AN130" s="15"/>
    </row>
    <row r="131" spans="2:40" x14ac:dyDescent="0.25">
      <c r="B131" s="132">
        <f t="shared" si="19"/>
        <v>72</v>
      </c>
      <c r="C131" s="16">
        <v>20200529</v>
      </c>
      <c r="D131" s="16" t="s">
        <v>3</v>
      </c>
      <c r="E131" s="141" t="s">
        <v>871</v>
      </c>
      <c r="F131" s="98" t="s">
        <v>863</v>
      </c>
      <c r="G131" s="52" t="s">
        <v>61</v>
      </c>
      <c r="H131" s="16" t="s">
        <v>803</v>
      </c>
      <c r="I131" s="16" t="s">
        <v>888</v>
      </c>
      <c r="J131" s="16" t="s">
        <v>908</v>
      </c>
      <c r="K131" s="52" t="s">
        <v>61</v>
      </c>
      <c r="L131" s="98" t="s">
        <v>933</v>
      </c>
      <c r="M131" s="52"/>
      <c r="N131" s="16" t="s">
        <v>934</v>
      </c>
      <c r="O131" s="98" t="s">
        <v>61</v>
      </c>
      <c r="P131" s="98" t="s">
        <v>935</v>
      </c>
      <c r="Q131" s="18"/>
      <c r="R131" s="213" t="s">
        <v>94</v>
      </c>
      <c r="S131" s="16" t="s">
        <v>64</v>
      </c>
      <c r="T131" s="16"/>
      <c r="U131" s="16"/>
      <c r="V131" s="16"/>
      <c r="W131" s="16">
        <f>ROUND(IF(D131=Table!$C$3,Y131*Table!$C$4/8,Y131*Table!$D$4/8),3)</f>
        <v>292.5</v>
      </c>
      <c r="X131" s="16">
        <f t="shared" si="21"/>
        <v>292.5</v>
      </c>
      <c r="Y131" s="16">
        <v>5.2</v>
      </c>
      <c r="Z131" s="16">
        <v>2</v>
      </c>
      <c r="AA131" s="16" t="s">
        <v>74</v>
      </c>
      <c r="AB131" s="99">
        <v>43994</v>
      </c>
      <c r="AC131" s="99">
        <v>43980</v>
      </c>
      <c r="AD131" s="99">
        <v>43994</v>
      </c>
      <c r="AE131" s="99">
        <v>43986</v>
      </c>
      <c r="AF131" s="99">
        <v>43986</v>
      </c>
      <c r="AG131" s="99" t="s">
        <v>176</v>
      </c>
      <c r="AH131" s="163">
        <v>1</v>
      </c>
      <c r="AI131" s="163">
        <v>1</v>
      </c>
      <c r="AJ131" s="163">
        <v>0.3</v>
      </c>
      <c r="AK131" s="14" t="s">
        <v>150</v>
      </c>
      <c r="AL131" s="134"/>
      <c r="AM131" s="15"/>
      <c r="AN131" s="15"/>
    </row>
    <row r="132" spans="2:40" x14ac:dyDescent="0.25">
      <c r="B132" s="132">
        <f t="shared" si="19"/>
        <v>73</v>
      </c>
      <c r="C132" s="16">
        <v>20200529</v>
      </c>
      <c r="D132" s="16" t="s">
        <v>3</v>
      </c>
      <c r="E132" s="141" t="s">
        <v>871</v>
      </c>
      <c r="F132" s="98" t="s">
        <v>864</v>
      </c>
      <c r="G132" s="52" t="s">
        <v>61</v>
      </c>
      <c r="H132" s="16" t="s">
        <v>804</v>
      </c>
      <c r="I132" s="16" t="s">
        <v>889</v>
      </c>
      <c r="J132" s="16" t="s">
        <v>908</v>
      </c>
      <c r="K132" s="52" t="s">
        <v>61</v>
      </c>
      <c r="L132" s="98" t="s">
        <v>933</v>
      </c>
      <c r="M132" s="52"/>
      <c r="N132" s="16" t="s">
        <v>934</v>
      </c>
      <c r="O132" s="98" t="s">
        <v>61</v>
      </c>
      <c r="P132" s="98" t="s">
        <v>935</v>
      </c>
      <c r="Q132" s="18"/>
      <c r="R132" s="213" t="s">
        <v>94</v>
      </c>
      <c r="S132" s="16" t="s">
        <v>64</v>
      </c>
      <c r="T132" s="16"/>
      <c r="U132" s="16"/>
      <c r="V132" s="16"/>
      <c r="W132" s="16">
        <f>ROUND(IF(D132=Table!$C$3,Y132*Table!$C$4/8,Y132*Table!$D$4/8),3)</f>
        <v>106.47</v>
      </c>
      <c r="X132" s="16">
        <f t="shared" si="21"/>
        <v>106.47</v>
      </c>
      <c r="Y132" s="16">
        <v>1.8928</v>
      </c>
      <c r="Z132" s="16">
        <v>2</v>
      </c>
      <c r="AA132" s="16" t="s">
        <v>74</v>
      </c>
      <c r="AB132" s="99">
        <v>43994</v>
      </c>
      <c r="AC132" s="99">
        <v>43980</v>
      </c>
      <c r="AD132" s="99">
        <v>43994</v>
      </c>
      <c r="AE132" s="99">
        <v>43987</v>
      </c>
      <c r="AF132" s="99">
        <v>43987</v>
      </c>
      <c r="AG132" s="99" t="s">
        <v>176</v>
      </c>
      <c r="AH132" s="163">
        <v>1</v>
      </c>
      <c r="AI132" s="163">
        <v>1</v>
      </c>
      <c r="AJ132" s="163">
        <v>0.33</v>
      </c>
      <c r="AK132" s="14" t="s">
        <v>150</v>
      </c>
      <c r="AL132" s="134"/>
      <c r="AM132" s="15"/>
      <c r="AN132" s="15"/>
    </row>
    <row r="133" spans="2:40" x14ac:dyDescent="0.25">
      <c r="B133" s="132">
        <f t="shared" si="19"/>
        <v>74</v>
      </c>
      <c r="C133" s="16">
        <v>20200529</v>
      </c>
      <c r="D133" s="16" t="s">
        <v>3</v>
      </c>
      <c r="E133" s="141" t="s">
        <v>871</v>
      </c>
      <c r="F133" s="98" t="s">
        <v>865</v>
      </c>
      <c r="G133" s="52" t="s">
        <v>61</v>
      </c>
      <c r="H133" s="16" t="s">
        <v>807</v>
      </c>
      <c r="I133" s="16" t="s">
        <v>890</v>
      </c>
      <c r="J133" s="16" t="s">
        <v>908</v>
      </c>
      <c r="K133" s="52" t="s">
        <v>61</v>
      </c>
      <c r="L133" s="98" t="s">
        <v>933</v>
      </c>
      <c r="M133" s="52"/>
      <c r="N133" s="16" t="s">
        <v>934</v>
      </c>
      <c r="O133" s="98" t="s">
        <v>61</v>
      </c>
      <c r="P133" s="98" t="s">
        <v>935</v>
      </c>
      <c r="Q133" s="18"/>
      <c r="R133" s="213" t="s">
        <v>94</v>
      </c>
      <c r="S133" s="16" t="s">
        <v>64</v>
      </c>
      <c r="T133" s="16"/>
      <c r="U133" s="16"/>
      <c r="V133" s="16"/>
      <c r="W133" s="16">
        <f>ROUND(IF(D133=Table!$C$3,Y133*Table!$C$4/8,Y133*Table!$D$4/8),3)</f>
        <v>67.5</v>
      </c>
      <c r="X133" s="16">
        <f t="shared" si="21"/>
        <v>67.5</v>
      </c>
      <c r="Y133" s="16">
        <v>1.2</v>
      </c>
      <c r="Z133" s="16">
        <v>2</v>
      </c>
      <c r="AA133" s="16" t="s">
        <v>74</v>
      </c>
      <c r="AB133" s="99">
        <v>43994</v>
      </c>
      <c r="AC133" s="99">
        <v>43980</v>
      </c>
      <c r="AD133" s="99">
        <v>43994</v>
      </c>
      <c r="AE133" s="99">
        <v>43987</v>
      </c>
      <c r="AF133" s="99">
        <v>43987</v>
      </c>
      <c r="AG133" s="99" t="s">
        <v>176</v>
      </c>
      <c r="AH133" s="163">
        <v>1</v>
      </c>
      <c r="AI133" s="163">
        <v>1</v>
      </c>
      <c r="AJ133" s="163">
        <v>1</v>
      </c>
      <c r="AK133" s="157" t="s">
        <v>150</v>
      </c>
      <c r="AL133" s="134"/>
      <c r="AM133" s="15"/>
      <c r="AN133" s="15"/>
    </row>
    <row r="134" spans="2:40" x14ac:dyDescent="0.25">
      <c r="B134" s="132">
        <f t="shared" si="19"/>
        <v>75</v>
      </c>
      <c r="C134" s="16">
        <v>20200529</v>
      </c>
      <c r="D134" s="16" t="s">
        <v>3</v>
      </c>
      <c r="E134" s="141" t="s">
        <v>871</v>
      </c>
      <c r="F134" s="98" t="s">
        <v>866</v>
      </c>
      <c r="G134" s="52" t="s">
        <v>61</v>
      </c>
      <c r="H134" s="16" t="s">
        <v>808</v>
      </c>
      <c r="I134" s="16" t="s">
        <v>891</v>
      </c>
      <c r="J134" s="16" t="s">
        <v>836</v>
      </c>
      <c r="K134" s="52" t="s">
        <v>61</v>
      </c>
      <c r="L134" s="98" t="s">
        <v>933</v>
      </c>
      <c r="M134" s="52"/>
      <c r="N134" s="16" t="s">
        <v>934</v>
      </c>
      <c r="O134" s="98" t="s">
        <v>61</v>
      </c>
      <c r="P134" s="98" t="s">
        <v>935</v>
      </c>
      <c r="Q134" s="18"/>
      <c r="R134" s="213" t="s">
        <v>96</v>
      </c>
      <c r="S134" s="16" t="s">
        <v>65</v>
      </c>
      <c r="T134" s="16"/>
      <c r="U134" s="16"/>
      <c r="V134" s="16"/>
      <c r="W134" s="16">
        <f>ROUND(IF(D134=Table!$C$3,Y134*Table!$C$4/8,Y134*Table!$D$4/8),3)</f>
        <v>247.5</v>
      </c>
      <c r="X134" s="16">
        <f t="shared" si="21"/>
        <v>247.5</v>
      </c>
      <c r="Y134" s="16">
        <v>4.4000000000000004</v>
      </c>
      <c r="Z134" s="16">
        <v>2</v>
      </c>
      <c r="AA134" s="16" t="s">
        <v>74</v>
      </c>
      <c r="AB134" s="99">
        <v>43994</v>
      </c>
      <c r="AC134" s="99">
        <v>43980</v>
      </c>
      <c r="AD134" s="99">
        <v>43994</v>
      </c>
      <c r="AE134" s="99">
        <v>43986</v>
      </c>
      <c r="AF134" s="99">
        <v>43986</v>
      </c>
      <c r="AG134" s="99" t="s">
        <v>176</v>
      </c>
      <c r="AH134" s="100">
        <v>1</v>
      </c>
      <c r="AI134" s="100">
        <v>1</v>
      </c>
      <c r="AJ134" s="100">
        <v>0.23</v>
      </c>
      <c r="AK134" s="157" t="s">
        <v>150</v>
      </c>
      <c r="AL134" s="134"/>
      <c r="AM134" s="15"/>
      <c r="AN134" s="15"/>
    </row>
    <row r="135" spans="2:40" x14ac:dyDescent="0.25">
      <c r="B135" s="132">
        <f t="shared" si="19"/>
        <v>76</v>
      </c>
      <c r="C135" s="16">
        <v>20200529</v>
      </c>
      <c r="D135" s="16" t="s">
        <v>3</v>
      </c>
      <c r="E135" s="141" t="s">
        <v>871</v>
      </c>
      <c r="F135" s="98" t="s">
        <v>866</v>
      </c>
      <c r="G135" s="52" t="s">
        <v>61</v>
      </c>
      <c r="H135" s="16" t="s">
        <v>809</v>
      </c>
      <c r="I135" s="16" t="s">
        <v>892</v>
      </c>
      <c r="J135" s="16" t="s">
        <v>908</v>
      </c>
      <c r="K135" s="52" t="s">
        <v>61</v>
      </c>
      <c r="L135" s="98" t="s">
        <v>933</v>
      </c>
      <c r="M135" s="52"/>
      <c r="N135" s="16" t="s">
        <v>934</v>
      </c>
      <c r="O135" s="98" t="s">
        <v>61</v>
      </c>
      <c r="P135" s="98" t="s">
        <v>935</v>
      </c>
      <c r="Q135" s="18"/>
      <c r="R135" s="213" t="s">
        <v>96</v>
      </c>
      <c r="S135" s="16" t="s">
        <v>65</v>
      </c>
      <c r="T135" s="16"/>
      <c r="U135" s="16"/>
      <c r="V135" s="16"/>
      <c r="W135" s="16">
        <f>ROUND(IF(D135=Table!$C$3,Y135*Table!$C$4/8,Y135*Table!$D$4/8),3)</f>
        <v>562.5</v>
      </c>
      <c r="X135" s="16">
        <f t="shared" si="21"/>
        <v>562.5</v>
      </c>
      <c r="Y135" s="16">
        <v>10</v>
      </c>
      <c r="Z135" s="16">
        <v>2</v>
      </c>
      <c r="AA135" s="16" t="s">
        <v>74</v>
      </c>
      <c r="AB135" s="99">
        <v>43994</v>
      </c>
      <c r="AC135" s="99">
        <v>43980</v>
      </c>
      <c r="AD135" s="99">
        <v>43994</v>
      </c>
      <c r="AE135" s="99">
        <v>43986</v>
      </c>
      <c r="AF135" s="99">
        <v>43986</v>
      </c>
      <c r="AG135" s="99" t="s">
        <v>176</v>
      </c>
      <c r="AH135" s="100">
        <v>1</v>
      </c>
      <c r="AI135" s="100">
        <v>1</v>
      </c>
      <c r="AJ135" s="100">
        <v>0.5</v>
      </c>
      <c r="AK135" s="157" t="s">
        <v>150</v>
      </c>
      <c r="AL135" s="134"/>
      <c r="AM135" s="15"/>
      <c r="AN135" s="15"/>
    </row>
    <row r="136" spans="2:40" x14ac:dyDescent="0.25">
      <c r="B136" s="132">
        <f t="shared" si="19"/>
        <v>77</v>
      </c>
      <c r="C136" s="16">
        <v>20200529</v>
      </c>
      <c r="D136" s="16" t="s">
        <v>3</v>
      </c>
      <c r="E136" s="141" t="s">
        <v>871</v>
      </c>
      <c r="F136" s="98" t="s">
        <v>866</v>
      </c>
      <c r="G136" s="52" t="s">
        <v>61</v>
      </c>
      <c r="H136" s="16" t="s">
        <v>914</v>
      </c>
      <c r="I136" s="16" t="s">
        <v>893</v>
      </c>
      <c r="J136" s="16" t="s">
        <v>836</v>
      </c>
      <c r="K136" s="52" t="s">
        <v>61</v>
      </c>
      <c r="L136" s="98" t="s">
        <v>933</v>
      </c>
      <c r="M136" s="52"/>
      <c r="N136" s="16" t="s">
        <v>934</v>
      </c>
      <c r="O136" s="98" t="s">
        <v>61</v>
      </c>
      <c r="P136" s="98" t="s">
        <v>935</v>
      </c>
      <c r="Q136" s="18"/>
      <c r="R136" s="213" t="s">
        <v>96</v>
      </c>
      <c r="S136" s="16" t="s">
        <v>65</v>
      </c>
      <c r="T136" s="16"/>
      <c r="U136" s="16"/>
      <c r="V136" s="16"/>
      <c r="W136" s="16">
        <f>ROUND(IF(D136=Table!$C$3,Y136*Table!$C$4/8,Y136*Table!$D$4/8),3)</f>
        <v>337.5</v>
      </c>
      <c r="X136" s="16">
        <f t="shared" si="21"/>
        <v>337.5</v>
      </c>
      <c r="Y136" s="16">
        <v>6</v>
      </c>
      <c r="Z136" s="16">
        <v>2</v>
      </c>
      <c r="AA136" s="16" t="s">
        <v>74</v>
      </c>
      <c r="AB136" s="99">
        <v>43994</v>
      </c>
      <c r="AC136" s="99">
        <v>43980</v>
      </c>
      <c r="AD136" s="99">
        <v>43994</v>
      </c>
      <c r="AE136" s="99">
        <v>43986</v>
      </c>
      <c r="AF136" s="99">
        <v>43986</v>
      </c>
      <c r="AG136" s="99" t="s">
        <v>176</v>
      </c>
      <c r="AH136" s="100">
        <v>1</v>
      </c>
      <c r="AI136" s="100">
        <v>1</v>
      </c>
      <c r="AJ136" s="100">
        <v>0.38</v>
      </c>
      <c r="AK136" s="157" t="s">
        <v>150</v>
      </c>
      <c r="AL136" s="134"/>
      <c r="AM136" s="15"/>
      <c r="AN136" s="15"/>
    </row>
    <row r="137" spans="2:40" x14ac:dyDescent="0.25">
      <c r="B137" s="132">
        <f t="shared" si="19"/>
        <v>78</v>
      </c>
      <c r="C137" s="16">
        <v>20200529</v>
      </c>
      <c r="D137" s="16" t="s">
        <v>3</v>
      </c>
      <c r="E137" s="141" t="s">
        <v>871</v>
      </c>
      <c r="F137" s="98" t="s">
        <v>867</v>
      </c>
      <c r="G137" s="52" t="s">
        <v>61</v>
      </c>
      <c r="H137" s="16" t="s">
        <v>810</v>
      </c>
      <c r="I137" s="16" t="s">
        <v>894</v>
      </c>
      <c r="J137" s="16" t="s">
        <v>908</v>
      </c>
      <c r="K137" s="52" t="s">
        <v>61</v>
      </c>
      <c r="L137" s="98" t="s">
        <v>933</v>
      </c>
      <c r="M137" s="52"/>
      <c r="N137" s="16" t="s">
        <v>934</v>
      </c>
      <c r="O137" s="98" t="s">
        <v>61</v>
      </c>
      <c r="P137" s="98" t="s">
        <v>935</v>
      </c>
      <c r="Q137" s="18"/>
      <c r="R137" s="213" t="s">
        <v>96</v>
      </c>
      <c r="S137" s="16" t="s">
        <v>65</v>
      </c>
      <c r="T137" s="16"/>
      <c r="U137" s="16"/>
      <c r="V137" s="16"/>
      <c r="W137" s="16">
        <f>ROUND(IF(D137=Table!$C$3,Y137*Table!$C$4/8,Y137*Table!$D$4/8),3)</f>
        <v>112.5</v>
      </c>
      <c r="X137" s="16">
        <f t="shared" si="21"/>
        <v>112.5</v>
      </c>
      <c r="Y137" s="16">
        <v>2</v>
      </c>
      <c r="Z137" s="16">
        <v>2</v>
      </c>
      <c r="AA137" s="16" t="s">
        <v>74</v>
      </c>
      <c r="AB137" s="99">
        <v>43994</v>
      </c>
      <c r="AC137" s="99">
        <v>43980</v>
      </c>
      <c r="AD137" s="99">
        <v>43994</v>
      </c>
      <c r="AE137" s="99">
        <v>43987</v>
      </c>
      <c r="AF137" s="99">
        <v>43987</v>
      </c>
      <c r="AG137" s="99" t="s">
        <v>176</v>
      </c>
      <c r="AH137" s="100">
        <v>1</v>
      </c>
      <c r="AI137" s="100">
        <v>1</v>
      </c>
      <c r="AJ137" s="100">
        <v>0.18</v>
      </c>
      <c r="AK137" s="157" t="s">
        <v>150</v>
      </c>
      <c r="AL137" s="134"/>
      <c r="AM137" s="15"/>
      <c r="AN137" s="15"/>
    </row>
    <row r="138" spans="2:40" x14ac:dyDescent="0.25">
      <c r="B138" s="132">
        <f t="shared" si="19"/>
        <v>79</v>
      </c>
      <c r="C138" s="16">
        <v>20200529</v>
      </c>
      <c r="D138" s="16" t="s">
        <v>3</v>
      </c>
      <c r="E138" s="141" t="s">
        <v>871</v>
      </c>
      <c r="F138" s="98" t="s">
        <v>867</v>
      </c>
      <c r="G138" s="52" t="s">
        <v>61</v>
      </c>
      <c r="H138" s="16" t="s">
        <v>915</v>
      </c>
      <c r="I138" s="16" t="s">
        <v>895</v>
      </c>
      <c r="J138" s="16" t="s">
        <v>908</v>
      </c>
      <c r="K138" s="52" t="s">
        <v>61</v>
      </c>
      <c r="L138" s="98" t="s">
        <v>933</v>
      </c>
      <c r="M138" s="52"/>
      <c r="N138" s="16" t="s">
        <v>934</v>
      </c>
      <c r="O138" s="98" t="s">
        <v>61</v>
      </c>
      <c r="P138" s="98" t="s">
        <v>935</v>
      </c>
      <c r="Q138" s="18"/>
      <c r="R138" s="213" t="s">
        <v>96</v>
      </c>
      <c r="S138" s="16" t="s">
        <v>65</v>
      </c>
      <c r="T138" s="16"/>
      <c r="U138" s="16"/>
      <c r="V138" s="16"/>
      <c r="W138" s="16">
        <f>ROUND(IF(D138=Table!$C$3,Y138*Table!$C$4/8,Y138*Table!$D$4/8),3)</f>
        <v>81.900000000000006</v>
      </c>
      <c r="X138" s="16">
        <f t="shared" ref="X138:X157" si="22">W138</f>
        <v>81.900000000000006</v>
      </c>
      <c r="Y138" s="16">
        <v>1.456</v>
      </c>
      <c r="Z138" s="16">
        <v>1</v>
      </c>
      <c r="AA138" s="16" t="s">
        <v>74</v>
      </c>
      <c r="AB138" s="99">
        <v>43994</v>
      </c>
      <c r="AC138" s="99">
        <v>43980</v>
      </c>
      <c r="AD138" s="99">
        <v>43994</v>
      </c>
      <c r="AE138" s="99">
        <v>43987</v>
      </c>
      <c r="AF138" s="99">
        <v>43987</v>
      </c>
      <c r="AG138" s="99" t="s">
        <v>176</v>
      </c>
      <c r="AH138" s="100">
        <v>1</v>
      </c>
      <c r="AI138" s="100">
        <v>1</v>
      </c>
      <c r="AJ138" s="100">
        <v>1</v>
      </c>
      <c r="AK138" s="157" t="s">
        <v>150</v>
      </c>
      <c r="AL138" s="134"/>
      <c r="AM138" s="15"/>
      <c r="AN138" s="15"/>
    </row>
    <row r="139" spans="2:40" x14ac:dyDescent="0.25">
      <c r="B139" s="132">
        <f t="shared" si="19"/>
        <v>80</v>
      </c>
      <c r="C139" s="16">
        <v>20200529</v>
      </c>
      <c r="D139" s="16" t="s">
        <v>3</v>
      </c>
      <c r="E139" s="141" t="s">
        <v>871</v>
      </c>
      <c r="F139" s="98" t="s">
        <v>868</v>
      </c>
      <c r="G139" s="52" t="s">
        <v>61</v>
      </c>
      <c r="H139" s="16" t="s">
        <v>811</v>
      </c>
      <c r="I139" s="16" t="s">
        <v>896</v>
      </c>
      <c r="J139" s="16" t="s">
        <v>835</v>
      </c>
      <c r="K139" s="52" t="s">
        <v>61</v>
      </c>
      <c r="L139" s="98" t="s">
        <v>933</v>
      </c>
      <c r="M139" s="52"/>
      <c r="N139" s="16" t="s">
        <v>934</v>
      </c>
      <c r="O139" s="98" t="s">
        <v>61</v>
      </c>
      <c r="P139" s="98" t="s">
        <v>935</v>
      </c>
      <c r="Q139" s="18"/>
      <c r="R139" s="213" t="s">
        <v>96</v>
      </c>
      <c r="S139" s="16" t="s">
        <v>65</v>
      </c>
      <c r="T139" s="16"/>
      <c r="U139" s="16"/>
      <c r="V139" s="16"/>
      <c r="W139" s="16">
        <f>ROUND(IF(D139=Table!$C$3,Y139*Table!$C$4/8,Y139*Table!$D$4/8),3)</f>
        <v>315</v>
      </c>
      <c r="X139" s="16">
        <f t="shared" si="22"/>
        <v>315</v>
      </c>
      <c r="Y139" s="16">
        <v>5.6</v>
      </c>
      <c r="Z139" s="16">
        <v>2</v>
      </c>
      <c r="AA139" s="16" t="s">
        <v>74</v>
      </c>
      <c r="AB139" s="99">
        <v>43994</v>
      </c>
      <c r="AC139" s="99">
        <v>43980</v>
      </c>
      <c r="AD139" s="99">
        <v>43994</v>
      </c>
      <c r="AE139" s="99">
        <v>43987</v>
      </c>
      <c r="AF139" s="99">
        <v>43987</v>
      </c>
      <c r="AG139" s="99" t="s">
        <v>176</v>
      </c>
      <c r="AH139" s="100">
        <v>1</v>
      </c>
      <c r="AI139" s="100">
        <v>1</v>
      </c>
      <c r="AJ139" s="100">
        <v>1</v>
      </c>
      <c r="AK139" s="157" t="s">
        <v>150</v>
      </c>
      <c r="AL139" s="134"/>
      <c r="AM139" s="15"/>
      <c r="AN139" s="15"/>
    </row>
    <row r="140" spans="2:40" x14ac:dyDescent="0.25">
      <c r="B140" s="132">
        <f t="shared" si="19"/>
        <v>81</v>
      </c>
      <c r="C140" s="16">
        <v>20200529</v>
      </c>
      <c r="D140" s="16" t="s">
        <v>3</v>
      </c>
      <c r="E140" s="141" t="s">
        <v>871</v>
      </c>
      <c r="F140" s="98" t="s">
        <v>868</v>
      </c>
      <c r="G140" s="52" t="s">
        <v>61</v>
      </c>
      <c r="H140" s="16" t="s">
        <v>916</v>
      </c>
      <c r="I140" s="16" t="s">
        <v>751</v>
      </c>
      <c r="J140" s="16" t="s">
        <v>908</v>
      </c>
      <c r="K140" s="52" t="s">
        <v>61</v>
      </c>
      <c r="L140" s="98" t="s">
        <v>933</v>
      </c>
      <c r="M140" s="52"/>
      <c r="N140" s="16" t="s">
        <v>934</v>
      </c>
      <c r="O140" s="98" t="s">
        <v>61</v>
      </c>
      <c r="P140" s="98" t="s">
        <v>935</v>
      </c>
      <c r="Q140" s="18"/>
      <c r="R140" s="213" t="s">
        <v>96</v>
      </c>
      <c r="S140" s="16" t="s">
        <v>65</v>
      </c>
      <c r="T140" s="16"/>
      <c r="U140" s="16"/>
      <c r="V140" s="16"/>
      <c r="W140" s="16">
        <f>ROUND(IF(D140=Table!$C$3,Y140*Table!$C$4/8,Y140*Table!$D$4/8),3)</f>
        <v>247.5</v>
      </c>
      <c r="X140" s="16">
        <f t="shared" si="22"/>
        <v>247.5</v>
      </c>
      <c r="Y140" s="16">
        <v>4.4000000000000004</v>
      </c>
      <c r="Z140" s="16">
        <v>2</v>
      </c>
      <c r="AA140" s="16" t="s">
        <v>74</v>
      </c>
      <c r="AB140" s="99">
        <v>43994</v>
      </c>
      <c r="AC140" s="99">
        <v>43980</v>
      </c>
      <c r="AD140" s="99">
        <v>43994</v>
      </c>
      <c r="AE140" s="99">
        <v>43990</v>
      </c>
      <c r="AF140" s="99">
        <v>43990</v>
      </c>
      <c r="AG140" s="99" t="s">
        <v>176</v>
      </c>
      <c r="AH140" s="100">
        <v>1</v>
      </c>
      <c r="AI140" s="100">
        <v>1</v>
      </c>
      <c r="AJ140" s="100">
        <v>1</v>
      </c>
      <c r="AK140" s="157" t="s">
        <v>150</v>
      </c>
      <c r="AL140" s="134"/>
      <c r="AM140" s="15"/>
      <c r="AN140" s="15"/>
    </row>
    <row r="141" spans="2:40" x14ac:dyDescent="0.25">
      <c r="B141" s="132">
        <f t="shared" si="19"/>
        <v>82</v>
      </c>
      <c r="C141" s="16">
        <v>20200529</v>
      </c>
      <c r="D141" s="16" t="s">
        <v>3</v>
      </c>
      <c r="E141" s="141" t="s">
        <v>871</v>
      </c>
      <c r="F141" s="98" t="s">
        <v>868</v>
      </c>
      <c r="G141" s="52" t="s">
        <v>61</v>
      </c>
      <c r="H141" s="16" t="s">
        <v>917</v>
      </c>
      <c r="I141" s="16" t="s">
        <v>752</v>
      </c>
      <c r="J141" s="16" t="s">
        <v>908</v>
      </c>
      <c r="K141" s="52" t="s">
        <v>61</v>
      </c>
      <c r="L141" s="98" t="s">
        <v>933</v>
      </c>
      <c r="M141" s="52"/>
      <c r="N141" s="16" t="s">
        <v>934</v>
      </c>
      <c r="O141" s="98" t="s">
        <v>61</v>
      </c>
      <c r="P141" s="98" t="s">
        <v>935</v>
      </c>
      <c r="Q141" s="18"/>
      <c r="R141" s="213" t="s">
        <v>96</v>
      </c>
      <c r="S141" s="16" t="s">
        <v>65</v>
      </c>
      <c r="T141" s="16"/>
      <c r="U141" s="16"/>
      <c r="V141" s="16"/>
      <c r="W141" s="16">
        <f>ROUND(IF(D141=Table!$C$3,Y141*Table!$C$4/8,Y141*Table!$D$4/8),3)</f>
        <v>157.5</v>
      </c>
      <c r="X141" s="16">
        <f t="shared" si="22"/>
        <v>157.5</v>
      </c>
      <c r="Y141" s="16">
        <v>2.8</v>
      </c>
      <c r="Z141" s="16">
        <v>2</v>
      </c>
      <c r="AA141" s="16" t="s">
        <v>74</v>
      </c>
      <c r="AB141" s="99">
        <v>43994</v>
      </c>
      <c r="AC141" s="99">
        <v>43980</v>
      </c>
      <c r="AD141" s="99">
        <v>43994</v>
      </c>
      <c r="AE141" s="99">
        <v>43990</v>
      </c>
      <c r="AF141" s="99">
        <v>43990</v>
      </c>
      <c r="AG141" s="99" t="s">
        <v>176</v>
      </c>
      <c r="AH141" s="100">
        <v>1</v>
      </c>
      <c r="AI141" s="100">
        <v>1</v>
      </c>
      <c r="AJ141" s="100">
        <v>0.5</v>
      </c>
      <c r="AK141" s="157" t="s">
        <v>150</v>
      </c>
      <c r="AL141" s="134"/>
      <c r="AM141" s="15"/>
      <c r="AN141" s="15"/>
    </row>
    <row r="142" spans="2:40" x14ac:dyDescent="0.25">
      <c r="B142" s="132">
        <f t="shared" si="19"/>
        <v>83</v>
      </c>
      <c r="C142" s="16">
        <v>20200529</v>
      </c>
      <c r="D142" s="16" t="s">
        <v>3</v>
      </c>
      <c r="E142" s="141" t="s">
        <v>871</v>
      </c>
      <c r="F142" s="98" t="s">
        <v>868</v>
      </c>
      <c r="G142" s="52" t="s">
        <v>61</v>
      </c>
      <c r="H142" s="16" t="s">
        <v>918</v>
      </c>
      <c r="I142" s="16" t="s">
        <v>897</v>
      </c>
      <c r="J142" s="16" t="s">
        <v>908</v>
      </c>
      <c r="K142" s="52" t="s">
        <v>61</v>
      </c>
      <c r="L142" s="98" t="s">
        <v>933</v>
      </c>
      <c r="M142" s="52"/>
      <c r="N142" s="16" t="s">
        <v>934</v>
      </c>
      <c r="O142" s="98" t="s">
        <v>61</v>
      </c>
      <c r="P142" s="98" t="s">
        <v>935</v>
      </c>
      <c r="Q142" s="18"/>
      <c r="R142" s="213" t="s">
        <v>96</v>
      </c>
      <c r="S142" s="16" t="s">
        <v>65</v>
      </c>
      <c r="T142" s="16"/>
      <c r="U142" s="16"/>
      <c r="V142" s="16"/>
      <c r="W142" s="16">
        <f>ROUND(IF(D142=Table!$C$3,Y142*Table!$C$4/8,Y142*Table!$D$4/8),3)</f>
        <v>81.900000000000006</v>
      </c>
      <c r="X142" s="16">
        <f t="shared" si="22"/>
        <v>81.900000000000006</v>
      </c>
      <c r="Y142" s="16">
        <v>1.456</v>
      </c>
      <c r="Z142" s="16">
        <v>2</v>
      </c>
      <c r="AA142" s="16" t="s">
        <v>74</v>
      </c>
      <c r="AB142" s="99">
        <v>43994</v>
      </c>
      <c r="AC142" s="99">
        <v>43980</v>
      </c>
      <c r="AD142" s="99">
        <v>43994</v>
      </c>
      <c r="AE142" s="99">
        <v>43990</v>
      </c>
      <c r="AF142" s="99">
        <v>43990</v>
      </c>
      <c r="AG142" s="99" t="s">
        <v>176</v>
      </c>
      <c r="AH142" s="100">
        <v>1</v>
      </c>
      <c r="AI142" s="100">
        <v>1</v>
      </c>
      <c r="AJ142" s="100">
        <v>1</v>
      </c>
      <c r="AK142" s="157" t="s">
        <v>150</v>
      </c>
      <c r="AL142" s="134"/>
      <c r="AM142" s="15"/>
      <c r="AN142" s="15"/>
    </row>
    <row r="143" spans="2:40" x14ac:dyDescent="0.25">
      <c r="B143" s="132">
        <f t="shared" si="19"/>
        <v>84</v>
      </c>
      <c r="C143" s="16">
        <v>20200529</v>
      </c>
      <c r="D143" s="16" t="s">
        <v>3</v>
      </c>
      <c r="E143" s="141" t="s">
        <v>871</v>
      </c>
      <c r="F143" s="98" t="s">
        <v>868</v>
      </c>
      <c r="G143" s="52" t="s">
        <v>61</v>
      </c>
      <c r="H143" s="16" t="s">
        <v>919</v>
      </c>
      <c r="I143" s="16" t="s">
        <v>898</v>
      </c>
      <c r="J143" s="16" t="s">
        <v>908</v>
      </c>
      <c r="K143" s="52" t="s">
        <v>61</v>
      </c>
      <c r="L143" s="98" t="s">
        <v>933</v>
      </c>
      <c r="M143" s="52"/>
      <c r="N143" s="16" t="s">
        <v>934</v>
      </c>
      <c r="O143" s="98" t="s">
        <v>61</v>
      </c>
      <c r="P143" s="98" t="s">
        <v>935</v>
      </c>
      <c r="Q143" s="18"/>
      <c r="R143" s="213" t="s">
        <v>96</v>
      </c>
      <c r="S143" s="16" t="s">
        <v>65</v>
      </c>
      <c r="T143" s="16"/>
      <c r="U143" s="16"/>
      <c r="V143" s="16"/>
      <c r="W143" s="16">
        <f>ROUND(IF(D143=Table!$C$3,Y143*Table!$C$4/8,Y143*Table!$D$4/8),3)</f>
        <v>67.5</v>
      </c>
      <c r="X143" s="16">
        <f t="shared" si="22"/>
        <v>67.5</v>
      </c>
      <c r="Y143" s="16">
        <v>1.2</v>
      </c>
      <c r="Z143" s="16">
        <v>1</v>
      </c>
      <c r="AA143" s="16" t="s">
        <v>74</v>
      </c>
      <c r="AB143" s="99">
        <v>43994</v>
      </c>
      <c r="AC143" s="99">
        <v>43980</v>
      </c>
      <c r="AD143" s="99">
        <v>43994</v>
      </c>
      <c r="AE143" s="99">
        <v>43990</v>
      </c>
      <c r="AF143" s="99">
        <v>43990</v>
      </c>
      <c r="AG143" s="99" t="s">
        <v>176</v>
      </c>
      <c r="AH143" s="100">
        <v>1</v>
      </c>
      <c r="AI143" s="100">
        <v>1</v>
      </c>
      <c r="AJ143" s="100">
        <v>1</v>
      </c>
      <c r="AK143" s="157" t="s">
        <v>150</v>
      </c>
      <c r="AL143" s="134"/>
      <c r="AM143" s="15"/>
      <c r="AN143" s="15"/>
    </row>
    <row r="144" spans="2:40" x14ac:dyDescent="0.25">
      <c r="B144" s="132">
        <f t="shared" si="19"/>
        <v>85</v>
      </c>
      <c r="C144" s="16">
        <v>20200529</v>
      </c>
      <c r="D144" s="16" t="s">
        <v>3</v>
      </c>
      <c r="E144" s="141" t="s">
        <v>871</v>
      </c>
      <c r="F144" s="98" t="s">
        <v>868</v>
      </c>
      <c r="G144" s="52" t="s">
        <v>61</v>
      </c>
      <c r="H144" s="16" t="s">
        <v>920</v>
      </c>
      <c r="I144" s="16" t="s">
        <v>899</v>
      </c>
      <c r="J144" s="16" t="s">
        <v>908</v>
      </c>
      <c r="K144" s="52" t="s">
        <v>61</v>
      </c>
      <c r="L144" s="98" t="s">
        <v>933</v>
      </c>
      <c r="M144" s="52"/>
      <c r="N144" s="16" t="s">
        <v>934</v>
      </c>
      <c r="O144" s="98" t="s">
        <v>61</v>
      </c>
      <c r="P144" s="98" t="s">
        <v>935</v>
      </c>
      <c r="Q144" s="18"/>
      <c r="R144" s="213" t="s">
        <v>96</v>
      </c>
      <c r="S144" s="16" t="s">
        <v>65</v>
      </c>
      <c r="T144" s="16"/>
      <c r="U144" s="16"/>
      <c r="V144" s="16"/>
      <c r="W144" s="16">
        <f>ROUND(IF(D144=Table!$C$3,Y144*Table!$C$4/8,Y144*Table!$D$4/8),3)</f>
        <v>67.5</v>
      </c>
      <c r="X144" s="16">
        <f t="shared" si="22"/>
        <v>67.5</v>
      </c>
      <c r="Y144" s="16">
        <v>1.2</v>
      </c>
      <c r="Z144" s="16">
        <v>1</v>
      </c>
      <c r="AA144" s="16" t="s">
        <v>74</v>
      </c>
      <c r="AB144" s="99">
        <v>43994</v>
      </c>
      <c r="AC144" s="99">
        <v>43980</v>
      </c>
      <c r="AD144" s="99">
        <v>43994</v>
      </c>
      <c r="AE144" s="99">
        <v>43990</v>
      </c>
      <c r="AF144" s="99">
        <v>43990</v>
      </c>
      <c r="AG144" s="99" t="s">
        <v>176</v>
      </c>
      <c r="AH144" s="100">
        <v>1</v>
      </c>
      <c r="AI144" s="100">
        <v>1</v>
      </c>
      <c r="AJ144" s="100">
        <v>1</v>
      </c>
      <c r="AK144" s="157" t="s">
        <v>150</v>
      </c>
      <c r="AL144" s="134"/>
      <c r="AM144" s="15"/>
      <c r="AN144" s="15"/>
    </row>
    <row r="145" spans="2:40" x14ac:dyDescent="0.25">
      <c r="B145" s="132">
        <f t="shared" si="19"/>
        <v>86</v>
      </c>
      <c r="C145" s="16">
        <v>20200529</v>
      </c>
      <c r="D145" s="16" t="s">
        <v>3</v>
      </c>
      <c r="E145" s="141" t="s">
        <v>871</v>
      </c>
      <c r="F145" s="98" t="s">
        <v>868</v>
      </c>
      <c r="G145" s="52" t="s">
        <v>61</v>
      </c>
      <c r="H145" s="16" t="s">
        <v>815</v>
      </c>
      <c r="I145" s="16" t="s">
        <v>900</v>
      </c>
      <c r="J145" s="16" t="s">
        <v>908</v>
      </c>
      <c r="K145" s="52" t="s">
        <v>61</v>
      </c>
      <c r="L145" s="98" t="s">
        <v>933</v>
      </c>
      <c r="M145" s="52"/>
      <c r="N145" s="16" t="s">
        <v>934</v>
      </c>
      <c r="O145" s="98" t="s">
        <v>61</v>
      </c>
      <c r="P145" s="98" t="s">
        <v>935</v>
      </c>
      <c r="Q145" s="18"/>
      <c r="R145" s="183" t="s">
        <v>95</v>
      </c>
      <c r="S145" s="16" t="s">
        <v>66</v>
      </c>
      <c r="T145" s="16"/>
      <c r="U145" s="16"/>
      <c r="V145" s="16"/>
      <c r="W145" s="16">
        <f>ROUND(IF(D145=Table!$C$3,Y145*Table!$C$4/8,Y145*Table!$D$4/8),3)</f>
        <v>102.375</v>
      </c>
      <c r="X145" s="16">
        <f t="shared" si="22"/>
        <v>102.375</v>
      </c>
      <c r="Y145" s="16">
        <v>1.8199999999999998</v>
      </c>
      <c r="Z145" s="16">
        <v>2</v>
      </c>
      <c r="AA145" s="16" t="s">
        <v>74</v>
      </c>
      <c r="AB145" s="99">
        <v>43994</v>
      </c>
      <c r="AC145" s="99">
        <v>43980</v>
      </c>
      <c r="AD145" s="99">
        <v>43994</v>
      </c>
      <c r="AE145" s="99">
        <v>43991</v>
      </c>
      <c r="AF145" s="99">
        <v>43991</v>
      </c>
      <c r="AG145" s="99" t="s">
        <v>176</v>
      </c>
      <c r="AH145" s="163">
        <v>1</v>
      </c>
      <c r="AI145" s="163">
        <v>1</v>
      </c>
      <c r="AJ145" s="163">
        <v>0.83</v>
      </c>
      <c r="AK145" s="14" t="s">
        <v>150</v>
      </c>
      <c r="AL145" s="134"/>
      <c r="AM145" s="15"/>
      <c r="AN145" s="15"/>
    </row>
    <row r="146" spans="2:40" x14ac:dyDescent="0.25">
      <c r="B146" s="132">
        <f t="shared" si="19"/>
        <v>87</v>
      </c>
      <c r="C146" s="16">
        <v>20200529</v>
      </c>
      <c r="D146" s="16" t="s">
        <v>3</v>
      </c>
      <c r="E146" s="141" t="s">
        <v>871</v>
      </c>
      <c r="F146" s="98" t="s">
        <v>868</v>
      </c>
      <c r="G146" s="52" t="s">
        <v>61</v>
      </c>
      <c r="H146" s="16" t="s">
        <v>816</v>
      </c>
      <c r="I146" s="16" t="s">
        <v>901</v>
      </c>
      <c r="J146" s="16" t="s">
        <v>908</v>
      </c>
      <c r="K146" s="52" t="s">
        <v>61</v>
      </c>
      <c r="L146" s="98" t="s">
        <v>933</v>
      </c>
      <c r="M146" s="52"/>
      <c r="N146" s="16" t="s">
        <v>934</v>
      </c>
      <c r="O146" s="98" t="s">
        <v>61</v>
      </c>
      <c r="P146" s="98" t="s">
        <v>935</v>
      </c>
      <c r="Q146" s="18"/>
      <c r="R146" s="183" t="s">
        <v>95</v>
      </c>
      <c r="S146" s="16" t="s">
        <v>66</v>
      </c>
      <c r="T146" s="16"/>
      <c r="U146" s="16"/>
      <c r="V146" s="16"/>
      <c r="W146" s="16">
        <f>ROUND(IF(D146=Table!$C$3,Y146*Table!$C$4/8,Y146*Table!$D$4/8),3)</f>
        <v>247.5</v>
      </c>
      <c r="X146" s="16">
        <f t="shared" si="22"/>
        <v>247.5</v>
      </c>
      <c r="Y146" s="16">
        <v>4.4000000000000004</v>
      </c>
      <c r="Z146" s="16">
        <v>2</v>
      </c>
      <c r="AA146" s="16" t="s">
        <v>74</v>
      </c>
      <c r="AB146" s="99">
        <v>43994</v>
      </c>
      <c r="AC146" s="99">
        <v>43980</v>
      </c>
      <c r="AD146" s="99">
        <v>43994</v>
      </c>
      <c r="AE146" s="99">
        <v>43991</v>
      </c>
      <c r="AF146" s="99">
        <v>43991</v>
      </c>
      <c r="AG146" s="99" t="s">
        <v>176</v>
      </c>
      <c r="AH146" s="163">
        <v>1</v>
      </c>
      <c r="AI146" s="163">
        <v>1</v>
      </c>
      <c r="AJ146" s="163">
        <v>1</v>
      </c>
      <c r="AK146" s="14" t="s">
        <v>150</v>
      </c>
      <c r="AL146" s="134"/>
      <c r="AM146" s="15"/>
      <c r="AN146" s="15"/>
    </row>
    <row r="147" spans="2:40" x14ac:dyDescent="0.25">
      <c r="B147" s="132">
        <f t="shared" ref="B147:B178" si="23">B146+1</f>
        <v>88</v>
      </c>
      <c r="C147" s="16">
        <v>20200529</v>
      </c>
      <c r="D147" s="16" t="s">
        <v>3</v>
      </c>
      <c r="E147" s="141" t="s">
        <v>871</v>
      </c>
      <c r="F147" s="98" t="s">
        <v>868</v>
      </c>
      <c r="G147" s="52" t="s">
        <v>61</v>
      </c>
      <c r="H147" s="16" t="s">
        <v>817</v>
      </c>
      <c r="I147" s="16" t="s">
        <v>902</v>
      </c>
      <c r="J147" s="16" t="s">
        <v>908</v>
      </c>
      <c r="K147" s="52" t="s">
        <v>61</v>
      </c>
      <c r="L147" s="98" t="s">
        <v>933</v>
      </c>
      <c r="M147" s="52"/>
      <c r="N147" s="16" t="s">
        <v>934</v>
      </c>
      <c r="O147" s="98" t="s">
        <v>61</v>
      </c>
      <c r="P147" s="98" t="s">
        <v>935</v>
      </c>
      <c r="Q147" s="18"/>
      <c r="R147" s="183" t="s">
        <v>95</v>
      </c>
      <c r="S147" s="16" t="s">
        <v>66</v>
      </c>
      <c r="T147" s="16"/>
      <c r="U147" s="16"/>
      <c r="V147" s="16"/>
      <c r="W147" s="16">
        <f>ROUND(IF(D147=Table!$C$3,Y147*Table!$C$4/8,Y147*Table!$D$4/8),3)</f>
        <v>112.5</v>
      </c>
      <c r="X147" s="16">
        <f t="shared" si="22"/>
        <v>112.5</v>
      </c>
      <c r="Y147" s="16">
        <v>2</v>
      </c>
      <c r="Z147" s="16">
        <v>2</v>
      </c>
      <c r="AA147" s="16" t="s">
        <v>74</v>
      </c>
      <c r="AB147" s="99">
        <v>43994</v>
      </c>
      <c r="AC147" s="99">
        <v>43980</v>
      </c>
      <c r="AD147" s="99">
        <v>43994</v>
      </c>
      <c r="AE147" s="99">
        <v>43991</v>
      </c>
      <c r="AF147" s="99">
        <v>43991</v>
      </c>
      <c r="AG147" s="99" t="s">
        <v>176</v>
      </c>
      <c r="AH147" s="163">
        <v>1</v>
      </c>
      <c r="AI147" s="163">
        <v>1</v>
      </c>
      <c r="AJ147" s="163">
        <v>1</v>
      </c>
      <c r="AK147" s="14" t="s">
        <v>150</v>
      </c>
      <c r="AL147" s="134"/>
      <c r="AM147" s="15"/>
      <c r="AN147" s="15"/>
    </row>
    <row r="148" spans="2:40" x14ac:dyDescent="0.25">
      <c r="B148" s="132">
        <f t="shared" si="23"/>
        <v>89</v>
      </c>
      <c r="C148" s="16">
        <v>20200529</v>
      </c>
      <c r="D148" s="16" t="s">
        <v>3</v>
      </c>
      <c r="E148" s="141" t="s">
        <v>871</v>
      </c>
      <c r="F148" s="98" t="s">
        <v>869</v>
      </c>
      <c r="G148" s="52" t="s">
        <v>61</v>
      </c>
      <c r="H148" s="16" t="s">
        <v>729</v>
      </c>
      <c r="I148" s="16" t="s">
        <v>903</v>
      </c>
      <c r="J148" s="16" t="s">
        <v>835</v>
      </c>
      <c r="K148" s="52" t="s">
        <v>61</v>
      </c>
      <c r="L148" s="98" t="s">
        <v>933</v>
      </c>
      <c r="M148" s="52"/>
      <c r="N148" s="16" t="s">
        <v>934</v>
      </c>
      <c r="O148" s="98" t="s">
        <v>61</v>
      </c>
      <c r="P148" s="98" t="s">
        <v>935</v>
      </c>
      <c r="Q148" s="18"/>
      <c r="R148" s="183" t="s">
        <v>95</v>
      </c>
      <c r="S148" s="16" t="s">
        <v>66</v>
      </c>
      <c r="T148" s="16"/>
      <c r="U148" s="16"/>
      <c r="V148" s="16"/>
      <c r="W148" s="16">
        <f>ROUND(IF(D148=Table!$C$3,Y148*Table!$C$4/8,Y148*Table!$D$4/8),3)</f>
        <v>67.5</v>
      </c>
      <c r="X148" s="16">
        <f t="shared" si="22"/>
        <v>67.5</v>
      </c>
      <c r="Y148" s="16">
        <v>1.2</v>
      </c>
      <c r="Z148" s="16">
        <v>2</v>
      </c>
      <c r="AA148" s="16" t="s">
        <v>74</v>
      </c>
      <c r="AB148" s="99">
        <v>43994</v>
      </c>
      <c r="AC148" s="99">
        <v>43980</v>
      </c>
      <c r="AD148" s="99">
        <v>43994</v>
      </c>
      <c r="AE148" s="99">
        <v>43991</v>
      </c>
      <c r="AF148" s="99">
        <v>43991</v>
      </c>
      <c r="AG148" s="99" t="s">
        <v>176</v>
      </c>
      <c r="AH148" s="163">
        <v>1</v>
      </c>
      <c r="AI148" s="163">
        <v>1</v>
      </c>
      <c r="AJ148" s="163">
        <v>1</v>
      </c>
      <c r="AK148" s="14" t="s">
        <v>150</v>
      </c>
      <c r="AL148" s="134"/>
      <c r="AM148" s="15"/>
      <c r="AN148" s="15"/>
    </row>
    <row r="149" spans="2:40" x14ac:dyDescent="0.25">
      <c r="B149" s="132">
        <f t="shared" si="23"/>
        <v>90</v>
      </c>
      <c r="C149" s="16">
        <v>20200529</v>
      </c>
      <c r="D149" s="16" t="s">
        <v>3</v>
      </c>
      <c r="E149" s="141" t="s">
        <v>871</v>
      </c>
      <c r="F149" s="98" t="s">
        <v>869</v>
      </c>
      <c r="G149" s="52" t="s">
        <v>61</v>
      </c>
      <c r="H149" s="16" t="s">
        <v>822</v>
      </c>
      <c r="I149" s="16" t="s">
        <v>904</v>
      </c>
      <c r="J149" s="16" t="s">
        <v>908</v>
      </c>
      <c r="K149" s="52" t="s">
        <v>61</v>
      </c>
      <c r="L149" s="98" t="s">
        <v>933</v>
      </c>
      <c r="M149" s="52"/>
      <c r="N149" s="16" t="s">
        <v>934</v>
      </c>
      <c r="O149" s="98" t="s">
        <v>61</v>
      </c>
      <c r="P149" s="98" t="s">
        <v>935</v>
      </c>
      <c r="Q149" s="18"/>
      <c r="R149" s="183" t="s">
        <v>95</v>
      </c>
      <c r="S149" s="16" t="s">
        <v>66</v>
      </c>
      <c r="T149" s="16"/>
      <c r="U149" s="16"/>
      <c r="V149" s="16"/>
      <c r="W149" s="16">
        <f>ROUND(IF(D149=Table!$C$3,Y149*Table!$C$4/8,Y149*Table!$D$4/8),3)</f>
        <v>61.424999999999997</v>
      </c>
      <c r="X149" s="16">
        <f t="shared" si="22"/>
        <v>61.424999999999997</v>
      </c>
      <c r="Y149" s="16">
        <v>1.0919999999999999</v>
      </c>
      <c r="Z149" s="16">
        <v>2</v>
      </c>
      <c r="AA149" s="16" t="s">
        <v>74</v>
      </c>
      <c r="AB149" s="99">
        <v>43994</v>
      </c>
      <c r="AC149" s="99">
        <v>43980</v>
      </c>
      <c r="AD149" s="99">
        <v>43994</v>
      </c>
      <c r="AE149" s="99">
        <v>43991</v>
      </c>
      <c r="AF149" s="99">
        <v>43991</v>
      </c>
      <c r="AG149" s="99" t="s">
        <v>176</v>
      </c>
      <c r="AH149" s="163">
        <v>1</v>
      </c>
      <c r="AI149" s="163">
        <v>1</v>
      </c>
      <c r="AJ149" s="163">
        <v>0.5</v>
      </c>
      <c r="AK149" s="14" t="s">
        <v>150</v>
      </c>
      <c r="AL149" s="134"/>
      <c r="AM149" s="15"/>
      <c r="AN149" s="15"/>
    </row>
    <row r="150" spans="2:40" x14ac:dyDescent="0.25">
      <c r="B150" s="132">
        <f t="shared" si="23"/>
        <v>91</v>
      </c>
      <c r="C150" s="16">
        <v>20200529</v>
      </c>
      <c r="D150" s="16" t="s">
        <v>3</v>
      </c>
      <c r="E150" s="141" t="s">
        <v>871</v>
      </c>
      <c r="F150" s="98" t="s">
        <v>870</v>
      </c>
      <c r="G150" s="52" t="s">
        <v>61</v>
      </c>
      <c r="H150" s="16" t="s">
        <v>823</v>
      </c>
      <c r="I150" s="16" t="s">
        <v>905</v>
      </c>
      <c r="J150" s="16" t="s">
        <v>908</v>
      </c>
      <c r="K150" s="52" t="s">
        <v>61</v>
      </c>
      <c r="L150" s="98" t="s">
        <v>933</v>
      </c>
      <c r="M150" s="52"/>
      <c r="N150" s="16" t="s">
        <v>934</v>
      </c>
      <c r="O150" s="98" t="s">
        <v>61</v>
      </c>
      <c r="P150" s="98" t="s">
        <v>935</v>
      </c>
      <c r="Q150" s="18"/>
      <c r="R150" s="183" t="s">
        <v>95</v>
      </c>
      <c r="S150" s="16" t="s">
        <v>66</v>
      </c>
      <c r="T150" s="16"/>
      <c r="U150" s="16"/>
      <c r="V150" s="16"/>
      <c r="W150" s="16">
        <f>ROUND(IF(D150=Table!$C$3,Y150*Table!$C$4/8,Y150*Table!$D$4/8),3)</f>
        <v>77.805000000000007</v>
      </c>
      <c r="X150" s="16">
        <f t="shared" si="22"/>
        <v>77.805000000000007</v>
      </c>
      <c r="Y150" s="16">
        <v>1.3832</v>
      </c>
      <c r="Z150" s="16">
        <v>2</v>
      </c>
      <c r="AA150" s="16" t="s">
        <v>74</v>
      </c>
      <c r="AB150" s="99">
        <v>43994</v>
      </c>
      <c r="AC150" s="99">
        <v>43980</v>
      </c>
      <c r="AD150" s="99">
        <v>43994</v>
      </c>
      <c r="AE150" s="99">
        <v>43991</v>
      </c>
      <c r="AF150" s="99">
        <v>43991</v>
      </c>
      <c r="AG150" s="99" t="s">
        <v>176</v>
      </c>
      <c r="AH150" s="163">
        <v>1</v>
      </c>
      <c r="AI150" s="163">
        <v>1</v>
      </c>
      <c r="AJ150" s="163">
        <v>0.5</v>
      </c>
      <c r="AK150" s="14" t="s">
        <v>150</v>
      </c>
      <c r="AL150" s="134"/>
      <c r="AM150" s="15"/>
      <c r="AN150" s="15"/>
    </row>
    <row r="151" spans="2:40" x14ac:dyDescent="0.25">
      <c r="B151" s="132">
        <f t="shared" si="23"/>
        <v>92</v>
      </c>
      <c r="C151" s="16">
        <v>20200529</v>
      </c>
      <c r="D151" s="16" t="s">
        <v>3</v>
      </c>
      <c r="E151" s="141" t="s">
        <v>871</v>
      </c>
      <c r="F151" s="98" t="s">
        <v>870</v>
      </c>
      <c r="G151" s="52" t="s">
        <v>61</v>
      </c>
      <c r="H151" s="16" t="s">
        <v>921</v>
      </c>
      <c r="I151" s="16" t="s">
        <v>906</v>
      </c>
      <c r="J151" s="16" t="s">
        <v>908</v>
      </c>
      <c r="K151" s="52" t="s">
        <v>61</v>
      </c>
      <c r="L151" s="98" t="s">
        <v>933</v>
      </c>
      <c r="M151" s="52"/>
      <c r="N151" s="16" t="s">
        <v>934</v>
      </c>
      <c r="O151" s="98" t="s">
        <v>61</v>
      </c>
      <c r="P151" s="98" t="s">
        <v>935</v>
      </c>
      <c r="Q151" s="18"/>
      <c r="R151" s="183" t="s">
        <v>95</v>
      </c>
      <c r="S151" s="16" t="s">
        <v>66</v>
      </c>
      <c r="T151" s="16"/>
      <c r="U151" s="16"/>
      <c r="V151" s="16"/>
      <c r="W151" s="16">
        <f>ROUND(IF(D151=Table!$C$3,Y151*Table!$C$4/8,Y151*Table!$D$4/8),3)</f>
        <v>61.424999999999997</v>
      </c>
      <c r="X151" s="16">
        <f t="shared" si="22"/>
        <v>61.424999999999997</v>
      </c>
      <c r="Y151" s="16">
        <v>1.0919999999999999</v>
      </c>
      <c r="Z151" s="16">
        <v>2</v>
      </c>
      <c r="AA151" s="16" t="s">
        <v>74</v>
      </c>
      <c r="AB151" s="99">
        <v>43994</v>
      </c>
      <c r="AC151" s="99">
        <v>43980</v>
      </c>
      <c r="AD151" s="99">
        <v>43994</v>
      </c>
      <c r="AE151" s="99">
        <v>43991</v>
      </c>
      <c r="AF151" s="99">
        <v>43991</v>
      </c>
      <c r="AG151" s="99" t="s">
        <v>176</v>
      </c>
      <c r="AH151" s="163">
        <v>1</v>
      </c>
      <c r="AI151" s="163">
        <v>1</v>
      </c>
      <c r="AJ151" s="163">
        <v>1</v>
      </c>
      <c r="AK151" s="14" t="s">
        <v>150</v>
      </c>
      <c r="AL151" s="134"/>
      <c r="AM151" s="15"/>
      <c r="AN151" s="15"/>
    </row>
    <row r="152" spans="2:40" x14ac:dyDescent="0.25">
      <c r="B152" s="132">
        <f t="shared" si="23"/>
        <v>93</v>
      </c>
      <c r="C152" s="16">
        <v>20200529</v>
      </c>
      <c r="D152" s="16" t="s">
        <v>3</v>
      </c>
      <c r="E152" s="141" t="s">
        <v>871</v>
      </c>
      <c r="F152" s="98" t="s">
        <v>870</v>
      </c>
      <c r="G152" s="52" t="s">
        <v>61</v>
      </c>
      <c r="H152" s="16" t="s">
        <v>922</v>
      </c>
      <c r="I152" s="16" t="s">
        <v>907</v>
      </c>
      <c r="J152" s="16" t="s">
        <v>836</v>
      </c>
      <c r="K152" s="52" t="s">
        <v>61</v>
      </c>
      <c r="L152" s="98" t="s">
        <v>933</v>
      </c>
      <c r="M152" s="52"/>
      <c r="N152" s="16" t="s">
        <v>934</v>
      </c>
      <c r="O152" s="98" t="s">
        <v>61</v>
      </c>
      <c r="P152" s="98" t="s">
        <v>935</v>
      </c>
      <c r="Q152" s="18"/>
      <c r="R152" s="183" t="s">
        <v>95</v>
      </c>
      <c r="S152" s="16" t="s">
        <v>66</v>
      </c>
      <c r="T152" s="16"/>
      <c r="U152" s="16"/>
      <c r="V152" s="16"/>
      <c r="W152" s="16">
        <f>ROUND(IF(D152=Table!$C$3,Y152*Table!$C$4/8,Y152*Table!$D$4/8),3)</f>
        <v>225</v>
      </c>
      <c r="X152" s="16">
        <f t="shared" si="22"/>
        <v>225</v>
      </c>
      <c r="Y152" s="16">
        <v>4</v>
      </c>
      <c r="Z152" s="16">
        <v>2</v>
      </c>
      <c r="AA152" s="16" t="s">
        <v>74</v>
      </c>
      <c r="AB152" s="99">
        <v>43994</v>
      </c>
      <c r="AC152" s="99">
        <v>43980</v>
      </c>
      <c r="AD152" s="99">
        <v>43994</v>
      </c>
      <c r="AE152" s="99">
        <v>43991</v>
      </c>
      <c r="AF152" s="99">
        <v>43991</v>
      </c>
      <c r="AG152" s="99" t="s">
        <v>177</v>
      </c>
      <c r="AH152" s="163">
        <v>0.98</v>
      </c>
      <c r="AI152" s="163">
        <v>0.96</v>
      </c>
      <c r="AJ152" s="163">
        <v>0.89</v>
      </c>
      <c r="AK152" s="14" t="s">
        <v>150</v>
      </c>
      <c r="AL152" s="134" t="s">
        <v>1442</v>
      </c>
      <c r="AM152" s="15"/>
      <c r="AN152" s="15"/>
    </row>
    <row r="153" spans="2:40" x14ac:dyDescent="0.25">
      <c r="B153" s="171">
        <f t="shared" si="23"/>
        <v>94</v>
      </c>
      <c r="C153" s="16">
        <v>20200608</v>
      </c>
      <c r="D153" s="16" t="s">
        <v>2</v>
      </c>
      <c r="E153" s="141" t="s">
        <v>667</v>
      </c>
      <c r="F153" s="98" t="s">
        <v>1386</v>
      </c>
      <c r="G153" s="52" t="s">
        <v>61</v>
      </c>
      <c r="H153" s="16" t="s">
        <v>1349</v>
      </c>
      <c r="I153" s="16" t="s">
        <v>1309</v>
      </c>
      <c r="J153" s="16" t="s">
        <v>835</v>
      </c>
      <c r="K153" s="52" t="s">
        <v>61</v>
      </c>
      <c r="L153" s="98" t="s">
        <v>61</v>
      </c>
      <c r="M153" s="52"/>
      <c r="N153" s="16" t="s">
        <v>1391</v>
      </c>
      <c r="O153" s="98" t="s">
        <v>1364</v>
      </c>
      <c r="P153" s="98" t="s">
        <v>1373</v>
      </c>
      <c r="Q153" s="18"/>
      <c r="R153" s="16" t="s">
        <v>135</v>
      </c>
      <c r="S153" s="16" t="s">
        <v>64</v>
      </c>
      <c r="T153" s="16"/>
      <c r="U153" s="16"/>
      <c r="V153" s="16">
        <v>82</v>
      </c>
      <c r="W153" s="15">
        <f>ROUND(IF(D153=Table!$C$3,Y153*Table!$C$4/8,Y153*Table!$D$4/8),3)</f>
        <v>65</v>
      </c>
      <c r="X153" s="16">
        <f t="shared" si="22"/>
        <v>65</v>
      </c>
      <c r="Y153" s="16">
        <v>4</v>
      </c>
      <c r="Z153" s="16">
        <v>2</v>
      </c>
      <c r="AA153" s="16" t="s">
        <v>74</v>
      </c>
      <c r="AB153" s="99">
        <v>43994</v>
      </c>
      <c r="AC153" s="99">
        <v>43990</v>
      </c>
      <c r="AD153" s="99">
        <v>43994</v>
      </c>
      <c r="AE153" s="99">
        <v>43990</v>
      </c>
      <c r="AF153" s="99">
        <v>43990</v>
      </c>
      <c r="AG153" s="99" t="s">
        <v>176</v>
      </c>
      <c r="AH153" s="100">
        <v>1</v>
      </c>
      <c r="AI153" s="100">
        <v>1</v>
      </c>
      <c r="AJ153" s="100">
        <v>1</v>
      </c>
      <c r="AK153" s="157" t="s">
        <v>150</v>
      </c>
      <c r="AL153" s="134"/>
      <c r="AM153" s="15"/>
      <c r="AN153" s="15"/>
    </row>
    <row r="154" spans="2:40" x14ac:dyDescent="0.25">
      <c r="B154" s="171">
        <f t="shared" si="23"/>
        <v>95</v>
      </c>
      <c r="C154" s="16">
        <v>20200608</v>
      </c>
      <c r="D154" s="16" t="s">
        <v>2</v>
      </c>
      <c r="E154" s="141" t="s">
        <v>667</v>
      </c>
      <c r="F154" s="98" t="s">
        <v>1386</v>
      </c>
      <c r="G154" s="52" t="s">
        <v>61</v>
      </c>
      <c r="H154" s="16" t="s">
        <v>1350</v>
      </c>
      <c r="I154" s="16" t="s">
        <v>1310</v>
      </c>
      <c r="J154" s="16" t="s">
        <v>834</v>
      </c>
      <c r="K154" s="52" t="s">
        <v>61</v>
      </c>
      <c r="L154" s="98" t="s">
        <v>61</v>
      </c>
      <c r="M154" s="52"/>
      <c r="N154" s="16" t="s">
        <v>1391</v>
      </c>
      <c r="O154" s="98" t="s">
        <v>1365</v>
      </c>
      <c r="P154" s="98" t="s">
        <v>1373</v>
      </c>
      <c r="Q154" s="18"/>
      <c r="R154" s="16" t="s">
        <v>135</v>
      </c>
      <c r="S154" s="16" t="s">
        <v>64</v>
      </c>
      <c r="T154" s="16"/>
      <c r="U154" s="16"/>
      <c r="V154" s="16">
        <v>190</v>
      </c>
      <c r="W154" s="15">
        <f>ROUND(IF(D154=Table!$C$3,Y154*Table!$C$4/8,Y154*Table!$D$4/8),3)</f>
        <v>159.9</v>
      </c>
      <c r="X154" s="16">
        <f t="shared" si="22"/>
        <v>159.9</v>
      </c>
      <c r="Y154" s="16">
        <v>9.84</v>
      </c>
      <c r="Z154" s="16">
        <v>4</v>
      </c>
      <c r="AA154" s="16" t="s">
        <v>74</v>
      </c>
      <c r="AB154" s="99">
        <v>43994</v>
      </c>
      <c r="AC154" s="99">
        <v>43990</v>
      </c>
      <c r="AD154" s="99">
        <v>43994</v>
      </c>
      <c r="AE154" s="99">
        <v>43990</v>
      </c>
      <c r="AF154" s="99">
        <v>43990</v>
      </c>
      <c r="AG154" s="99" t="s">
        <v>177</v>
      </c>
      <c r="AH154" s="100">
        <v>1</v>
      </c>
      <c r="AI154" s="100">
        <v>1</v>
      </c>
      <c r="AJ154" s="100">
        <v>0.94099999999999995</v>
      </c>
      <c r="AK154" s="157" t="s">
        <v>150</v>
      </c>
      <c r="AL154" s="223" t="s">
        <v>1420</v>
      </c>
      <c r="AM154" s="15"/>
      <c r="AN154" s="15"/>
    </row>
    <row r="155" spans="2:40" x14ac:dyDescent="0.25">
      <c r="B155" s="171">
        <f t="shared" si="23"/>
        <v>96</v>
      </c>
      <c r="C155" s="16">
        <v>20200608</v>
      </c>
      <c r="D155" s="16" t="s">
        <v>2</v>
      </c>
      <c r="E155" s="141" t="s">
        <v>667</v>
      </c>
      <c r="F155" s="98" t="s">
        <v>1386</v>
      </c>
      <c r="G155" s="52" t="s">
        <v>61</v>
      </c>
      <c r="H155" s="16" t="s">
        <v>929</v>
      </c>
      <c r="I155" s="16" t="s">
        <v>1311</v>
      </c>
      <c r="J155" s="16" t="s">
        <v>834</v>
      </c>
      <c r="K155" s="52" t="s">
        <v>61</v>
      </c>
      <c r="L155" s="98" t="s">
        <v>61</v>
      </c>
      <c r="M155" s="52"/>
      <c r="N155" s="16" t="s">
        <v>1391</v>
      </c>
      <c r="O155" s="98" t="s">
        <v>1366</v>
      </c>
      <c r="P155" s="98" t="s">
        <v>1373</v>
      </c>
      <c r="Q155" s="18"/>
      <c r="R155" s="16" t="s">
        <v>1393</v>
      </c>
      <c r="S155" s="16" t="s">
        <v>65</v>
      </c>
      <c r="T155" s="16"/>
      <c r="U155" s="16"/>
      <c r="V155" s="16">
        <v>49</v>
      </c>
      <c r="W155" s="15">
        <f>ROUND(IF(D155=Table!$C$3,Y155*Table!$C$4/8,Y155*Table!$D$4/8),3)</f>
        <v>39</v>
      </c>
      <c r="X155" s="16">
        <f t="shared" si="22"/>
        <v>39</v>
      </c>
      <c r="Y155" s="16">
        <v>2.4</v>
      </c>
      <c r="Z155" s="16">
        <v>2</v>
      </c>
      <c r="AA155" s="16" t="s">
        <v>74</v>
      </c>
      <c r="AB155" s="99">
        <v>43994</v>
      </c>
      <c r="AC155" s="99">
        <v>43990</v>
      </c>
      <c r="AD155" s="99">
        <v>43994</v>
      </c>
      <c r="AE155" s="99">
        <v>43990</v>
      </c>
      <c r="AF155" s="99">
        <v>43990</v>
      </c>
      <c r="AG155" s="99" t="s">
        <v>176</v>
      </c>
      <c r="AH155" s="100">
        <v>1</v>
      </c>
      <c r="AI155" s="100">
        <v>1</v>
      </c>
      <c r="AJ155" s="100">
        <v>1</v>
      </c>
      <c r="AK155" s="157" t="s">
        <v>150</v>
      </c>
      <c r="AL155" s="134"/>
      <c r="AM155" s="15"/>
      <c r="AN155" s="15"/>
    </row>
    <row r="156" spans="2:40" x14ac:dyDescent="0.25">
      <c r="B156" s="171">
        <f t="shared" si="23"/>
        <v>97</v>
      </c>
      <c r="C156" s="16">
        <v>20200608</v>
      </c>
      <c r="D156" s="16" t="s">
        <v>2</v>
      </c>
      <c r="E156" s="141" t="s">
        <v>667</v>
      </c>
      <c r="F156" s="98" t="s">
        <v>1386</v>
      </c>
      <c r="G156" s="52" t="s">
        <v>61</v>
      </c>
      <c r="H156" s="16" t="s">
        <v>930</v>
      </c>
      <c r="I156" s="16" t="s">
        <v>1312</v>
      </c>
      <c r="J156" s="16" t="s">
        <v>834</v>
      </c>
      <c r="K156" s="52" t="s">
        <v>61</v>
      </c>
      <c r="L156" s="98" t="s">
        <v>61</v>
      </c>
      <c r="M156" s="52"/>
      <c r="N156" s="16" t="s">
        <v>1391</v>
      </c>
      <c r="O156" s="98" t="s">
        <v>1367</v>
      </c>
      <c r="P156" s="98" t="s">
        <v>1373</v>
      </c>
      <c r="Q156" s="18"/>
      <c r="R156" s="16" t="s">
        <v>1444</v>
      </c>
      <c r="S156" s="16" t="s">
        <v>66</v>
      </c>
      <c r="T156" s="16"/>
      <c r="U156" s="16"/>
      <c r="V156" s="16">
        <v>47</v>
      </c>
      <c r="W156" s="15">
        <f>ROUND(IF(D156=Table!$C$3,Y156*Table!$C$4/8,Y156*Table!$D$4/8),3)</f>
        <v>39</v>
      </c>
      <c r="X156" s="16">
        <f t="shared" si="22"/>
        <v>39</v>
      </c>
      <c r="Y156" s="16">
        <v>2.4</v>
      </c>
      <c r="Z156" s="16">
        <v>2</v>
      </c>
      <c r="AA156" s="16" t="s">
        <v>74</v>
      </c>
      <c r="AB156" s="99">
        <v>43994</v>
      </c>
      <c r="AC156" s="99">
        <v>43990</v>
      </c>
      <c r="AD156" s="99">
        <v>43994</v>
      </c>
      <c r="AE156" s="99">
        <v>43991</v>
      </c>
      <c r="AF156" s="99">
        <v>43991</v>
      </c>
      <c r="AG156" s="99" t="s">
        <v>176</v>
      </c>
      <c r="AH156" s="100">
        <v>1</v>
      </c>
      <c r="AI156" s="100">
        <v>1</v>
      </c>
      <c r="AJ156" s="100">
        <v>1</v>
      </c>
      <c r="AK156" s="157" t="s">
        <v>150</v>
      </c>
      <c r="AL156" s="134"/>
      <c r="AM156" s="15"/>
      <c r="AN156" s="15"/>
    </row>
    <row r="157" spans="2:40" x14ac:dyDescent="0.25">
      <c r="B157" s="171">
        <f t="shared" si="23"/>
        <v>98</v>
      </c>
      <c r="C157" s="16">
        <v>20200608</v>
      </c>
      <c r="D157" s="16" t="s">
        <v>2</v>
      </c>
      <c r="E157" s="141" t="s">
        <v>667</v>
      </c>
      <c r="F157" s="98" t="s">
        <v>1386</v>
      </c>
      <c r="G157" s="52" t="s">
        <v>61</v>
      </c>
      <c r="H157" s="16" t="s">
        <v>931</v>
      </c>
      <c r="I157" s="16" t="s">
        <v>1313</v>
      </c>
      <c r="J157" s="16" t="s">
        <v>834</v>
      </c>
      <c r="K157" s="52" t="s">
        <v>61</v>
      </c>
      <c r="L157" s="98" t="s">
        <v>61</v>
      </c>
      <c r="M157" s="52"/>
      <c r="N157" s="16" t="s">
        <v>1391</v>
      </c>
      <c r="O157" s="98" t="s">
        <v>1368</v>
      </c>
      <c r="P157" s="98" t="s">
        <v>1373</v>
      </c>
      <c r="Q157" s="18"/>
      <c r="R157" s="16" t="s">
        <v>1444</v>
      </c>
      <c r="S157" s="16" t="s">
        <v>66</v>
      </c>
      <c r="T157" s="16"/>
      <c r="U157" s="16"/>
      <c r="V157" s="16">
        <v>165</v>
      </c>
      <c r="W157" s="15">
        <f>ROUND(IF(D157=Table!$C$3,Y157*Table!$C$4/8,Y157*Table!$D$4/8),3)</f>
        <v>137.80000000000001</v>
      </c>
      <c r="X157" s="16">
        <f t="shared" si="22"/>
        <v>137.80000000000001</v>
      </c>
      <c r="Y157" s="16">
        <v>8.48</v>
      </c>
      <c r="Z157" s="16">
        <v>2</v>
      </c>
      <c r="AA157" s="16" t="s">
        <v>74</v>
      </c>
      <c r="AB157" s="99">
        <v>43994</v>
      </c>
      <c r="AC157" s="99">
        <v>43990</v>
      </c>
      <c r="AD157" s="99">
        <v>43994</v>
      </c>
      <c r="AE157" s="99">
        <v>43991</v>
      </c>
      <c r="AF157" s="99">
        <v>43991</v>
      </c>
      <c r="AG157" s="99" t="s">
        <v>176</v>
      </c>
      <c r="AH157" s="100">
        <v>1</v>
      </c>
      <c r="AI157" s="100">
        <v>1</v>
      </c>
      <c r="AJ157" s="100">
        <v>1</v>
      </c>
      <c r="AK157" s="157" t="s">
        <v>150</v>
      </c>
      <c r="AL157" s="134"/>
      <c r="AM157" s="15"/>
      <c r="AN157" s="15"/>
    </row>
    <row r="158" spans="2:40" x14ac:dyDescent="0.25">
      <c r="B158" s="171">
        <f t="shared" si="23"/>
        <v>99</v>
      </c>
      <c r="C158" s="16">
        <v>20200608</v>
      </c>
      <c r="D158" s="16" t="s">
        <v>2</v>
      </c>
      <c r="E158" s="141" t="s">
        <v>667</v>
      </c>
      <c r="F158" s="98" t="s">
        <v>1386</v>
      </c>
      <c r="G158" s="52" t="s">
        <v>61</v>
      </c>
      <c r="H158" s="16" t="s">
        <v>1351</v>
      </c>
      <c r="I158" s="16" t="s">
        <v>1314</v>
      </c>
      <c r="J158" s="16" t="s">
        <v>834</v>
      </c>
      <c r="K158" s="52" t="s">
        <v>61</v>
      </c>
      <c r="L158" s="98" t="s">
        <v>61</v>
      </c>
      <c r="M158" s="52"/>
      <c r="N158" s="16" t="s">
        <v>1391</v>
      </c>
      <c r="O158" s="98" t="s">
        <v>1369</v>
      </c>
      <c r="P158" s="98" t="s">
        <v>1373</v>
      </c>
      <c r="Q158" s="18"/>
      <c r="R158" s="16" t="s">
        <v>1443</v>
      </c>
      <c r="S158" s="16" t="s">
        <v>141</v>
      </c>
      <c r="T158" s="16"/>
      <c r="U158" s="16"/>
      <c r="V158" s="16">
        <v>165</v>
      </c>
      <c r="W158" s="15">
        <f>ROUND(IF(D158=Table!$C$3,Y158*Table!$C$4/8,Y158*Table!$D$4/8),3)</f>
        <v>137.80000000000001</v>
      </c>
      <c r="X158" s="16">
        <v>137.80000000000001</v>
      </c>
      <c r="Y158" s="16">
        <v>8.48</v>
      </c>
      <c r="Z158" s="16">
        <v>4</v>
      </c>
      <c r="AA158" s="16" t="s">
        <v>74</v>
      </c>
      <c r="AB158" s="99">
        <v>43994</v>
      </c>
      <c r="AC158" s="99">
        <v>43990</v>
      </c>
      <c r="AD158" s="99">
        <v>43994</v>
      </c>
      <c r="AE158" s="99">
        <v>43991</v>
      </c>
      <c r="AF158" s="99">
        <v>43991</v>
      </c>
      <c r="AG158" s="99" t="s">
        <v>176</v>
      </c>
      <c r="AH158" s="100">
        <v>1</v>
      </c>
      <c r="AI158" s="100">
        <v>1</v>
      </c>
      <c r="AJ158" s="100">
        <v>1</v>
      </c>
      <c r="AK158" s="157" t="s">
        <v>150</v>
      </c>
      <c r="AL158" s="134"/>
      <c r="AM158" s="15"/>
      <c r="AN158" s="15"/>
    </row>
    <row r="159" spans="2:40" x14ac:dyDescent="0.25">
      <c r="B159" s="171">
        <f t="shared" si="23"/>
        <v>100</v>
      </c>
      <c r="C159" s="16">
        <v>20200608</v>
      </c>
      <c r="D159" s="16" t="s">
        <v>2</v>
      </c>
      <c r="E159" s="141" t="s">
        <v>667</v>
      </c>
      <c r="F159" s="98" t="s">
        <v>1386</v>
      </c>
      <c r="G159" s="52" t="s">
        <v>61</v>
      </c>
      <c r="H159" s="16" t="s">
        <v>1352</v>
      </c>
      <c r="I159" s="16" t="s">
        <v>1315</v>
      </c>
      <c r="J159" s="16" t="s">
        <v>834</v>
      </c>
      <c r="K159" s="52" t="s">
        <v>61</v>
      </c>
      <c r="L159" s="98" t="s">
        <v>61</v>
      </c>
      <c r="M159" s="52"/>
      <c r="N159" s="16" t="s">
        <v>1391</v>
      </c>
      <c r="O159" s="98" t="s">
        <v>1370</v>
      </c>
      <c r="P159" s="98" t="s">
        <v>1373</v>
      </c>
      <c r="Q159" s="18"/>
      <c r="R159" s="16" t="s">
        <v>135</v>
      </c>
      <c r="S159" s="16" t="s">
        <v>64</v>
      </c>
      <c r="T159" s="16"/>
      <c r="U159" s="16"/>
      <c r="V159" s="16">
        <v>83</v>
      </c>
      <c r="W159" s="15">
        <f>ROUND(IF(D159=Table!$C$3,Y159*Table!$C$4/8,Y159*Table!$D$4/8),3)</f>
        <v>65</v>
      </c>
      <c r="X159" s="16">
        <f t="shared" ref="X159:X186" si="24">W159</f>
        <v>65</v>
      </c>
      <c r="Y159" s="16">
        <v>4</v>
      </c>
      <c r="Z159" s="16">
        <v>4</v>
      </c>
      <c r="AA159" s="16" t="s">
        <v>74</v>
      </c>
      <c r="AB159" s="99">
        <v>43994</v>
      </c>
      <c r="AC159" s="99">
        <v>43990</v>
      </c>
      <c r="AD159" s="99">
        <v>43994</v>
      </c>
      <c r="AE159" s="99">
        <v>43992</v>
      </c>
      <c r="AF159" s="99">
        <v>43992</v>
      </c>
      <c r="AG159" s="99" t="s">
        <v>177</v>
      </c>
      <c r="AH159" s="100">
        <v>0.94099999999999995</v>
      </c>
      <c r="AI159" s="100">
        <v>0.94299999999999995</v>
      </c>
      <c r="AJ159" s="100">
        <v>1</v>
      </c>
      <c r="AK159" s="157" t="s">
        <v>150</v>
      </c>
      <c r="AL159" s="134" t="s">
        <v>1503</v>
      </c>
      <c r="AM159" s="15"/>
      <c r="AN159" s="15"/>
    </row>
    <row r="160" spans="2:40" x14ac:dyDescent="0.25">
      <c r="B160" s="171">
        <f t="shared" si="23"/>
        <v>101</v>
      </c>
      <c r="C160" s="16">
        <v>20200608</v>
      </c>
      <c r="D160" s="16" t="s">
        <v>2</v>
      </c>
      <c r="E160" s="141" t="s">
        <v>667</v>
      </c>
      <c r="F160" s="98" t="s">
        <v>1387</v>
      </c>
      <c r="G160" s="52" t="s">
        <v>61</v>
      </c>
      <c r="H160" s="16" t="s">
        <v>1353</v>
      </c>
      <c r="I160" s="16" t="s">
        <v>1316</v>
      </c>
      <c r="J160" s="16" t="s">
        <v>835</v>
      </c>
      <c r="K160" s="52" t="s">
        <v>61</v>
      </c>
      <c r="L160" s="98" t="s">
        <v>61</v>
      </c>
      <c r="M160" s="52"/>
      <c r="N160" s="16" t="s">
        <v>1391</v>
      </c>
      <c r="O160" s="98" t="s">
        <v>1371</v>
      </c>
      <c r="P160" s="98" t="s">
        <v>1374</v>
      </c>
      <c r="Q160" s="18"/>
      <c r="R160" s="16" t="s">
        <v>1393</v>
      </c>
      <c r="S160" s="16" t="s">
        <v>65</v>
      </c>
      <c r="T160" s="16"/>
      <c r="U160" s="16"/>
      <c r="V160" s="16">
        <v>59</v>
      </c>
      <c r="W160" s="15">
        <f>ROUND(IF(D160=Table!$C$3,Y160*Table!$C$4/8,Y160*Table!$D$4/8),3)</f>
        <v>61.1</v>
      </c>
      <c r="X160" s="16">
        <f t="shared" si="24"/>
        <v>61.1</v>
      </c>
      <c r="Y160" s="16">
        <v>3.76</v>
      </c>
      <c r="Z160" s="16">
        <v>3</v>
      </c>
      <c r="AA160" s="16" t="s">
        <v>74</v>
      </c>
      <c r="AB160" s="99">
        <v>43994</v>
      </c>
      <c r="AC160" s="99">
        <v>43990</v>
      </c>
      <c r="AD160" s="99">
        <v>43994</v>
      </c>
      <c r="AE160" s="99">
        <v>43990</v>
      </c>
      <c r="AF160" s="99">
        <v>43990</v>
      </c>
      <c r="AG160" s="99" t="s">
        <v>176</v>
      </c>
      <c r="AH160" s="100">
        <v>1</v>
      </c>
      <c r="AI160" s="100">
        <v>1</v>
      </c>
      <c r="AJ160" s="100">
        <v>1</v>
      </c>
      <c r="AK160" s="157" t="s">
        <v>150</v>
      </c>
      <c r="AL160" s="134"/>
      <c r="AM160" s="15"/>
      <c r="AN160" s="15"/>
    </row>
    <row r="161" spans="2:40" x14ac:dyDescent="0.25">
      <c r="B161" s="171">
        <f t="shared" si="23"/>
        <v>102</v>
      </c>
      <c r="C161" s="16">
        <v>20200608</v>
      </c>
      <c r="D161" s="16" t="s">
        <v>2</v>
      </c>
      <c r="E161" s="141" t="s">
        <v>667</v>
      </c>
      <c r="F161" s="98" t="s">
        <v>1388</v>
      </c>
      <c r="G161" s="52" t="s">
        <v>61</v>
      </c>
      <c r="H161" s="16" t="s">
        <v>1354</v>
      </c>
      <c r="I161" s="16" t="s">
        <v>1317</v>
      </c>
      <c r="J161" s="16" t="s">
        <v>835</v>
      </c>
      <c r="K161" s="52" t="s">
        <v>61</v>
      </c>
      <c r="L161" s="98" t="s">
        <v>61</v>
      </c>
      <c r="M161" s="52"/>
      <c r="N161" s="16" t="s">
        <v>1391</v>
      </c>
      <c r="O161" s="98" t="s">
        <v>1372</v>
      </c>
      <c r="P161" s="98" t="s">
        <v>1375</v>
      </c>
      <c r="Q161" s="18"/>
      <c r="R161" s="16" t="s">
        <v>135</v>
      </c>
      <c r="S161" s="16" t="s">
        <v>64</v>
      </c>
      <c r="T161" s="16"/>
      <c r="U161" s="16"/>
      <c r="V161" s="16">
        <v>58</v>
      </c>
      <c r="W161" s="15">
        <f>ROUND(IF(D161=Table!$C$3,Y161*Table!$C$4/8,Y161*Table!$D$4/8),3)</f>
        <v>61.1</v>
      </c>
      <c r="X161" s="16">
        <f t="shared" si="24"/>
        <v>61.1</v>
      </c>
      <c r="Y161" s="16">
        <v>3.76</v>
      </c>
      <c r="Z161" s="16">
        <v>2</v>
      </c>
      <c r="AA161" s="16" t="s">
        <v>74</v>
      </c>
      <c r="AB161" s="99">
        <v>43994</v>
      </c>
      <c r="AC161" s="99">
        <v>43990</v>
      </c>
      <c r="AD161" s="99">
        <v>43994</v>
      </c>
      <c r="AE161" s="99">
        <v>43990</v>
      </c>
      <c r="AF161" s="99">
        <v>43990</v>
      </c>
      <c r="AG161" s="99" t="s">
        <v>176</v>
      </c>
      <c r="AH161" s="100">
        <v>1</v>
      </c>
      <c r="AI161" s="100">
        <v>1</v>
      </c>
      <c r="AJ161" s="100">
        <v>1</v>
      </c>
      <c r="AK161" s="157" t="s">
        <v>150</v>
      </c>
      <c r="AL161" s="134"/>
      <c r="AM161" s="15"/>
      <c r="AN161" s="15"/>
    </row>
    <row r="162" spans="2:40" x14ac:dyDescent="0.25">
      <c r="B162" s="171">
        <f t="shared" si="23"/>
        <v>103</v>
      </c>
      <c r="C162" s="16">
        <v>20200608</v>
      </c>
      <c r="D162" s="16" t="s">
        <v>3</v>
      </c>
      <c r="E162" s="141" t="s">
        <v>667</v>
      </c>
      <c r="F162" s="98" t="s">
        <v>791</v>
      </c>
      <c r="G162" s="52" t="s">
        <v>61</v>
      </c>
      <c r="H162" s="16" t="s">
        <v>1355</v>
      </c>
      <c r="I162" s="16" t="s">
        <v>1318</v>
      </c>
      <c r="J162" s="16" t="s">
        <v>834</v>
      </c>
      <c r="K162" s="52" t="s">
        <v>61</v>
      </c>
      <c r="L162" s="98" t="s">
        <v>949</v>
      </c>
      <c r="M162" s="52"/>
      <c r="N162" s="16" t="s">
        <v>838</v>
      </c>
      <c r="O162" s="98"/>
      <c r="P162" s="98" t="s">
        <v>1376</v>
      </c>
      <c r="Q162" s="18"/>
      <c r="R162" s="16" t="s">
        <v>135</v>
      </c>
      <c r="S162" s="16" t="s">
        <v>64</v>
      </c>
      <c r="T162" s="16"/>
      <c r="U162" s="16"/>
      <c r="V162" s="16">
        <v>140</v>
      </c>
      <c r="W162" s="16">
        <f>ROUND(IF(D162=Table!$C$3,Y162*Table!$C$4/8,Y162*Table!$D$4/8),3)</f>
        <v>67.5</v>
      </c>
      <c r="X162" s="16">
        <f t="shared" si="24"/>
        <v>67.5</v>
      </c>
      <c r="Y162" s="16">
        <v>1.2</v>
      </c>
      <c r="Z162" s="16">
        <v>1</v>
      </c>
      <c r="AA162" s="16" t="s">
        <v>74</v>
      </c>
      <c r="AB162" s="99">
        <v>43994</v>
      </c>
      <c r="AC162" s="99">
        <v>43990</v>
      </c>
      <c r="AD162" s="99">
        <v>43994</v>
      </c>
      <c r="AE162" s="99">
        <v>43991</v>
      </c>
      <c r="AF162" s="99">
        <v>43991</v>
      </c>
      <c r="AG162" s="99" t="s">
        <v>176</v>
      </c>
      <c r="AH162" s="100">
        <v>1</v>
      </c>
      <c r="AI162" s="100">
        <v>1</v>
      </c>
      <c r="AJ162" s="100">
        <v>1</v>
      </c>
      <c r="AK162" s="157" t="s">
        <v>150</v>
      </c>
      <c r="AL162" s="134"/>
      <c r="AM162" s="15"/>
      <c r="AN162" s="15"/>
    </row>
    <row r="163" spans="2:40" x14ac:dyDescent="0.25">
      <c r="B163" s="171">
        <f t="shared" si="23"/>
        <v>104</v>
      </c>
      <c r="C163" s="16">
        <v>20200608</v>
      </c>
      <c r="D163" s="16" t="s">
        <v>3</v>
      </c>
      <c r="E163" s="141" t="s">
        <v>667</v>
      </c>
      <c r="F163" s="98" t="s">
        <v>1389</v>
      </c>
      <c r="G163" s="52" t="s">
        <v>61</v>
      </c>
      <c r="H163" s="16" t="s">
        <v>1356</v>
      </c>
      <c r="I163" s="16" t="s">
        <v>1319</v>
      </c>
      <c r="J163" s="16" t="s">
        <v>834</v>
      </c>
      <c r="K163" s="52" t="s">
        <v>61</v>
      </c>
      <c r="L163" s="98" t="s">
        <v>949</v>
      </c>
      <c r="M163" s="52"/>
      <c r="N163" s="16" t="s">
        <v>838</v>
      </c>
      <c r="O163" s="98"/>
      <c r="P163" s="98" t="s">
        <v>1377</v>
      </c>
      <c r="Q163" s="18"/>
      <c r="R163" s="16" t="s">
        <v>135</v>
      </c>
      <c r="S163" s="16" t="s">
        <v>64</v>
      </c>
      <c r="T163" s="16"/>
      <c r="U163" s="16"/>
      <c r="V163" s="16">
        <v>111</v>
      </c>
      <c r="W163" s="16">
        <f>ROUND(IF(D163=Table!$C$3,Y163*Table!$C$4/8,Y163*Table!$D$4/8),3)</f>
        <v>67.5</v>
      </c>
      <c r="X163" s="16">
        <f t="shared" si="24"/>
        <v>67.5</v>
      </c>
      <c r="Y163" s="16">
        <v>1.2</v>
      </c>
      <c r="Z163" s="16">
        <v>1</v>
      </c>
      <c r="AA163" s="16" t="s">
        <v>74</v>
      </c>
      <c r="AB163" s="99">
        <v>43994</v>
      </c>
      <c r="AC163" s="99">
        <v>43990</v>
      </c>
      <c r="AD163" s="99">
        <v>43994</v>
      </c>
      <c r="AE163" s="99">
        <v>43991</v>
      </c>
      <c r="AF163" s="99">
        <v>43991</v>
      </c>
      <c r="AG163" s="99" t="s">
        <v>176</v>
      </c>
      <c r="AH163" s="100">
        <v>1</v>
      </c>
      <c r="AI163" s="100">
        <v>1</v>
      </c>
      <c r="AJ163" s="100">
        <v>1</v>
      </c>
      <c r="AK163" s="157" t="s">
        <v>150</v>
      </c>
      <c r="AL163" s="134"/>
      <c r="AM163" s="15"/>
      <c r="AN163" s="15"/>
    </row>
    <row r="164" spans="2:40" x14ac:dyDescent="0.25">
      <c r="B164" s="171">
        <f t="shared" si="23"/>
        <v>105</v>
      </c>
      <c r="C164" s="16">
        <v>20200608</v>
      </c>
      <c r="D164" s="16" t="s">
        <v>3</v>
      </c>
      <c r="E164" s="141" t="s">
        <v>667</v>
      </c>
      <c r="F164" s="98" t="s">
        <v>792</v>
      </c>
      <c r="G164" s="52" t="s">
        <v>61</v>
      </c>
      <c r="H164" s="16" t="s">
        <v>1357</v>
      </c>
      <c r="I164" s="16" t="s">
        <v>1320</v>
      </c>
      <c r="J164" s="16" t="s">
        <v>834</v>
      </c>
      <c r="K164" s="52" t="s">
        <v>61</v>
      </c>
      <c r="L164" s="98" t="s">
        <v>949</v>
      </c>
      <c r="M164" s="52"/>
      <c r="N164" s="16" t="s">
        <v>838</v>
      </c>
      <c r="O164" s="98"/>
      <c r="P164" s="98" t="s">
        <v>1378</v>
      </c>
      <c r="Q164" s="18"/>
      <c r="R164" s="16" t="s">
        <v>135</v>
      </c>
      <c r="S164" s="16" t="s">
        <v>64</v>
      </c>
      <c r="T164" s="16"/>
      <c r="U164" s="16"/>
      <c r="V164" s="16">
        <v>68</v>
      </c>
      <c r="W164" s="16">
        <f>ROUND(IF(D164=Table!$C$3,Y164*Table!$C$4/8,Y164*Table!$D$4/8),3)</f>
        <v>67.5</v>
      </c>
      <c r="X164" s="16">
        <f t="shared" si="24"/>
        <v>67.5</v>
      </c>
      <c r="Y164" s="16">
        <v>1.2</v>
      </c>
      <c r="Z164" s="16">
        <v>1</v>
      </c>
      <c r="AA164" s="16" t="s">
        <v>74</v>
      </c>
      <c r="AB164" s="99">
        <v>43994</v>
      </c>
      <c r="AC164" s="99">
        <v>43990</v>
      </c>
      <c r="AD164" s="99">
        <v>43994</v>
      </c>
      <c r="AE164" s="99">
        <v>43991</v>
      </c>
      <c r="AF164" s="99">
        <v>43991</v>
      </c>
      <c r="AG164" s="99" t="s">
        <v>176</v>
      </c>
      <c r="AH164" s="100">
        <v>1</v>
      </c>
      <c r="AI164" s="100">
        <v>1</v>
      </c>
      <c r="AJ164" s="100">
        <v>1</v>
      </c>
      <c r="AK164" s="157" t="s">
        <v>150</v>
      </c>
      <c r="AL164" s="134"/>
      <c r="AM164" s="15"/>
      <c r="AN164" s="15"/>
    </row>
    <row r="165" spans="2:40" x14ac:dyDescent="0.25">
      <c r="B165" s="171">
        <f t="shared" si="23"/>
        <v>106</v>
      </c>
      <c r="C165" s="16">
        <v>20200608</v>
      </c>
      <c r="D165" s="16" t="s">
        <v>3</v>
      </c>
      <c r="E165" s="141" t="s">
        <v>667</v>
      </c>
      <c r="F165" s="98" t="s">
        <v>717</v>
      </c>
      <c r="G165" s="52" t="s">
        <v>61</v>
      </c>
      <c r="H165" s="16" t="s">
        <v>827</v>
      </c>
      <c r="I165" s="16" t="s">
        <v>1321</v>
      </c>
      <c r="J165" s="16" t="s">
        <v>834</v>
      </c>
      <c r="K165" s="52" t="s">
        <v>61</v>
      </c>
      <c r="L165" s="98" t="s">
        <v>949</v>
      </c>
      <c r="M165" s="52"/>
      <c r="N165" s="16" t="s">
        <v>838</v>
      </c>
      <c r="O165" s="98"/>
      <c r="P165" s="98" t="s">
        <v>1377</v>
      </c>
      <c r="Q165" s="18"/>
      <c r="R165" s="16" t="s">
        <v>135</v>
      </c>
      <c r="S165" s="16" t="s">
        <v>64</v>
      </c>
      <c r="T165" s="16"/>
      <c r="U165" s="16"/>
      <c r="V165" s="16">
        <v>29</v>
      </c>
      <c r="W165" s="16">
        <f>ROUND(IF(D165=Table!$C$3,Y165*Table!$C$4/8,Y165*Table!$D$4/8),3)</f>
        <v>67.5</v>
      </c>
      <c r="X165" s="16">
        <f t="shared" si="24"/>
        <v>67.5</v>
      </c>
      <c r="Y165" s="16">
        <v>1.2</v>
      </c>
      <c r="Z165" s="16">
        <v>1</v>
      </c>
      <c r="AA165" s="16" t="s">
        <v>74</v>
      </c>
      <c r="AB165" s="99">
        <v>43994</v>
      </c>
      <c r="AC165" s="99">
        <v>43990</v>
      </c>
      <c r="AD165" s="99">
        <v>43994</v>
      </c>
      <c r="AE165" s="99">
        <v>43991</v>
      </c>
      <c r="AF165" s="99">
        <v>43991</v>
      </c>
      <c r="AG165" s="99" t="s">
        <v>176</v>
      </c>
      <c r="AH165" s="100">
        <v>1</v>
      </c>
      <c r="AI165" s="100">
        <v>1</v>
      </c>
      <c r="AJ165" s="100">
        <v>1</v>
      </c>
      <c r="AK165" s="157" t="s">
        <v>150</v>
      </c>
      <c r="AL165" s="134"/>
      <c r="AM165" s="15"/>
      <c r="AN165" s="15"/>
    </row>
    <row r="166" spans="2:40" x14ac:dyDescent="0.25">
      <c r="B166" s="171">
        <f t="shared" si="23"/>
        <v>107</v>
      </c>
      <c r="C166" s="16">
        <v>20200608</v>
      </c>
      <c r="D166" s="16" t="s">
        <v>3</v>
      </c>
      <c r="E166" s="141" t="s">
        <v>667</v>
      </c>
      <c r="F166" s="98" t="s">
        <v>717</v>
      </c>
      <c r="G166" s="52" t="s">
        <v>61</v>
      </c>
      <c r="H166" s="16" t="s">
        <v>913</v>
      </c>
      <c r="I166" s="16" t="s">
        <v>1322</v>
      </c>
      <c r="J166" s="16" t="s">
        <v>834</v>
      </c>
      <c r="K166" s="52" t="s">
        <v>61</v>
      </c>
      <c r="L166" s="98" t="s">
        <v>949</v>
      </c>
      <c r="M166" s="52"/>
      <c r="N166" s="16" t="s">
        <v>838</v>
      </c>
      <c r="O166" s="98"/>
      <c r="P166" s="98" t="s">
        <v>1379</v>
      </c>
      <c r="Q166" s="18"/>
      <c r="R166" s="16" t="s">
        <v>135</v>
      </c>
      <c r="S166" s="16" t="s">
        <v>64</v>
      </c>
      <c r="T166" s="16"/>
      <c r="U166" s="16"/>
      <c r="V166" s="16">
        <v>19</v>
      </c>
      <c r="W166" s="16">
        <f>ROUND(IF(D166=Table!$C$3,Y166*Table!$C$4/8,Y166*Table!$D$4/8),3)</f>
        <v>67.5</v>
      </c>
      <c r="X166" s="16">
        <f t="shared" si="24"/>
        <v>67.5</v>
      </c>
      <c r="Y166" s="16">
        <v>1.2</v>
      </c>
      <c r="Z166" s="16">
        <v>1</v>
      </c>
      <c r="AA166" s="16" t="s">
        <v>74</v>
      </c>
      <c r="AB166" s="99">
        <v>43994</v>
      </c>
      <c r="AC166" s="99">
        <v>43990</v>
      </c>
      <c r="AD166" s="99">
        <v>43994</v>
      </c>
      <c r="AE166" s="99">
        <v>43991</v>
      </c>
      <c r="AF166" s="99">
        <v>43991</v>
      </c>
      <c r="AG166" s="99" t="s">
        <v>177</v>
      </c>
      <c r="AH166" s="100">
        <v>0.85</v>
      </c>
      <c r="AI166" s="100">
        <v>0.83</v>
      </c>
      <c r="AJ166" s="100">
        <v>1</v>
      </c>
      <c r="AK166" s="157" t="s">
        <v>150</v>
      </c>
      <c r="AL166" s="134" t="s">
        <v>1434</v>
      </c>
      <c r="AM166" s="15"/>
      <c r="AN166" s="15"/>
    </row>
    <row r="167" spans="2:40" x14ac:dyDescent="0.25">
      <c r="B167" s="171">
        <f t="shared" si="23"/>
        <v>108</v>
      </c>
      <c r="C167" s="16">
        <v>20200608</v>
      </c>
      <c r="D167" s="16" t="s">
        <v>3</v>
      </c>
      <c r="E167" s="141" t="s">
        <v>667</v>
      </c>
      <c r="F167" s="98" t="s">
        <v>717</v>
      </c>
      <c r="G167" s="52" t="s">
        <v>61</v>
      </c>
      <c r="H167" s="16" t="s">
        <v>914</v>
      </c>
      <c r="I167" s="16" t="s">
        <v>1323</v>
      </c>
      <c r="J167" s="16" t="s">
        <v>834</v>
      </c>
      <c r="K167" s="52" t="s">
        <v>61</v>
      </c>
      <c r="L167" s="98" t="s">
        <v>949</v>
      </c>
      <c r="M167" s="52"/>
      <c r="N167" s="16" t="s">
        <v>838</v>
      </c>
      <c r="O167" s="98"/>
      <c r="P167" s="98" t="s">
        <v>1379</v>
      </c>
      <c r="Q167" s="18"/>
      <c r="R167" s="16" t="s">
        <v>135</v>
      </c>
      <c r="S167" s="16" t="s">
        <v>64</v>
      </c>
      <c r="T167" s="16"/>
      <c r="U167" s="16"/>
      <c r="V167" s="16">
        <v>38</v>
      </c>
      <c r="W167" s="16">
        <f>ROUND(IF(D167=Table!$C$3,Y167*Table!$C$4/8,Y167*Table!$D$4/8),3)</f>
        <v>67.5</v>
      </c>
      <c r="X167" s="16">
        <f t="shared" si="24"/>
        <v>67.5</v>
      </c>
      <c r="Y167" s="16">
        <v>1.2</v>
      </c>
      <c r="Z167" s="16">
        <v>1</v>
      </c>
      <c r="AA167" s="16" t="s">
        <v>74</v>
      </c>
      <c r="AB167" s="99">
        <v>43994</v>
      </c>
      <c r="AC167" s="99">
        <v>43990</v>
      </c>
      <c r="AD167" s="99">
        <v>43994</v>
      </c>
      <c r="AE167" s="99">
        <v>43991</v>
      </c>
      <c r="AF167" s="99">
        <v>43991</v>
      </c>
      <c r="AG167" s="99" t="s">
        <v>177</v>
      </c>
      <c r="AH167" s="100">
        <v>0.95</v>
      </c>
      <c r="AI167" s="100">
        <v>0.95</v>
      </c>
      <c r="AJ167" s="100">
        <v>1</v>
      </c>
      <c r="AK167" s="157" t="s">
        <v>150</v>
      </c>
      <c r="AL167" s="134" t="s">
        <v>1435</v>
      </c>
      <c r="AM167" s="15"/>
      <c r="AN167" s="15"/>
    </row>
    <row r="168" spans="2:40" x14ac:dyDescent="0.25">
      <c r="B168" s="171">
        <f t="shared" si="23"/>
        <v>109</v>
      </c>
      <c r="C168" s="16">
        <v>20200608</v>
      </c>
      <c r="D168" s="16" t="s">
        <v>3</v>
      </c>
      <c r="E168" s="141" t="s">
        <v>667</v>
      </c>
      <c r="F168" s="98" t="s">
        <v>717</v>
      </c>
      <c r="G168" s="52" t="s">
        <v>61</v>
      </c>
      <c r="H168" s="16" t="s">
        <v>915</v>
      </c>
      <c r="I168" s="16" t="s">
        <v>1324</v>
      </c>
      <c r="J168" s="16" t="s">
        <v>834</v>
      </c>
      <c r="K168" s="52" t="s">
        <v>61</v>
      </c>
      <c r="L168" s="98" t="s">
        <v>949</v>
      </c>
      <c r="M168" s="52"/>
      <c r="N168" s="16" t="s">
        <v>838</v>
      </c>
      <c r="O168" s="98"/>
      <c r="P168" s="98" t="s">
        <v>1379</v>
      </c>
      <c r="Q168" s="18"/>
      <c r="R168" s="16" t="s">
        <v>135</v>
      </c>
      <c r="S168" s="16" t="s">
        <v>64</v>
      </c>
      <c r="T168" s="16"/>
      <c r="U168" s="16"/>
      <c r="V168" s="16">
        <v>50</v>
      </c>
      <c r="W168" s="16">
        <f>ROUND(IF(D168=Table!$C$3,Y168*Table!$C$4/8,Y168*Table!$D$4/8),3)</f>
        <v>90</v>
      </c>
      <c r="X168" s="16">
        <f t="shared" si="24"/>
        <v>90</v>
      </c>
      <c r="Y168" s="16">
        <v>1.6</v>
      </c>
      <c r="Z168" s="16">
        <v>1</v>
      </c>
      <c r="AA168" s="16" t="s">
        <v>74</v>
      </c>
      <c r="AB168" s="99">
        <v>43994</v>
      </c>
      <c r="AC168" s="99">
        <v>43990</v>
      </c>
      <c r="AD168" s="99">
        <v>43994</v>
      </c>
      <c r="AE168" s="99">
        <v>43991</v>
      </c>
      <c r="AF168" s="99">
        <v>43991</v>
      </c>
      <c r="AG168" s="99" t="s">
        <v>177</v>
      </c>
      <c r="AH168" s="100">
        <v>0.96</v>
      </c>
      <c r="AI168" s="100">
        <v>0.93</v>
      </c>
      <c r="AJ168" s="100">
        <v>1</v>
      </c>
      <c r="AK168" s="157" t="s">
        <v>150</v>
      </c>
      <c r="AL168" s="134" t="s">
        <v>1440</v>
      </c>
      <c r="AM168" s="15"/>
      <c r="AN168" s="15"/>
    </row>
    <row r="169" spans="2:40" x14ac:dyDescent="0.25">
      <c r="B169" s="171">
        <f t="shared" si="23"/>
        <v>110</v>
      </c>
      <c r="C169" s="16">
        <v>20200608</v>
      </c>
      <c r="D169" s="16" t="s">
        <v>3</v>
      </c>
      <c r="E169" s="141" t="s">
        <v>667</v>
      </c>
      <c r="F169" s="98" t="s">
        <v>717</v>
      </c>
      <c r="G169" s="52" t="s">
        <v>61</v>
      </c>
      <c r="H169" s="16" t="s">
        <v>1358</v>
      </c>
      <c r="I169" s="16" t="s">
        <v>1325</v>
      </c>
      <c r="J169" s="16" t="s">
        <v>834</v>
      </c>
      <c r="K169" s="52" t="s">
        <v>61</v>
      </c>
      <c r="L169" s="98" t="s">
        <v>949</v>
      </c>
      <c r="M169" s="52"/>
      <c r="N169" s="16" t="s">
        <v>838</v>
      </c>
      <c r="O169" s="98"/>
      <c r="P169" s="98" t="s">
        <v>1377</v>
      </c>
      <c r="Q169" s="18"/>
      <c r="R169" s="16" t="s">
        <v>135</v>
      </c>
      <c r="S169" s="16" t="s">
        <v>64</v>
      </c>
      <c r="T169" s="16"/>
      <c r="U169" s="16"/>
      <c r="V169" s="16">
        <v>47</v>
      </c>
      <c r="W169" s="16">
        <f>ROUND(IF(D169=Table!$C$3,Y169*Table!$C$4/8,Y169*Table!$D$4/8),3)</f>
        <v>67.5</v>
      </c>
      <c r="X169" s="16">
        <f t="shared" si="24"/>
        <v>67.5</v>
      </c>
      <c r="Y169" s="16">
        <v>1.2</v>
      </c>
      <c r="Z169" s="16">
        <v>1</v>
      </c>
      <c r="AA169" s="16" t="s">
        <v>74</v>
      </c>
      <c r="AB169" s="99">
        <v>43994</v>
      </c>
      <c r="AC169" s="99">
        <v>43990</v>
      </c>
      <c r="AD169" s="99">
        <v>43994</v>
      </c>
      <c r="AE169" s="99">
        <v>43991</v>
      </c>
      <c r="AF169" s="99">
        <v>43991</v>
      </c>
      <c r="AG169" s="99" t="s">
        <v>177</v>
      </c>
      <c r="AH169" s="100">
        <v>0.96</v>
      </c>
      <c r="AI169" s="100">
        <v>0.95</v>
      </c>
      <c r="AJ169" s="100">
        <v>1</v>
      </c>
      <c r="AK169" s="157" t="s">
        <v>150</v>
      </c>
      <c r="AL169" s="134" t="s">
        <v>1441</v>
      </c>
      <c r="AM169" s="15"/>
      <c r="AN169" s="15"/>
    </row>
    <row r="170" spans="2:40" x14ac:dyDescent="0.25">
      <c r="B170" s="171">
        <f t="shared" si="23"/>
        <v>111</v>
      </c>
      <c r="C170" s="16">
        <v>20200608</v>
      </c>
      <c r="D170" s="16" t="s">
        <v>3</v>
      </c>
      <c r="E170" s="141" t="s">
        <v>667</v>
      </c>
      <c r="F170" s="98" t="s">
        <v>717</v>
      </c>
      <c r="G170" s="52" t="s">
        <v>61</v>
      </c>
      <c r="H170" s="16" t="s">
        <v>1359</v>
      </c>
      <c r="I170" s="16" t="s">
        <v>1326</v>
      </c>
      <c r="J170" s="16" t="s">
        <v>834</v>
      </c>
      <c r="K170" s="52" t="s">
        <v>61</v>
      </c>
      <c r="L170" s="98" t="s">
        <v>949</v>
      </c>
      <c r="M170" s="52"/>
      <c r="N170" s="16" t="s">
        <v>838</v>
      </c>
      <c r="O170" s="98"/>
      <c r="P170" s="98" t="s">
        <v>1379</v>
      </c>
      <c r="Q170" s="18"/>
      <c r="R170" s="16" t="s">
        <v>1444</v>
      </c>
      <c r="S170" s="16" t="s">
        <v>66</v>
      </c>
      <c r="T170" s="16"/>
      <c r="U170" s="16"/>
      <c r="V170" s="16">
        <v>19</v>
      </c>
      <c r="W170" s="16">
        <f>ROUND(IF(D170=Table!$C$3,Y170*Table!$C$4/8,Y170*Table!$D$4/8),3)</f>
        <v>67.5</v>
      </c>
      <c r="X170" s="16">
        <f t="shared" si="24"/>
        <v>67.5</v>
      </c>
      <c r="Y170" s="16">
        <v>1.2</v>
      </c>
      <c r="Z170" s="16">
        <v>2</v>
      </c>
      <c r="AA170" s="16" t="s">
        <v>74</v>
      </c>
      <c r="AB170" s="99">
        <v>43994</v>
      </c>
      <c r="AC170" s="99">
        <v>43990</v>
      </c>
      <c r="AD170" s="99">
        <v>43994</v>
      </c>
      <c r="AE170" s="99">
        <v>43992</v>
      </c>
      <c r="AF170" s="99">
        <v>43992</v>
      </c>
      <c r="AG170" s="99" t="s">
        <v>176</v>
      </c>
      <c r="AH170" s="100">
        <v>1</v>
      </c>
      <c r="AI170" s="100">
        <v>1</v>
      </c>
      <c r="AJ170" s="100">
        <v>1</v>
      </c>
      <c r="AK170" s="157" t="s">
        <v>150</v>
      </c>
      <c r="AL170" s="134"/>
      <c r="AM170" s="15"/>
      <c r="AN170" s="15"/>
    </row>
    <row r="171" spans="2:40" x14ac:dyDescent="0.25">
      <c r="B171" s="171">
        <f t="shared" si="23"/>
        <v>112</v>
      </c>
      <c r="C171" s="16">
        <v>20200608</v>
      </c>
      <c r="D171" s="16" t="s">
        <v>3</v>
      </c>
      <c r="E171" s="141" t="s">
        <v>667</v>
      </c>
      <c r="F171" s="98" t="s">
        <v>717</v>
      </c>
      <c r="G171" s="52" t="s">
        <v>61</v>
      </c>
      <c r="H171" s="16" t="s">
        <v>916</v>
      </c>
      <c r="I171" s="16" t="s">
        <v>1327</v>
      </c>
      <c r="J171" s="16" t="s">
        <v>834</v>
      </c>
      <c r="K171" s="52" t="s">
        <v>61</v>
      </c>
      <c r="L171" s="98" t="s">
        <v>949</v>
      </c>
      <c r="M171" s="52"/>
      <c r="N171" s="16" t="s">
        <v>838</v>
      </c>
      <c r="O171" s="98"/>
      <c r="P171" s="98" t="s">
        <v>1377</v>
      </c>
      <c r="Q171" s="18"/>
      <c r="R171" s="16" t="s">
        <v>1444</v>
      </c>
      <c r="S171" s="16" t="s">
        <v>66</v>
      </c>
      <c r="T171" s="16"/>
      <c r="U171" s="16"/>
      <c r="V171" s="16">
        <v>18</v>
      </c>
      <c r="W171" s="16">
        <f>ROUND(IF(D171=Table!$C$3,Y171*Table!$C$4/8,Y171*Table!$D$4/8),3)</f>
        <v>67.5</v>
      </c>
      <c r="X171" s="16">
        <f t="shared" si="24"/>
        <v>67.5</v>
      </c>
      <c r="Y171" s="16">
        <v>1.2</v>
      </c>
      <c r="Z171" s="16">
        <v>2</v>
      </c>
      <c r="AA171" s="16" t="s">
        <v>74</v>
      </c>
      <c r="AB171" s="99">
        <v>43994</v>
      </c>
      <c r="AC171" s="99">
        <v>43990</v>
      </c>
      <c r="AD171" s="99">
        <v>43994</v>
      </c>
      <c r="AE171" s="99">
        <v>43992</v>
      </c>
      <c r="AF171" s="99">
        <v>43992</v>
      </c>
      <c r="AG171" s="99" t="s">
        <v>176</v>
      </c>
      <c r="AH171" s="100">
        <v>0.85</v>
      </c>
      <c r="AI171" s="100">
        <v>0.83</v>
      </c>
      <c r="AJ171" s="100">
        <v>1</v>
      </c>
      <c r="AK171" s="157" t="s">
        <v>150</v>
      </c>
      <c r="AL171" s="134" t="s">
        <v>1502</v>
      </c>
      <c r="AM171" s="15"/>
      <c r="AN171" s="15"/>
    </row>
    <row r="172" spans="2:40" x14ac:dyDescent="0.25">
      <c r="B172" s="171">
        <f t="shared" si="23"/>
        <v>113</v>
      </c>
      <c r="C172" s="16">
        <v>20200608</v>
      </c>
      <c r="D172" s="16" t="s">
        <v>3</v>
      </c>
      <c r="E172" s="141" t="s">
        <v>667</v>
      </c>
      <c r="F172" s="98" t="s">
        <v>717</v>
      </c>
      <c r="G172" s="52" t="s">
        <v>61</v>
      </c>
      <c r="H172" s="16" t="s">
        <v>917</v>
      </c>
      <c r="I172" s="16" t="s">
        <v>1328</v>
      </c>
      <c r="J172" s="16" t="s">
        <v>834</v>
      </c>
      <c r="K172" s="52" t="s">
        <v>61</v>
      </c>
      <c r="L172" s="98" t="s">
        <v>949</v>
      </c>
      <c r="M172" s="52" t="s">
        <v>61</v>
      </c>
      <c r="N172" s="16" t="s">
        <v>838</v>
      </c>
      <c r="O172" s="98"/>
      <c r="P172" s="98" t="s">
        <v>1380</v>
      </c>
      <c r="Q172" s="18"/>
      <c r="R172" s="16" t="s">
        <v>1444</v>
      </c>
      <c r="S172" s="16" t="s">
        <v>66</v>
      </c>
      <c r="T172" s="16"/>
      <c r="U172" s="16"/>
      <c r="V172" s="16">
        <v>57</v>
      </c>
      <c r="W172" s="16">
        <f>ROUND(IF(D172=Table!$C$3,Y172*Table!$C$4/8,Y172*Table!$D$4/8),3)</f>
        <v>90</v>
      </c>
      <c r="X172" s="16">
        <f t="shared" si="24"/>
        <v>90</v>
      </c>
      <c r="Y172" s="16">
        <v>1.6</v>
      </c>
      <c r="Z172" s="16">
        <v>2</v>
      </c>
      <c r="AA172" s="16" t="s">
        <v>74</v>
      </c>
      <c r="AB172" s="99">
        <v>43994</v>
      </c>
      <c r="AC172" s="99">
        <v>43990</v>
      </c>
      <c r="AD172" s="99">
        <v>43994</v>
      </c>
      <c r="AE172" s="99">
        <v>43992</v>
      </c>
      <c r="AF172" s="99">
        <v>43992</v>
      </c>
      <c r="AG172" s="99" t="s">
        <v>176</v>
      </c>
      <c r="AH172" s="100">
        <v>1</v>
      </c>
      <c r="AI172" s="100">
        <v>1</v>
      </c>
      <c r="AJ172" s="100">
        <v>1</v>
      </c>
      <c r="AK172" s="157" t="s">
        <v>150</v>
      </c>
      <c r="AL172" s="134"/>
      <c r="AM172" s="15"/>
      <c r="AN172" s="15"/>
    </row>
    <row r="173" spans="2:40" x14ac:dyDescent="0.25">
      <c r="B173" s="171">
        <f t="shared" si="23"/>
        <v>114</v>
      </c>
      <c r="C173" s="16">
        <v>20200608</v>
      </c>
      <c r="D173" s="16" t="s">
        <v>3</v>
      </c>
      <c r="E173" s="141" t="s">
        <v>667</v>
      </c>
      <c r="F173" s="98" t="s">
        <v>717</v>
      </c>
      <c r="G173" s="52" t="s">
        <v>61</v>
      </c>
      <c r="H173" s="16" t="s">
        <v>918</v>
      </c>
      <c r="I173" s="16" t="s">
        <v>1329</v>
      </c>
      <c r="J173" s="16" t="s">
        <v>834</v>
      </c>
      <c r="K173" s="52" t="s">
        <v>61</v>
      </c>
      <c r="L173" s="98" t="s">
        <v>949</v>
      </c>
      <c r="M173" s="52" t="s">
        <v>61</v>
      </c>
      <c r="N173" s="16" t="s">
        <v>838</v>
      </c>
      <c r="O173" s="98"/>
      <c r="P173" s="98" t="s">
        <v>1380</v>
      </c>
      <c r="Q173" s="18"/>
      <c r="R173" s="16" t="s">
        <v>1444</v>
      </c>
      <c r="S173" s="16" t="s">
        <v>66</v>
      </c>
      <c r="T173" s="16"/>
      <c r="U173" s="16"/>
      <c r="V173" s="16">
        <v>48</v>
      </c>
      <c r="W173" s="16">
        <f>ROUND(IF(D173=Table!$C$3,Y173*Table!$C$4/8,Y173*Table!$D$4/8),3)</f>
        <v>67.5</v>
      </c>
      <c r="X173" s="16">
        <f t="shared" si="24"/>
        <v>67.5</v>
      </c>
      <c r="Y173" s="16">
        <v>1.2</v>
      </c>
      <c r="Z173" s="16">
        <v>2</v>
      </c>
      <c r="AA173" s="16" t="s">
        <v>74</v>
      </c>
      <c r="AB173" s="99">
        <v>43994</v>
      </c>
      <c r="AC173" s="99">
        <v>43990</v>
      </c>
      <c r="AD173" s="99">
        <v>43994</v>
      </c>
      <c r="AE173" s="99">
        <v>43992</v>
      </c>
      <c r="AF173" s="99">
        <v>43992</v>
      </c>
      <c r="AG173" s="99" t="s">
        <v>176</v>
      </c>
      <c r="AH173" s="100">
        <v>1</v>
      </c>
      <c r="AI173" s="100">
        <v>1</v>
      </c>
      <c r="AJ173" s="100">
        <v>1</v>
      </c>
      <c r="AK173" s="157" t="s">
        <v>150</v>
      </c>
      <c r="AL173" s="134"/>
      <c r="AM173" s="15"/>
      <c r="AN173" s="15"/>
    </row>
    <row r="174" spans="2:40" x14ac:dyDescent="0.25">
      <c r="B174" s="171">
        <f t="shared" si="23"/>
        <v>115</v>
      </c>
      <c r="C174" s="16">
        <v>20200608</v>
      </c>
      <c r="D174" s="16" t="s">
        <v>3</v>
      </c>
      <c r="E174" s="141" t="s">
        <v>667</v>
      </c>
      <c r="F174" s="98" t="s">
        <v>717</v>
      </c>
      <c r="G174" s="52" t="s">
        <v>61</v>
      </c>
      <c r="H174" s="16" t="s">
        <v>919</v>
      </c>
      <c r="I174" s="16" t="s">
        <v>1330</v>
      </c>
      <c r="J174" s="16" t="s">
        <v>834</v>
      </c>
      <c r="K174" s="52" t="s">
        <v>61</v>
      </c>
      <c r="L174" s="98" t="s">
        <v>949</v>
      </c>
      <c r="M174" s="52" t="s">
        <v>61</v>
      </c>
      <c r="N174" s="16" t="s">
        <v>838</v>
      </c>
      <c r="O174" s="98"/>
      <c r="P174" s="98" t="s">
        <v>1381</v>
      </c>
      <c r="Q174" s="18"/>
      <c r="R174" s="16" t="s">
        <v>1444</v>
      </c>
      <c r="S174" s="16" t="s">
        <v>66</v>
      </c>
      <c r="T174" s="16"/>
      <c r="U174" s="16"/>
      <c r="V174" s="16">
        <v>14</v>
      </c>
      <c r="W174" s="16">
        <f>ROUND(IF(D174=Table!$C$3,Y174*Table!$C$4/8,Y174*Table!$D$4/8),3)</f>
        <v>67.5</v>
      </c>
      <c r="X174" s="16">
        <f t="shared" si="24"/>
        <v>67.5</v>
      </c>
      <c r="Y174" s="16">
        <v>1.2</v>
      </c>
      <c r="Z174" s="16">
        <v>2</v>
      </c>
      <c r="AA174" s="16" t="s">
        <v>74</v>
      </c>
      <c r="AB174" s="99">
        <v>43994</v>
      </c>
      <c r="AC174" s="99">
        <v>43990</v>
      </c>
      <c r="AD174" s="99">
        <v>43994</v>
      </c>
      <c r="AE174" s="99">
        <v>43992</v>
      </c>
      <c r="AF174" s="99">
        <v>43992</v>
      </c>
      <c r="AG174" s="99" t="s">
        <v>176</v>
      </c>
      <c r="AH174" s="100">
        <v>1</v>
      </c>
      <c r="AI174" s="100">
        <v>1</v>
      </c>
      <c r="AJ174" s="100">
        <v>1</v>
      </c>
      <c r="AK174" s="157" t="s">
        <v>150</v>
      </c>
      <c r="AL174" s="134"/>
      <c r="AM174" s="15"/>
      <c r="AN174" s="15"/>
    </row>
    <row r="175" spans="2:40" x14ac:dyDescent="0.25">
      <c r="B175" s="171">
        <f t="shared" si="23"/>
        <v>116</v>
      </c>
      <c r="C175" s="16">
        <v>20200608</v>
      </c>
      <c r="D175" s="16" t="s">
        <v>3</v>
      </c>
      <c r="E175" s="141" t="s">
        <v>667</v>
      </c>
      <c r="F175" s="98" t="s">
        <v>717</v>
      </c>
      <c r="G175" s="52" t="s">
        <v>61</v>
      </c>
      <c r="H175" s="16" t="s">
        <v>1360</v>
      </c>
      <c r="I175" s="16" t="s">
        <v>1331</v>
      </c>
      <c r="J175" s="16" t="s">
        <v>834</v>
      </c>
      <c r="K175" s="52" t="s">
        <v>61</v>
      </c>
      <c r="L175" s="98" t="s">
        <v>949</v>
      </c>
      <c r="M175" s="52" t="s">
        <v>61</v>
      </c>
      <c r="N175" s="16" t="s">
        <v>838</v>
      </c>
      <c r="O175" s="98"/>
      <c r="P175" s="98" t="s">
        <v>1377</v>
      </c>
      <c r="Q175" s="18"/>
      <c r="R175" s="16" t="s">
        <v>1444</v>
      </c>
      <c r="S175" s="16" t="s">
        <v>66</v>
      </c>
      <c r="T175" s="16"/>
      <c r="U175" s="16"/>
      <c r="V175" s="16">
        <v>53</v>
      </c>
      <c r="W175" s="16">
        <f>ROUND(IF(D175=Table!$C$3,Y175*Table!$C$4/8,Y175*Table!$D$4/8),3)</f>
        <v>90</v>
      </c>
      <c r="X175" s="16">
        <f t="shared" si="24"/>
        <v>90</v>
      </c>
      <c r="Y175" s="16">
        <v>1.6</v>
      </c>
      <c r="Z175" s="16">
        <v>2</v>
      </c>
      <c r="AA175" s="16" t="s">
        <v>74</v>
      </c>
      <c r="AB175" s="99">
        <v>43994</v>
      </c>
      <c r="AC175" s="99">
        <v>43990</v>
      </c>
      <c r="AD175" s="99">
        <v>43994</v>
      </c>
      <c r="AE175" s="99">
        <v>43992</v>
      </c>
      <c r="AF175" s="99">
        <v>43992</v>
      </c>
      <c r="AG175" s="99" t="s">
        <v>176</v>
      </c>
      <c r="AH175" s="100">
        <v>0.9</v>
      </c>
      <c r="AI175" s="100">
        <v>0.86</v>
      </c>
      <c r="AJ175" s="100">
        <v>1</v>
      </c>
      <c r="AK175" s="157" t="s">
        <v>150</v>
      </c>
      <c r="AL175" s="134" t="s">
        <v>1501</v>
      </c>
      <c r="AM175" s="15"/>
      <c r="AN175" s="15"/>
    </row>
    <row r="176" spans="2:40" x14ac:dyDescent="0.25">
      <c r="B176" s="171">
        <f t="shared" si="23"/>
        <v>117</v>
      </c>
      <c r="C176" s="16">
        <v>20200608</v>
      </c>
      <c r="D176" s="16" t="s">
        <v>3</v>
      </c>
      <c r="E176" s="141" t="s">
        <v>667</v>
      </c>
      <c r="F176" s="98" t="s">
        <v>717</v>
      </c>
      <c r="G176" s="52" t="s">
        <v>61</v>
      </c>
      <c r="H176" s="16" t="s">
        <v>920</v>
      </c>
      <c r="I176" s="16" t="s">
        <v>1332</v>
      </c>
      <c r="J176" s="16" t="s">
        <v>834</v>
      </c>
      <c r="K176" s="52" t="s">
        <v>61</v>
      </c>
      <c r="L176" s="98" t="s">
        <v>949</v>
      </c>
      <c r="M176" s="52" t="s">
        <v>61</v>
      </c>
      <c r="N176" s="16" t="s">
        <v>838</v>
      </c>
      <c r="O176" s="98"/>
      <c r="P176" s="98" t="s">
        <v>1377</v>
      </c>
      <c r="Q176" s="18"/>
      <c r="R176" s="16" t="s">
        <v>1444</v>
      </c>
      <c r="S176" s="16" t="s">
        <v>66</v>
      </c>
      <c r="T176" s="16"/>
      <c r="U176" s="16"/>
      <c r="V176" s="16">
        <v>36</v>
      </c>
      <c r="W176" s="16">
        <f>ROUND(IF(D176=Table!$C$3,Y176*Table!$C$4/8,Y176*Table!$D$4/8),3)</f>
        <v>67.5</v>
      </c>
      <c r="X176" s="16">
        <f t="shared" si="24"/>
        <v>67.5</v>
      </c>
      <c r="Y176" s="16">
        <v>1.2</v>
      </c>
      <c r="Z176" s="16">
        <v>2</v>
      </c>
      <c r="AA176" s="16" t="s">
        <v>74</v>
      </c>
      <c r="AB176" s="99">
        <v>43994</v>
      </c>
      <c r="AC176" s="99">
        <v>43990</v>
      </c>
      <c r="AD176" s="99">
        <v>43994</v>
      </c>
      <c r="AE176" s="99">
        <v>43992</v>
      </c>
      <c r="AF176" s="99">
        <v>43992</v>
      </c>
      <c r="AG176" s="99" t="s">
        <v>176</v>
      </c>
      <c r="AH176" s="100">
        <v>1</v>
      </c>
      <c r="AI176" s="100">
        <v>1</v>
      </c>
      <c r="AJ176" s="100">
        <v>1</v>
      </c>
      <c r="AK176" s="157" t="s">
        <v>150</v>
      </c>
      <c r="AL176" s="134"/>
      <c r="AM176" s="15"/>
      <c r="AN176" s="15"/>
    </row>
    <row r="177" spans="2:40" x14ac:dyDescent="0.25">
      <c r="B177" s="171">
        <f t="shared" si="23"/>
        <v>118</v>
      </c>
      <c r="C177" s="16">
        <v>20200608</v>
      </c>
      <c r="D177" s="16" t="s">
        <v>3</v>
      </c>
      <c r="E177" s="141" t="s">
        <v>667</v>
      </c>
      <c r="F177" s="98" t="s">
        <v>717</v>
      </c>
      <c r="G177" s="52" t="s">
        <v>61</v>
      </c>
      <c r="H177" s="16" t="s">
        <v>1361</v>
      </c>
      <c r="I177" s="16" t="s">
        <v>897</v>
      </c>
      <c r="J177" s="16" t="s">
        <v>835</v>
      </c>
      <c r="K177" s="52" t="s">
        <v>61</v>
      </c>
      <c r="L177" s="98" t="s">
        <v>949</v>
      </c>
      <c r="M177" s="52" t="s">
        <v>61</v>
      </c>
      <c r="N177" s="16" t="s">
        <v>838</v>
      </c>
      <c r="O177" s="98"/>
      <c r="P177" s="98" t="s">
        <v>1379</v>
      </c>
      <c r="Q177" s="18"/>
      <c r="R177" s="16" t="s">
        <v>1444</v>
      </c>
      <c r="S177" s="16" t="s">
        <v>66</v>
      </c>
      <c r="T177" s="16"/>
      <c r="U177" s="16"/>
      <c r="V177" s="16">
        <v>186</v>
      </c>
      <c r="W177" s="16">
        <f>ROUND(IF(D177=Table!$C$3,Y177*Table!$C$4/8,Y177*Table!$D$4/8),3)</f>
        <v>67.5</v>
      </c>
      <c r="X177" s="16">
        <f t="shared" si="24"/>
        <v>67.5</v>
      </c>
      <c r="Y177" s="16">
        <v>1.2</v>
      </c>
      <c r="Z177" s="16">
        <v>2</v>
      </c>
      <c r="AA177" s="16" t="s">
        <v>74</v>
      </c>
      <c r="AB177" s="99">
        <v>43994</v>
      </c>
      <c r="AC177" s="99">
        <v>43990</v>
      </c>
      <c r="AD177" s="99">
        <v>43994</v>
      </c>
      <c r="AE177" s="99">
        <v>43992</v>
      </c>
      <c r="AF177" s="99">
        <v>43992</v>
      </c>
      <c r="AG177" s="99" t="s">
        <v>176</v>
      </c>
      <c r="AH177" s="100">
        <v>1</v>
      </c>
      <c r="AI177" s="100">
        <v>1</v>
      </c>
      <c r="AJ177" s="100">
        <v>1</v>
      </c>
      <c r="AK177" s="157" t="s">
        <v>150</v>
      </c>
      <c r="AL177" s="134"/>
      <c r="AM177" s="15"/>
      <c r="AN177" s="15"/>
    </row>
    <row r="178" spans="2:40" x14ac:dyDescent="0.25">
      <c r="B178" s="171">
        <f t="shared" si="23"/>
        <v>119</v>
      </c>
      <c r="C178" s="16">
        <v>20200608</v>
      </c>
      <c r="D178" s="16" t="s">
        <v>3</v>
      </c>
      <c r="E178" s="141" t="s">
        <v>667</v>
      </c>
      <c r="F178" s="98" t="s">
        <v>717</v>
      </c>
      <c r="G178" s="52" t="s">
        <v>61</v>
      </c>
      <c r="H178" s="16" t="s">
        <v>1362</v>
      </c>
      <c r="I178" s="16" t="s">
        <v>1333</v>
      </c>
      <c r="J178" s="16" t="s">
        <v>834</v>
      </c>
      <c r="K178" s="52" t="s">
        <v>61</v>
      </c>
      <c r="L178" s="98" t="s">
        <v>949</v>
      </c>
      <c r="M178" s="52" t="s">
        <v>61</v>
      </c>
      <c r="N178" s="16" t="s">
        <v>838</v>
      </c>
      <c r="O178" s="98"/>
      <c r="P178" s="98" t="s">
        <v>1382</v>
      </c>
      <c r="Q178" s="18"/>
      <c r="R178" s="16" t="s">
        <v>1393</v>
      </c>
      <c r="S178" s="16" t="s">
        <v>65</v>
      </c>
      <c r="T178" s="16"/>
      <c r="U178" s="16"/>
      <c r="V178" s="16">
        <v>24</v>
      </c>
      <c r="W178" s="16">
        <f>ROUND(IF(D178=Table!$C$3,Y178*Table!$C$4/8,Y178*Table!$D$4/8),3)</f>
        <v>67.5</v>
      </c>
      <c r="X178" s="16">
        <f t="shared" si="24"/>
        <v>67.5</v>
      </c>
      <c r="Y178" s="16">
        <v>1.2</v>
      </c>
      <c r="Z178" s="16">
        <v>1</v>
      </c>
      <c r="AA178" s="16" t="s">
        <v>74</v>
      </c>
      <c r="AB178" s="99">
        <v>43994</v>
      </c>
      <c r="AC178" s="99">
        <v>43990</v>
      </c>
      <c r="AD178" s="99">
        <v>43994</v>
      </c>
      <c r="AE178" s="99">
        <v>43990</v>
      </c>
      <c r="AF178" s="99">
        <v>43990</v>
      </c>
      <c r="AG178" s="99" t="s">
        <v>176</v>
      </c>
      <c r="AH178" s="100">
        <v>1</v>
      </c>
      <c r="AI178" s="100">
        <v>1</v>
      </c>
      <c r="AJ178" s="100">
        <v>1</v>
      </c>
      <c r="AK178" s="157" t="s">
        <v>150</v>
      </c>
      <c r="AL178" s="134" t="s">
        <v>1431</v>
      </c>
      <c r="AM178" s="15"/>
      <c r="AN178" s="15"/>
    </row>
    <row r="179" spans="2:40" x14ac:dyDescent="0.25">
      <c r="B179" s="171">
        <f t="shared" ref="B179:B195" si="25">B178+1</f>
        <v>120</v>
      </c>
      <c r="C179" s="16">
        <v>20200608</v>
      </c>
      <c r="D179" s="16" t="s">
        <v>3</v>
      </c>
      <c r="E179" s="141" t="s">
        <v>667</v>
      </c>
      <c r="F179" s="98" t="s">
        <v>717</v>
      </c>
      <c r="G179" s="52" t="s">
        <v>61</v>
      </c>
      <c r="H179" s="16" t="s">
        <v>921</v>
      </c>
      <c r="I179" s="16" t="s">
        <v>1334</v>
      </c>
      <c r="J179" s="16" t="s">
        <v>834</v>
      </c>
      <c r="K179" s="52" t="s">
        <v>61</v>
      </c>
      <c r="L179" s="98" t="s">
        <v>949</v>
      </c>
      <c r="M179" s="52" t="s">
        <v>61</v>
      </c>
      <c r="N179" s="16" t="s">
        <v>838</v>
      </c>
      <c r="O179" s="98"/>
      <c r="P179" s="98" t="s">
        <v>1379</v>
      </c>
      <c r="Q179" s="18"/>
      <c r="R179" s="16" t="s">
        <v>1393</v>
      </c>
      <c r="S179" s="16" t="s">
        <v>65</v>
      </c>
      <c r="T179" s="16"/>
      <c r="U179" s="16"/>
      <c r="V179" s="16">
        <v>38</v>
      </c>
      <c r="W179" s="16">
        <f>ROUND(IF(D179=Table!$C$3,Y179*Table!$C$4/8,Y179*Table!$D$4/8),3)</f>
        <v>67.5</v>
      </c>
      <c r="X179" s="16">
        <f t="shared" si="24"/>
        <v>67.5</v>
      </c>
      <c r="Y179" s="16">
        <v>1.2</v>
      </c>
      <c r="Z179" s="16">
        <v>1</v>
      </c>
      <c r="AA179" s="16" t="s">
        <v>74</v>
      </c>
      <c r="AB179" s="99">
        <v>43994</v>
      </c>
      <c r="AC179" s="99">
        <v>43990</v>
      </c>
      <c r="AD179" s="99">
        <v>43994</v>
      </c>
      <c r="AE179" s="99">
        <v>43990</v>
      </c>
      <c r="AF179" s="99">
        <v>43990</v>
      </c>
      <c r="AG179" s="99" t="s">
        <v>176</v>
      </c>
      <c r="AH179" s="100">
        <v>1</v>
      </c>
      <c r="AI179" s="100">
        <v>1</v>
      </c>
      <c r="AJ179" s="100">
        <v>1</v>
      </c>
      <c r="AK179" s="157" t="s">
        <v>150</v>
      </c>
      <c r="AL179" s="134"/>
      <c r="AM179" s="15"/>
      <c r="AN179" s="15"/>
    </row>
    <row r="180" spans="2:40" x14ac:dyDescent="0.25">
      <c r="B180" s="171">
        <f t="shared" si="25"/>
        <v>121</v>
      </c>
      <c r="C180" s="16">
        <v>20200608</v>
      </c>
      <c r="D180" s="16" t="s">
        <v>3</v>
      </c>
      <c r="E180" s="141" t="s">
        <v>667</v>
      </c>
      <c r="F180" s="98" t="s">
        <v>717</v>
      </c>
      <c r="G180" s="52" t="s">
        <v>61</v>
      </c>
      <c r="H180" s="16" t="s">
        <v>922</v>
      </c>
      <c r="I180" s="16" t="s">
        <v>1335</v>
      </c>
      <c r="J180" s="16" t="s">
        <v>834</v>
      </c>
      <c r="K180" s="52" t="s">
        <v>61</v>
      </c>
      <c r="L180" s="98" t="s">
        <v>949</v>
      </c>
      <c r="M180" s="52" t="s">
        <v>61</v>
      </c>
      <c r="N180" s="16" t="s">
        <v>838</v>
      </c>
      <c r="O180" s="98"/>
      <c r="P180" s="98" t="s">
        <v>1379</v>
      </c>
      <c r="Q180" s="18"/>
      <c r="R180" s="16" t="s">
        <v>1393</v>
      </c>
      <c r="S180" s="16" t="s">
        <v>65</v>
      </c>
      <c r="T180" s="16"/>
      <c r="U180" s="16"/>
      <c r="V180" s="16">
        <v>17</v>
      </c>
      <c r="W180" s="16">
        <f>ROUND(IF(D180=Table!$C$3,Y180*Table!$C$4/8,Y180*Table!$D$4/8),3)</f>
        <v>67.5</v>
      </c>
      <c r="X180" s="16">
        <f t="shared" si="24"/>
        <v>67.5</v>
      </c>
      <c r="Y180" s="16">
        <v>1.2</v>
      </c>
      <c r="Z180" s="16">
        <v>1</v>
      </c>
      <c r="AA180" s="16" t="s">
        <v>74</v>
      </c>
      <c r="AB180" s="99">
        <v>43994</v>
      </c>
      <c r="AC180" s="99">
        <v>43990</v>
      </c>
      <c r="AD180" s="99">
        <v>43994</v>
      </c>
      <c r="AE180" s="99">
        <v>43990</v>
      </c>
      <c r="AF180" s="99">
        <v>43990</v>
      </c>
      <c r="AG180" s="99" t="s">
        <v>176</v>
      </c>
      <c r="AH180" s="100">
        <v>1</v>
      </c>
      <c r="AI180" s="100">
        <v>1</v>
      </c>
      <c r="AJ180" s="100">
        <v>1</v>
      </c>
      <c r="AK180" s="157" t="s">
        <v>150</v>
      </c>
      <c r="AL180" s="134"/>
      <c r="AM180" s="15"/>
      <c r="AN180" s="15"/>
    </row>
    <row r="181" spans="2:40" x14ac:dyDescent="0.25">
      <c r="B181" s="171">
        <f t="shared" si="25"/>
        <v>122</v>
      </c>
      <c r="C181" s="16">
        <v>20200608</v>
      </c>
      <c r="D181" s="16" t="s">
        <v>3</v>
      </c>
      <c r="E181" s="141" t="s">
        <v>667</v>
      </c>
      <c r="F181" s="98" t="s">
        <v>717</v>
      </c>
      <c r="G181" s="52" t="s">
        <v>61</v>
      </c>
      <c r="H181" s="16" t="s">
        <v>923</v>
      </c>
      <c r="I181" s="16" t="s">
        <v>1336</v>
      </c>
      <c r="J181" s="16" t="s">
        <v>834</v>
      </c>
      <c r="K181" s="52" t="s">
        <v>61</v>
      </c>
      <c r="L181" s="98" t="s">
        <v>949</v>
      </c>
      <c r="M181" s="52" t="s">
        <v>61</v>
      </c>
      <c r="N181" s="16" t="s">
        <v>838</v>
      </c>
      <c r="O181" s="98"/>
      <c r="P181" s="98" t="s">
        <v>1382</v>
      </c>
      <c r="Q181" s="18"/>
      <c r="R181" s="16" t="s">
        <v>1393</v>
      </c>
      <c r="S181" s="16" t="s">
        <v>65</v>
      </c>
      <c r="T181" s="16"/>
      <c r="U181" s="16"/>
      <c r="V181" s="16">
        <v>44</v>
      </c>
      <c r="W181" s="16">
        <f>ROUND(IF(D181=Table!$C$3,Y181*Table!$C$4/8,Y181*Table!$D$4/8),3)</f>
        <v>67.5</v>
      </c>
      <c r="X181" s="16">
        <f t="shared" si="24"/>
        <v>67.5</v>
      </c>
      <c r="Y181" s="16">
        <v>1.2</v>
      </c>
      <c r="Z181" s="16">
        <v>1</v>
      </c>
      <c r="AA181" s="16" t="s">
        <v>74</v>
      </c>
      <c r="AB181" s="99">
        <v>43994</v>
      </c>
      <c r="AC181" s="99">
        <v>43990</v>
      </c>
      <c r="AD181" s="99">
        <v>43994</v>
      </c>
      <c r="AE181" s="99">
        <v>43990</v>
      </c>
      <c r="AF181" s="99">
        <v>43990</v>
      </c>
      <c r="AG181" s="99" t="s">
        <v>176</v>
      </c>
      <c r="AH181" s="100">
        <v>1</v>
      </c>
      <c r="AI181" s="100">
        <v>1</v>
      </c>
      <c r="AJ181" s="100">
        <v>1</v>
      </c>
      <c r="AK181" s="157" t="s">
        <v>150</v>
      </c>
      <c r="AL181" s="134"/>
      <c r="AM181" s="15"/>
      <c r="AN181" s="15"/>
    </row>
    <row r="182" spans="2:40" x14ac:dyDescent="0.25">
      <c r="B182" s="171">
        <f t="shared" si="25"/>
        <v>123</v>
      </c>
      <c r="C182" s="16">
        <v>20200608</v>
      </c>
      <c r="D182" s="16" t="s">
        <v>3</v>
      </c>
      <c r="E182" s="141" t="s">
        <v>667</v>
      </c>
      <c r="F182" s="98" t="s">
        <v>717</v>
      </c>
      <c r="G182" s="52" t="s">
        <v>61</v>
      </c>
      <c r="H182" s="16" t="s">
        <v>924</v>
      </c>
      <c r="I182" s="16" t="s">
        <v>1337</v>
      </c>
      <c r="J182" s="16" t="s">
        <v>834</v>
      </c>
      <c r="K182" s="52" t="s">
        <v>61</v>
      </c>
      <c r="L182" s="98" t="s">
        <v>949</v>
      </c>
      <c r="M182" s="52" t="s">
        <v>61</v>
      </c>
      <c r="N182" s="16" t="s">
        <v>838</v>
      </c>
      <c r="O182" s="98"/>
      <c r="P182" s="98" t="s">
        <v>1382</v>
      </c>
      <c r="Q182" s="18"/>
      <c r="R182" s="16" t="s">
        <v>1393</v>
      </c>
      <c r="S182" s="16" t="s">
        <v>65</v>
      </c>
      <c r="T182" s="16"/>
      <c r="U182" s="16"/>
      <c r="V182" s="16">
        <v>28</v>
      </c>
      <c r="W182" s="16">
        <f>ROUND(IF(D182=Table!$C$3,Y182*Table!$C$4/8,Y182*Table!$D$4/8),3)</f>
        <v>67.5</v>
      </c>
      <c r="X182" s="16">
        <f t="shared" si="24"/>
        <v>67.5</v>
      </c>
      <c r="Y182" s="16">
        <v>1.2</v>
      </c>
      <c r="Z182" s="16">
        <v>1</v>
      </c>
      <c r="AA182" s="16" t="s">
        <v>74</v>
      </c>
      <c r="AB182" s="99">
        <v>43994</v>
      </c>
      <c r="AC182" s="99">
        <v>43990</v>
      </c>
      <c r="AD182" s="99">
        <v>43994</v>
      </c>
      <c r="AE182" s="99">
        <v>43990</v>
      </c>
      <c r="AF182" s="99">
        <v>43990</v>
      </c>
      <c r="AG182" s="99" t="s">
        <v>176</v>
      </c>
      <c r="AH182" s="100">
        <v>1</v>
      </c>
      <c r="AI182" s="100">
        <v>1</v>
      </c>
      <c r="AJ182" s="100">
        <v>1</v>
      </c>
      <c r="AK182" s="157" t="s">
        <v>150</v>
      </c>
      <c r="AL182" s="134"/>
      <c r="AM182" s="15"/>
      <c r="AN182" s="15"/>
    </row>
    <row r="183" spans="2:40" x14ac:dyDescent="0.25">
      <c r="B183" s="171">
        <f t="shared" si="25"/>
        <v>124</v>
      </c>
      <c r="C183" s="16">
        <v>20200608</v>
      </c>
      <c r="D183" s="16" t="s">
        <v>3</v>
      </c>
      <c r="E183" s="141" t="s">
        <v>667</v>
      </c>
      <c r="F183" s="98" t="s">
        <v>717</v>
      </c>
      <c r="G183" s="52" t="s">
        <v>61</v>
      </c>
      <c r="H183" s="16" t="s">
        <v>925</v>
      </c>
      <c r="I183" s="16" t="s">
        <v>1338</v>
      </c>
      <c r="J183" s="16" t="s">
        <v>834</v>
      </c>
      <c r="K183" s="52" t="s">
        <v>61</v>
      </c>
      <c r="L183" s="98" t="s">
        <v>949</v>
      </c>
      <c r="M183" s="52"/>
      <c r="N183" s="16" t="s">
        <v>838</v>
      </c>
      <c r="O183" s="98"/>
      <c r="P183" s="98" t="s">
        <v>1382</v>
      </c>
      <c r="Q183" s="18"/>
      <c r="R183" s="16" t="s">
        <v>1393</v>
      </c>
      <c r="S183" s="16" t="s">
        <v>65</v>
      </c>
      <c r="T183" s="16"/>
      <c r="U183" s="16"/>
      <c r="V183" s="16">
        <v>19</v>
      </c>
      <c r="W183" s="16">
        <f>ROUND(IF(D183=Table!$C$3,Y183*Table!$C$4/8,Y183*Table!$D$4/8),3)</f>
        <v>67.5</v>
      </c>
      <c r="X183" s="16">
        <f t="shared" si="24"/>
        <v>67.5</v>
      </c>
      <c r="Y183" s="16">
        <v>1.2</v>
      </c>
      <c r="Z183" s="16">
        <v>1</v>
      </c>
      <c r="AA183" s="16" t="s">
        <v>74</v>
      </c>
      <c r="AB183" s="99">
        <v>43994</v>
      </c>
      <c r="AC183" s="99">
        <v>43990</v>
      </c>
      <c r="AD183" s="99">
        <v>43994</v>
      </c>
      <c r="AE183" s="99">
        <v>43990</v>
      </c>
      <c r="AF183" s="99">
        <v>43990</v>
      </c>
      <c r="AG183" s="99" t="s">
        <v>176</v>
      </c>
      <c r="AH183" s="100">
        <v>1</v>
      </c>
      <c r="AI183" s="100">
        <v>1</v>
      </c>
      <c r="AJ183" s="100">
        <v>1</v>
      </c>
      <c r="AK183" s="157" t="s">
        <v>150</v>
      </c>
      <c r="AL183" s="134"/>
      <c r="AM183" s="15"/>
      <c r="AN183" s="15"/>
    </row>
    <row r="184" spans="2:40" x14ac:dyDescent="0.25">
      <c r="B184" s="171">
        <f t="shared" si="25"/>
        <v>125</v>
      </c>
      <c r="C184" s="16">
        <v>20200608</v>
      </c>
      <c r="D184" s="16" t="s">
        <v>3</v>
      </c>
      <c r="E184" s="141" t="s">
        <v>667</v>
      </c>
      <c r="F184" s="98" t="s">
        <v>717</v>
      </c>
      <c r="G184" s="52" t="s">
        <v>61</v>
      </c>
      <c r="H184" s="16" t="s">
        <v>926</v>
      </c>
      <c r="I184" s="16" t="s">
        <v>1339</v>
      </c>
      <c r="J184" s="16" t="s">
        <v>834</v>
      </c>
      <c r="K184" s="52" t="s">
        <v>61</v>
      </c>
      <c r="L184" s="98" t="s">
        <v>949</v>
      </c>
      <c r="M184" s="52"/>
      <c r="N184" s="16" t="s">
        <v>838</v>
      </c>
      <c r="O184" s="98"/>
      <c r="P184" s="98" t="s">
        <v>1381</v>
      </c>
      <c r="Q184" s="18"/>
      <c r="R184" s="16" t="s">
        <v>1393</v>
      </c>
      <c r="S184" s="16" t="s">
        <v>65</v>
      </c>
      <c r="T184" s="16"/>
      <c r="U184" s="16"/>
      <c r="V184" s="16">
        <v>20</v>
      </c>
      <c r="W184" s="16">
        <f>ROUND(IF(D184=Table!$C$3,Y184*Table!$C$4/8,Y184*Table!$D$4/8),3)</f>
        <v>67.5</v>
      </c>
      <c r="X184" s="16">
        <f t="shared" si="24"/>
        <v>67.5</v>
      </c>
      <c r="Y184" s="16">
        <v>1.2</v>
      </c>
      <c r="Z184" s="16">
        <v>1</v>
      </c>
      <c r="AA184" s="16" t="s">
        <v>74</v>
      </c>
      <c r="AB184" s="99">
        <v>43994</v>
      </c>
      <c r="AC184" s="99">
        <v>43990</v>
      </c>
      <c r="AD184" s="99">
        <v>43994</v>
      </c>
      <c r="AE184" s="99">
        <v>43990</v>
      </c>
      <c r="AF184" s="99">
        <v>43990</v>
      </c>
      <c r="AG184" s="99" t="s">
        <v>176</v>
      </c>
      <c r="AH184" s="100">
        <v>1</v>
      </c>
      <c r="AI184" s="100">
        <v>1</v>
      </c>
      <c r="AJ184" s="100">
        <v>1</v>
      </c>
      <c r="AK184" s="157" t="s">
        <v>150</v>
      </c>
      <c r="AL184" s="134"/>
      <c r="AM184" s="15"/>
      <c r="AN184" s="15"/>
    </row>
    <row r="185" spans="2:40" x14ac:dyDescent="0.25">
      <c r="B185" s="171">
        <f t="shared" si="25"/>
        <v>126</v>
      </c>
      <c r="C185" s="16">
        <v>20200608</v>
      </c>
      <c r="D185" s="16" t="s">
        <v>3</v>
      </c>
      <c r="E185" s="141" t="s">
        <v>667</v>
      </c>
      <c r="F185" s="98" t="s">
        <v>717</v>
      </c>
      <c r="G185" s="52" t="s">
        <v>61</v>
      </c>
      <c r="H185" s="16" t="s">
        <v>927</v>
      </c>
      <c r="I185" s="16" t="s">
        <v>1340</v>
      </c>
      <c r="J185" s="16" t="s">
        <v>834</v>
      </c>
      <c r="K185" s="52" t="s">
        <v>61</v>
      </c>
      <c r="L185" s="98" t="s">
        <v>949</v>
      </c>
      <c r="M185" s="52"/>
      <c r="N185" s="16" t="s">
        <v>838</v>
      </c>
      <c r="O185" s="98"/>
      <c r="P185" s="98" t="s">
        <v>1381</v>
      </c>
      <c r="Q185" s="18"/>
      <c r="R185" s="16" t="s">
        <v>1393</v>
      </c>
      <c r="S185" s="16" t="s">
        <v>65</v>
      </c>
      <c r="T185" s="16"/>
      <c r="U185" s="16"/>
      <c r="V185" s="16">
        <v>26</v>
      </c>
      <c r="W185" s="16">
        <f>ROUND(IF(D185=Table!$C$3,Y185*Table!$C$4/8,Y185*Table!$D$4/8),3)</f>
        <v>67.5</v>
      </c>
      <c r="X185" s="16">
        <f t="shared" si="24"/>
        <v>67.5</v>
      </c>
      <c r="Y185" s="16">
        <v>1.2</v>
      </c>
      <c r="Z185" s="16">
        <v>1</v>
      </c>
      <c r="AA185" s="16" t="s">
        <v>74</v>
      </c>
      <c r="AB185" s="99">
        <v>43994</v>
      </c>
      <c r="AC185" s="99">
        <v>43990</v>
      </c>
      <c r="AD185" s="99">
        <v>43994</v>
      </c>
      <c r="AE185" s="99">
        <v>43990</v>
      </c>
      <c r="AF185" s="99">
        <v>43990</v>
      </c>
      <c r="AG185" s="99" t="s">
        <v>176</v>
      </c>
      <c r="AH185" s="100">
        <v>1</v>
      </c>
      <c r="AI185" s="100">
        <v>1</v>
      </c>
      <c r="AJ185" s="100">
        <v>1</v>
      </c>
      <c r="AK185" s="157" t="s">
        <v>150</v>
      </c>
      <c r="AL185" s="134"/>
      <c r="AM185" s="15"/>
      <c r="AN185" s="15"/>
    </row>
    <row r="186" spans="2:40" x14ac:dyDescent="0.25">
      <c r="B186" s="171">
        <f t="shared" si="25"/>
        <v>127</v>
      </c>
      <c r="C186" s="16">
        <v>20200608</v>
      </c>
      <c r="D186" s="16" t="s">
        <v>3</v>
      </c>
      <c r="E186" s="141" t="s">
        <v>667</v>
      </c>
      <c r="F186" s="98" t="s">
        <v>717</v>
      </c>
      <c r="G186" s="52" t="s">
        <v>61</v>
      </c>
      <c r="H186" s="16" t="s">
        <v>1363</v>
      </c>
      <c r="I186" s="16" t="s">
        <v>898</v>
      </c>
      <c r="J186" s="16" t="s">
        <v>835</v>
      </c>
      <c r="K186" s="52" t="s">
        <v>61</v>
      </c>
      <c r="L186" s="98" t="s">
        <v>949</v>
      </c>
      <c r="M186" s="52"/>
      <c r="N186" s="16" t="s">
        <v>838</v>
      </c>
      <c r="O186" s="98"/>
      <c r="P186" s="98" t="s">
        <v>1379</v>
      </c>
      <c r="Q186" s="18"/>
      <c r="R186" s="16" t="s">
        <v>1393</v>
      </c>
      <c r="S186" s="16" t="s">
        <v>65</v>
      </c>
      <c r="T186" s="16"/>
      <c r="U186" s="16"/>
      <c r="V186" s="16">
        <v>90</v>
      </c>
      <c r="W186" s="16">
        <f>ROUND(IF(D186=Table!$C$3,Y186*Table!$C$4/8,Y186*Table!$D$4/8),3)</f>
        <v>67.5</v>
      </c>
      <c r="X186" s="16">
        <f t="shared" si="24"/>
        <v>67.5</v>
      </c>
      <c r="Y186" s="16">
        <v>1.2</v>
      </c>
      <c r="Z186" s="16">
        <v>1</v>
      </c>
      <c r="AA186" s="16" t="s">
        <v>74</v>
      </c>
      <c r="AB186" s="99">
        <v>43994</v>
      </c>
      <c r="AC186" s="99">
        <v>43990</v>
      </c>
      <c r="AD186" s="99">
        <v>43994</v>
      </c>
      <c r="AE186" s="99">
        <v>43990</v>
      </c>
      <c r="AF186" s="99">
        <v>43990</v>
      </c>
      <c r="AG186" s="99" t="s">
        <v>176</v>
      </c>
      <c r="AH186" s="100">
        <v>1</v>
      </c>
      <c r="AI186" s="100">
        <v>1</v>
      </c>
      <c r="AJ186" s="100">
        <v>1</v>
      </c>
      <c r="AK186" s="157" t="s">
        <v>150</v>
      </c>
      <c r="AL186" s="134"/>
      <c r="AM186" s="15"/>
      <c r="AN186" s="15"/>
    </row>
    <row r="187" spans="2:40" x14ac:dyDescent="0.25">
      <c r="B187" s="171">
        <f t="shared" si="25"/>
        <v>128</v>
      </c>
      <c r="C187" s="16">
        <v>20200608</v>
      </c>
      <c r="D187" s="16" t="s">
        <v>3</v>
      </c>
      <c r="E187" s="141" t="s">
        <v>667</v>
      </c>
      <c r="F187" s="98" t="s">
        <v>717</v>
      </c>
      <c r="G187" s="52" t="s">
        <v>61</v>
      </c>
      <c r="H187" s="16" t="s">
        <v>928</v>
      </c>
      <c r="I187" s="16" t="s">
        <v>899</v>
      </c>
      <c r="J187" s="16" t="s">
        <v>835</v>
      </c>
      <c r="K187" s="52" t="s">
        <v>61</v>
      </c>
      <c r="L187" s="98" t="s">
        <v>949</v>
      </c>
      <c r="M187" s="52"/>
      <c r="N187" s="16" t="s">
        <v>838</v>
      </c>
      <c r="O187" s="98"/>
      <c r="P187" s="98" t="s">
        <v>1379</v>
      </c>
      <c r="Q187" s="18"/>
      <c r="R187" s="16" t="s">
        <v>1443</v>
      </c>
      <c r="S187" s="16" t="s">
        <v>141</v>
      </c>
      <c r="T187" s="16"/>
      <c r="U187" s="16"/>
      <c r="V187" s="16">
        <v>94</v>
      </c>
      <c r="W187" s="16">
        <f>ROUND(IF(D187=Table!$C$3,Y187*Table!$C$4/8,Y187*Table!$D$4/8),3)</f>
        <v>67.5</v>
      </c>
      <c r="X187" s="16">
        <v>67.5</v>
      </c>
      <c r="Y187" s="16">
        <v>1.2</v>
      </c>
      <c r="Z187" s="16">
        <v>1</v>
      </c>
      <c r="AA187" s="16" t="s">
        <v>74</v>
      </c>
      <c r="AB187" s="99">
        <v>43994</v>
      </c>
      <c r="AC187" s="99">
        <v>43990</v>
      </c>
      <c r="AD187" s="99">
        <v>43994</v>
      </c>
      <c r="AE187" s="99">
        <v>43991</v>
      </c>
      <c r="AF187" s="99">
        <v>43991</v>
      </c>
      <c r="AG187" s="99" t="s">
        <v>176</v>
      </c>
      <c r="AH187" s="100">
        <v>1</v>
      </c>
      <c r="AI187" s="100">
        <v>1</v>
      </c>
      <c r="AJ187" s="100">
        <v>1</v>
      </c>
      <c r="AK187" s="157" t="s">
        <v>150</v>
      </c>
      <c r="AL187" s="134"/>
      <c r="AM187" s="15"/>
      <c r="AN187" s="15"/>
    </row>
    <row r="188" spans="2:40" x14ac:dyDescent="0.25">
      <c r="B188" s="171">
        <f t="shared" si="25"/>
        <v>129</v>
      </c>
      <c r="C188" s="16">
        <v>20200608</v>
      </c>
      <c r="D188" s="16" t="s">
        <v>3</v>
      </c>
      <c r="E188" s="141" t="s">
        <v>667</v>
      </c>
      <c r="F188" s="98" t="s">
        <v>718</v>
      </c>
      <c r="G188" s="52" t="s">
        <v>61</v>
      </c>
      <c r="H188" s="16" t="s">
        <v>727</v>
      </c>
      <c r="I188" s="16" t="s">
        <v>1341</v>
      </c>
      <c r="J188" s="16" t="s">
        <v>835</v>
      </c>
      <c r="K188" s="52" t="s">
        <v>61</v>
      </c>
      <c r="L188" s="98" t="s">
        <v>949</v>
      </c>
      <c r="M188" s="52"/>
      <c r="N188" s="16" t="s">
        <v>839</v>
      </c>
      <c r="O188" s="98"/>
      <c r="P188" s="98" t="s">
        <v>1383</v>
      </c>
      <c r="Q188" s="18"/>
      <c r="R188" s="16" t="s">
        <v>1443</v>
      </c>
      <c r="S188" s="16" t="s">
        <v>141</v>
      </c>
      <c r="T188" s="16"/>
      <c r="U188" s="16"/>
      <c r="V188" s="16">
        <v>20</v>
      </c>
      <c r="W188" s="16">
        <f>ROUND(IF(D188=Table!$C$3,Y188*Table!$C$4/8,Y188*Table!$D$4/8),3)</f>
        <v>67.5</v>
      </c>
      <c r="X188" s="16">
        <v>67.5</v>
      </c>
      <c r="Y188" s="16">
        <v>1.2</v>
      </c>
      <c r="Z188" s="16">
        <v>0.75</v>
      </c>
      <c r="AA188" s="16" t="s">
        <v>74</v>
      </c>
      <c r="AB188" s="99">
        <v>43994</v>
      </c>
      <c r="AC188" s="99">
        <v>43990</v>
      </c>
      <c r="AD188" s="99">
        <v>43994</v>
      </c>
      <c r="AE188" s="99">
        <v>43991</v>
      </c>
      <c r="AF188" s="99">
        <v>43991</v>
      </c>
      <c r="AG188" s="99" t="s">
        <v>176</v>
      </c>
      <c r="AH188" s="100">
        <v>1</v>
      </c>
      <c r="AI188" s="100">
        <v>1</v>
      </c>
      <c r="AJ188" s="100">
        <v>1</v>
      </c>
      <c r="AK188" s="157" t="s">
        <v>150</v>
      </c>
      <c r="AL188" s="134"/>
      <c r="AM188" s="15"/>
      <c r="AN188" s="15"/>
    </row>
    <row r="189" spans="2:40" x14ac:dyDescent="0.25">
      <c r="B189" s="171">
        <f t="shared" si="25"/>
        <v>130</v>
      </c>
      <c r="C189" s="16">
        <v>20200608</v>
      </c>
      <c r="D189" s="16" t="s">
        <v>3</v>
      </c>
      <c r="E189" s="141" t="s">
        <v>667</v>
      </c>
      <c r="F189" s="98" t="s">
        <v>718</v>
      </c>
      <c r="G189" s="52" t="s">
        <v>61</v>
      </c>
      <c r="H189" s="16" t="s">
        <v>796</v>
      </c>
      <c r="I189" s="16" t="s">
        <v>1342</v>
      </c>
      <c r="J189" s="16" t="s">
        <v>835</v>
      </c>
      <c r="K189" s="52" t="s">
        <v>61</v>
      </c>
      <c r="L189" s="98" t="s">
        <v>949</v>
      </c>
      <c r="M189" s="52"/>
      <c r="N189" s="16" t="s">
        <v>839</v>
      </c>
      <c r="O189" s="98"/>
      <c r="P189" s="98" t="s">
        <v>1384</v>
      </c>
      <c r="Q189" s="18"/>
      <c r="R189" s="16" t="s">
        <v>1443</v>
      </c>
      <c r="S189" s="16" t="s">
        <v>141</v>
      </c>
      <c r="T189" s="16"/>
      <c r="U189" s="16"/>
      <c r="V189" s="16">
        <v>46</v>
      </c>
      <c r="W189" s="16">
        <f>ROUND(IF(D189=Table!$C$3,Y189*Table!$C$4/8,Y189*Table!$D$4/8),3)</f>
        <v>67.5</v>
      </c>
      <c r="X189" s="16">
        <v>67.5</v>
      </c>
      <c r="Y189" s="16">
        <v>1.2</v>
      </c>
      <c r="Z189" s="16">
        <v>0.75</v>
      </c>
      <c r="AA189" s="16" t="s">
        <v>74</v>
      </c>
      <c r="AB189" s="99">
        <v>43994</v>
      </c>
      <c r="AC189" s="99">
        <v>43990</v>
      </c>
      <c r="AD189" s="99">
        <v>43994</v>
      </c>
      <c r="AE189" s="99">
        <v>43991</v>
      </c>
      <c r="AF189" s="99">
        <v>43991</v>
      </c>
      <c r="AG189" s="99" t="s">
        <v>176</v>
      </c>
      <c r="AH189" s="100">
        <v>1</v>
      </c>
      <c r="AI189" s="100">
        <v>1</v>
      </c>
      <c r="AJ189" s="100">
        <v>1</v>
      </c>
      <c r="AK189" s="157" t="s">
        <v>150</v>
      </c>
      <c r="AL189" s="134"/>
      <c r="AM189" s="15"/>
      <c r="AN189" s="15"/>
    </row>
    <row r="190" spans="2:40" x14ac:dyDescent="0.25">
      <c r="B190" s="171">
        <f t="shared" si="25"/>
        <v>131</v>
      </c>
      <c r="C190" s="16">
        <v>20200608</v>
      </c>
      <c r="D190" s="16" t="s">
        <v>3</v>
      </c>
      <c r="E190" s="141" t="s">
        <v>667</v>
      </c>
      <c r="F190" s="98" t="s">
        <v>718</v>
      </c>
      <c r="G190" s="52" t="s">
        <v>61</v>
      </c>
      <c r="H190" s="16" t="s">
        <v>912</v>
      </c>
      <c r="I190" s="16" t="s">
        <v>1343</v>
      </c>
      <c r="J190" s="16" t="s">
        <v>835</v>
      </c>
      <c r="K190" s="52" t="s">
        <v>61</v>
      </c>
      <c r="L190" s="98" t="s">
        <v>949</v>
      </c>
      <c r="M190" s="52"/>
      <c r="N190" s="16" t="s">
        <v>839</v>
      </c>
      <c r="O190" s="98"/>
      <c r="P190" s="98" t="s">
        <v>1383</v>
      </c>
      <c r="Q190" s="18"/>
      <c r="R190" s="16" t="s">
        <v>1443</v>
      </c>
      <c r="S190" s="16" t="s">
        <v>141</v>
      </c>
      <c r="T190" s="16"/>
      <c r="U190" s="16"/>
      <c r="V190" s="16">
        <v>22</v>
      </c>
      <c r="W190" s="16">
        <f>ROUND(IF(D190=Table!$C$3,Y190*Table!$C$4/8,Y190*Table!$D$4/8),3)</f>
        <v>67.5</v>
      </c>
      <c r="X190" s="16">
        <v>67.5</v>
      </c>
      <c r="Y190" s="16">
        <v>1.2</v>
      </c>
      <c r="Z190" s="16">
        <v>0.75</v>
      </c>
      <c r="AA190" s="16" t="s">
        <v>74</v>
      </c>
      <c r="AB190" s="99">
        <v>43994</v>
      </c>
      <c r="AC190" s="99">
        <v>43990</v>
      </c>
      <c r="AD190" s="99">
        <v>43994</v>
      </c>
      <c r="AE190" s="99">
        <v>43991</v>
      </c>
      <c r="AF190" s="99">
        <v>43991</v>
      </c>
      <c r="AG190" s="99" t="s">
        <v>176</v>
      </c>
      <c r="AH190" s="100">
        <v>1</v>
      </c>
      <c r="AI190" s="100">
        <v>1</v>
      </c>
      <c r="AJ190" s="100">
        <v>1</v>
      </c>
      <c r="AK190" s="157" t="s">
        <v>150</v>
      </c>
      <c r="AL190" s="134"/>
      <c r="AM190" s="15"/>
      <c r="AN190" s="15"/>
    </row>
    <row r="191" spans="2:40" x14ac:dyDescent="0.25">
      <c r="B191" s="171">
        <f t="shared" si="25"/>
        <v>132</v>
      </c>
      <c r="C191" s="16">
        <v>20200608</v>
      </c>
      <c r="D191" s="16" t="s">
        <v>3</v>
      </c>
      <c r="E191" s="141" t="s">
        <v>667</v>
      </c>
      <c r="F191" s="98" t="s">
        <v>718</v>
      </c>
      <c r="G191" s="52" t="s">
        <v>61</v>
      </c>
      <c r="H191" s="16" t="s">
        <v>801</v>
      </c>
      <c r="I191" s="16" t="s">
        <v>1344</v>
      </c>
      <c r="J191" s="16" t="s">
        <v>835</v>
      </c>
      <c r="K191" s="52" t="s">
        <v>61</v>
      </c>
      <c r="L191" s="98" t="s">
        <v>949</v>
      </c>
      <c r="M191" s="52"/>
      <c r="N191" s="16" t="s">
        <v>839</v>
      </c>
      <c r="O191" s="98"/>
      <c r="P191" s="98" t="s">
        <v>1383</v>
      </c>
      <c r="Q191" s="18"/>
      <c r="R191" s="16" t="s">
        <v>1443</v>
      </c>
      <c r="S191" s="16" t="s">
        <v>141</v>
      </c>
      <c r="T191" s="16"/>
      <c r="U191" s="16"/>
      <c r="V191" s="16">
        <v>38</v>
      </c>
      <c r="W191" s="16">
        <f>ROUND(IF(D191=Table!$C$3,Y191*Table!$C$4/8,Y191*Table!$D$4/8),3)</f>
        <v>67.5</v>
      </c>
      <c r="X191" s="16">
        <v>67.5</v>
      </c>
      <c r="Y191" s="16">
        <v>1.2</v>
      </c>
      <c r="Z191" s="16">
        <v>0.75</v>
      </c>
      <c r="AA191" s="16" t="s">
        <v>74</v>
      </c>
      <c r="AB191" s="99">
        <v>43994</v>
      </c>
      <c r="AC191" s="99">
        <v>43990</v>
      </c>
      <c r="AD191" s="99">
        <v>43994</v>
      </c>
      <c r="AE191" s="99">
        <v>43992</v>
      </c>
      <c r="AF191" s="99">
        <v>43992</v>
      </c>
      <c r="AG191" s="99" t="s">
        <v>176</v>
      </c>
      <c r="AH191" s="100">
        <v>1</v>
      </c>
      <c r="AI191" s="100">
        <v>1</v>
      </c>
      <c r="AJ191" s="100">
        <v>1</v>
      </c>
      <c r="AK191" s="157" t="s">
        <v>150</v>
      </c>
      <c r="AL191" s="134"/>
      <c r="AM191" s="15"/>
      <c r="AN191" s="15"/>
    </row>
    <row r="192" spans="2:40" x14ac:dyDescent="0.25">
      <c r="B192" s="171">
        <f t="shared" si="25"/>
        <v>133</v>
      </c>
      <c r="C192" s="16">
        <v>20200608</v>
      </c>
      <c r="D192" s="16" t="s">
        <v>3</v>
      </c>
      <c r="E192" s="141" t="s">
        <v>667</v>
      </c>
      <c r="F192" s="98" t="s">
        <v>718</v>
      </c>
      <c r="G192" s="52" t="s">
        <v>61</v>
      </c>
      <c r="H192" s="16" t="s">
        <v>802</v>
      </c>
      <c r="I192" s="16" t="s">
        <v>1345</v>
      </c>
      <c r="J192" s="16" t="s">
        <v>835</v>
      </c>
      <c r="K192" s="52" t="s">
        <v>61</v>
      </c>
      <c r="L192" s="98" t="s">
        <v>949</v>
      </c>
      <c r="M192" s="52"/>
      <c r="N192" s="16" t="s">
        <v>839</v>
      </c>
      <c r="O192" s="98"/>
      <c r="P192" s="98" t="s">
        <v>1385</v>
      </c>
      <c r="Q192" s="18"/>
      <c r="R192" s="16" t="s">
        <v>1443</v>
      </c>
      <c r="S192" s="16" t="s">
        <v>141</v>
      </c>
      <c r="T192" s="16"/>
      <c r="U192" s="16"/>
      <c r="V192" s="16">
        <v>28</v>
      </c>
      <c r="W192" s="16">
        <f>ROUND(IF(D192=Table!$C$3,Y192*Table!$C$4/8,Y192*Table!$D$4/8),3)</f>
        <v>67.5</v>
      </c>
      <c r="X192" s="16">
        <v>67.5</v>
      </c>
      <c r="Y192" s="16">
        <v>1.2</v>
      </c>
      <c r="Z192" s="16">
        <v>0.75</v>
      </c>
      <c r="AA192" s="16" t="s">
        <v>74</v>
      </c>
      <c r="AB192" s="99">
        <v>43994</v>
      </c>
      <c r="AC192" s="99">
        <v>43990</v>
      </c>
      <c r="AD192" s="99">
        <v>43994</v>
      </c>
      <c r="AE192" s="99">
        <v>43992</v>
      </c>
      <c r="AF192" s="99">
        <v>43992</v>
      </c>
      <c r="AG192" s="99" t="s">
        <v>176</v>
      </c>
      <c r="AH192" s="100">
        <v>1</v>
      </c>
      <c r="AI192" s="100">
        <v>1</v>
      </c>
      <c r="AJ192" s="100">
        <v>1</v>
      </c>
      <c r="AK192" s="157" t="s">
        <v>150</v>
      </c>
      <c r="AL192" s="134"/>
      <c r="AM192" s="15"/>
      <c r="AN192" s="15"/>
    </row>
    <row r="193" spans="2:40" x14ac:dyDescent="0.25">
      <c r="B193" s="171">
        <f t="shared" si="25"/>
        <v>134</v>
      </c>
      <c r="C193" s="16">
        <v>20200608</v>
      </c>
      <c r="D193" s="16" t="s">
        <v>3</v>
      </c>
      <c r="E193" s="141" t="s">
        <v>667</v>
      </c>
      <c r="F193" s="98" t="s">
        <v>718</v>
      </c>
      <c r="G193" s="52" t="s">
        <v>61</v>
      </c>
      <c r="H193" s="16" t="s">
        <v>803</v>
      </c>
      <c r="I193" s="16" t="s">
        <v>1346</v>
      </c>
      <c r="J193" s="16" t="s">
        <v>835</v>
      </c>
      <c r="K193" s="52" t="s">
        <v>61</v>
      </c>
      <c r="L193" s="98" t="s">
        <v>949</v>
      </c>
      <c r="M193" s="52"/>
      <c r="N193" s="16" t="s">
        <v>839</v>
      </c>
      <c r="O193" s="98"/>
      <c r="P193" s="98" t="s">
        <v>1383</v>
      </c>
      <c r="Q193" s="18"/>
      <c r="R193" s="16" t="s">
        <v>1443</v>
      </c>
      <c r="S193" s="16" t="s">
        <v>141</v>
      </c>
      <c r="T193" s="16"/>
      <c r="U193" s="16"/>
      <c r="V193" s="16">
        <v>28</v>
      </c>
      <c r="W193" s="16">
        <f>ROUND(IF(D193=Table!$C$3,Y193*Table!$C$4/8,Y193*Table!$D$4/8),3)</f>
        <v>67.5</v>
      </c>
      <c r="X193" s="16">
        <v>67.5</v>
      </c>
      <c r="Y193" s="16">
        <v>1.2</v>
      </c>
      <c r="Z193" s="16">
        <v>0.75</v>
      </c>
      <c r="AA193" s="16" t="s">
        <v>74</v>
      </c>
      <c r="AB193" s="99">
        <v>43994</v>
      </c>
      <c r="AC193" s="99">
        <v>43990</v>
      </c>
      <c r="AD193" s="99">
        <v>43994</v>
      </c>
      <c r="AE193" s="99">
        <v>43992</v>
      </c>
      <c r="AF193" s="99">
        <v>43992</v>
      </c>
      <c r="AG193" s="99" t="s">
        <v>176</v>
      </c>
      <c r="AH193" s="100">
        <v>1</v>
      </c>
      <c r="AI193" s="100">
        <v>1</v>
      </c>
      <c r="AJ193" s="100">
        <v>0.5</v>
      </c>
      <c r="AK193" s="157" t="s">
        <v>150</v>
      </c>
      <c r="AL193" s="134" t="s">
        <v>1500</v>
      </c>
      <c r="AM193" s="15"/>
      <c r="AN193" s="15"/>
    </row>
    <row r="194" spans="2:40" x14ac:dyDescent="0.25">
      <c r="B194" s="171">
        <f t="shared" si="25"/>
        <v>135</v>
      </c>
      <c r="C194" s="16">
        <v>20200608</v>
      </c>
      <c r="D194" s="16" t="s">
        <v>3</v>
      </c>
      <c r="E194" s="141" t="s">
        <v>667</v>
      </c>
      <c r="F194" s="98" t="s">
        <v>718</v>
      </c>
      <c r="G194" s="52" t="s">
        <v>61</v>
      </c>
      <c r="H194" s="16" t="s">
        <v>805</v>
      </c>
      <c r="I194" s="16" t="s">
        <v>1347</v>
      </c>
      <c r="J194" s="16" t="s">
        <v>835</v>
      </c>
      <c r="K194" s="52" t="s">
        <v>61</v>
      </c>
      <c r="L194" s="98" t="s">
        <v>949</v>
      </c>
      <c r="M194" s="52" t="s">
        <v>61</v>
      </c>
      <c r="N194" s="16" t="s">
        <v>839</v>
      </c>
      <c r="O194" s="98"/>
      <c r="P194" s="98" t="s">
        <v>1383</v>
      </c>
      <c r="Q194" s="18"/>
      <c r="R194" s="16" t="s">
        <v>1443</v>
      </c>
      <c r="S194" s="16" t="s">
        <v>141</v>
      </c>
      <c r="T194" s="16"/>
      <c r="U194" s="16"/>
      <c r="V194" s="16">
        <v>42</v>
      </c>
      <c r="W194" s="16">
        <f>ROUND(IF(D194=Table!$C$3,Y194*Table!$C$4/8,Y194*Table!$D$4/8),3)</f>
        <v>67.5</v>
      </c>
      <c r="X194" s="16">
        <v>67.5</v>
      </c>
      <c r="Y194" s="16">
        <v>1.2</v>
      </c>
      <c r="Z194" s="16">
        <v>0.75</v>
      </c>
      <c r="AA194" s="16" t="s">
        <v>74</v>
      </c>
      <c r="AB194" s="99">
        <v>43994</v>
      </c>
      <c r="AC194" s="99">
        <v>43990</v>
      </c>
      <c r="AD194" s="99">
        <v>43994</v>
      </c>
      <c r="AE194" s="99">
        <v>43992</v>
      </c>
      <c r="AF194" s="99">
        <v>43992</v>
      </c>
      <c r="AG194" s="99" t="s">
        <v>176</v>
      </c>
      <c r="AH194" s="100">
        <v>1</v>
      </c>
      <c r="AI194" s="100">
        <v>1</v>
      </c>
      <c r="AJ194" s="100">
        <v>1</v>
      </c>
      <c r="AK194" s="157" t="s">
        <v>150</v>
      </c>
      <c r="AL194" s="134"/>
      <c r="AM194" s="15"/>
      <c r="AN194" s="15"/>
    </row>
    <row r="195" spans="2:40" x14ac:dyDescent="0.25">
      <c r="B195" s="171">
        <f t="shared" si="25"/>
        <v>136</v>
      </c>
      <c r="C195" s="16">
        <v>20200608</v>
      </c>
      <c r="D195" s="16" t="s">
        <v>3</v>
      </c>
      <c r="E195" s="141" t="s">
        <v>667</v>
      </c>
      <c r="F195" s="98" t="s">
        <v>1390</v>
      </c>
      <c r="G195" s="52" t="s">
        <v>61</v>
      </c>
      <c r="H195" s="16" t="s">
        <v>932</v>
      </c>
      <c r="I195" s="16" t="s">
        <v>1348</v>
      </c>
      <c r="J195" s="16" t="s">
        <v>835</v>
      </c>
      <c r="K195" s="52" t="s">
        <v>61</v>
      </c>
      <c r="L195" s="98" t="s">
        <v>949</v>
      </c>
      <c r="M195" s="52" t="s">
        <v>61</v>
      </c>
      <c r="N195" s="16" t="s">
        <v>839</v>
      </c>
      <c r="O195" s="98"/>
      <c r="P195" s="98" t="s">
        <v>1385</v>
      </c>
      <c r="Q195" s="18"/>
      <c r="R195" s="16" t="s">
        <v>1443</v>
      </c>
      <c r="S195" s="16" t="s">
        <v>141</v>
      </c>
      <c r="T195" s="16"/>
      <c r="U195" s="16"/>
      <c r="V195" s="16">
        <v>8</v>
      </c>
      <c r="W195" s="16">
        <f>ROUND(IF(D195=Table!$C$3,Y195*Table!$C$4/8,Y195*Table!$D$4/8),3)</f>
        <v>67.5</v>
      </c>
      <c r="X195" s="16">
        <v>67.5</v>
      </c>
      <c r="Y195" s="16">
        <v>1.2</v>
      </c>
      <c r="Z195" s="16">
        <v>0.75</v>
      </c>
      <c r="AA195" s="16" t="s">
        <v>74</v>
      </c>
      <c r="AB195" s="99">
        <v>43994</v>
      </c>
      <c r="AC195" s="99">
        <v>43990</v>
      </c>
      <c r="AD195" s="99">
        <v>43994</v>
      </c>
      <c r="AE195" s="99">
        <v>43992</v>
      </c>
      <c r="AF195" s="99">
        <v>43992</v>
      </c>
      <c r="AG195" s="99" t="s">
        <v>176</v>
      </c>
      <c r="AH195" s="100">
        <v>1</v>
      </c>
      <c r="AI195" s="100">
        <v>1</v>
      </c>
      <c r="AJ195" s="100">
        <v>1</v>
      </c>
      <c r="AK195" s="157" t="s">
        <v>150</v>
      </c>
      <c r="AL195" s="134"/>
      <c r="AM195" s="15"/>
      <c r="AN195" s="15"/>
    </row>
    <row r="196" spans="2:40" x14ac:dyDescent="0.25">
      <c r="B196" s="133">
        <v>137</v>
      </c>
      <c r="C196" s="16">
        <v>20200612</v>
      </c>
      <c r="D196" s="16" t="s">
        <v>3</v>
      </c>
      <c r="E196" s="141" t="s">
        <v>871</v>
      </c>
      <c r="F196" s="98" t="s">
        <v>870</v>
      </c>
      <c r="G196" s="52" t="s">
        <v>61</v>
      </c>
      <c r="H196" s="16" t="s">
        <v>923</v>
      </c>
      <c r="I196" s="16" t="s">
        <v>1557</v>
      </c>
      <c r="J196" s="16" t="s">
        <v>908</v>
      </c>
      <c r="K196" s="52" t="s">
        <v>61</v>
      </c>
      <c r="L196" s="98" t="s">
        <v>933</v>
      </c>
      <c r="M196" s="52" t="s">
        <v>61</v>
      </c>
      <c r="N196" s="16" t="s">
        <v>1711</v>
      </c>
      <c r="O196" s="98"/>
      <c r="P196" s="98" t="s">
        <v>1696</v>
      </c>
      <c r="Q196" s="18"/>
      <c r="R196" s="16" t="s">
        <v>1720</v>
      </c>
      <c r="S196" s="16" t="s">
        <v>64</v>
      </c>
      <c r="T196" s="16"/>
      <c r="U196" s="16"/>
      <c r="V196" s="16"/>
      <c r="W196" s="16">
        <f>ROUND(IF(D196=Table!$C$3,Y196*Table!$C$4/8,Y196*Table!$D$4/8),3)</f>
        <v>85.5</v>
      </c>
      <c r="X196" s="16">
        <f t="shared" ref="X196:X236" si="26">W196</f>
        <v>85.5</v>
      </c>
      <c r="Y196" s="16">
        <v>1.52</v>
      </c>
      <c r="Z196" s="16">
        <v>1</v>
      </c>
      <c r="AA196" s="16" t="s">
        <v>21</v>
      </c>
      <c r="AB196" s="99">
        <v>43999</v>
      </c>
      <c r="AC196" s="99">
        <v>43997</v>
      </c>
      <c r="AD196" s="99">
        <v>43999</v>
      </c>
      <c r="AE196" s="99">
        <v>43997</v>
      </c>
      <c r="AF196" s="99">
        <v>43997</v>
      </c>
      <c r="AG196" s="99" t="s">
        <v>177</v>
      </c>
      <c r="AH196" s="100">
        <v>1</v>
      </c>
      <c r="AI196" s="100">
        <v>0.94</v>
      </c>
      <c r="AJ196" s="100">
        <v>0.5</v>
      </c>
      <c r="AK196" s="157" t="s">
        <v>150</v>
      </c>
      <c r="AL196" s="134" t="s">
        <v>1728</v>
      </c>
      <c r="AM196" s="15"/>
      <c r="AN196" s="15"/>
    </row>
    <row r="197" spans="2:40" x14ac:dyDescent="0.25">
      <c r="B197" s="133">
        <v>138</v>
      </c>
      <c r="C197" s="16">
        <v>20200612</v>
      </c>
      <c r="D197" s="16" t="s">
        <v>3</v>
      </c>
      <c r="E197" s="141" t="s">
        <v>871</v>
      </c>
      <c r="F197" s="98" t="s">
        <v>870</v>
      </c>
      <c r="G197" s="52" t="s">
        <v>61</v>
      </c>
      <c r="H197" s="16" t="s">
        <v>730</v>
      </c>
      <c r="I197" s="16" t="s">
        <v>1558</v>
      </c>
      <c r="J197" s="16" t="s">
        <v>835</v>
      </c>
      <c r="K197" s="52" t="s">
        <v>61</v>
      </c>
      <c r="L197" s="98" t="s">
        <v>933</v>
      </c>
      <c r="M197" s="52" t="s">
        <v>61</v>
      </c>
      <c r="N197" s="16" t="s">
        <v>1711</v>
      </c>
      <c r="O197" s="98"/>
      <c r="P197" s="98" t="s">
        <v>1696</v>
      </c>
      <c r="Q197" s="18"/>
      <c r="R197" s="16" t="s">
        <v>1720</v>
      </c>
      <c r="S197" s="16" t="s">
        <v>64</v>
      </c>
      <c r="T197" s="16"/>
      <c r="U197" s="16"/>
      <c r="V197" s="16"/>
      <c r="W197" s="16">
        <f>ROUND(IF(D197=Table!$C$3,Y197*Table!$C$4/8,Y197*Table!$D$4/8),3)</f>
        <v>85.5</v>
      </c>
      <c r="X197" s="16">
        <f t="shared" si="26"/>
        <v>85.5</v>
      </c>
      <c r="Y197" s="16">
        <v>1.52</v>
      </c>
      <c r="Z197" s="16">
        <v>1</v>
      </c>
      <c r="AA197" s="16" t="s">
        <v>21</v>
      </c>
      <c r="AB197" s="99">
        <v>43999</v>
      </c>
      <c r="AC197" s="99">
        <v>43997</v>
      </c>
      <c r="AD197" s="99">
        <v>43999</v>
      </c>
      <c r="AE197" s="99">
        <v>43997</v>
      </c>
      <c r="AF197" s="99">
        <v>43997</v>
      </c>
      <c r="AG197" s="99" t="s">
        <v>176</v>
      </c>
      <c r="AH197" s="100">
        <v>1</v>
      </c>
      <c r="AI197" s="100">
        <v>1</v>
      </c>
      <c r="AJ197" s="100">
        <v>0.33</v>
      </c>
      <c r="AK197" s="157" t="s">
        <v>150</v>
      </c>
      <c r="AL197" s="134"/>
      <c r="AM197" s="15"/>
      <c r="AN197" s="15"/>
    </row>
    <row r="198" spans="2:40" x14ac:dyDescent="0.25">
      <c r="B198" s="133">
        <v>139</v>
      </c>
      <c r="C198" s="16">
        <v>20200612</v>
      </c>
      <c r="D198" s="16" t="s">
        <v>3</v>
      </c>
      <c r="E198" s="141" t="s">
        <v>871</v>
      </c>
      <c r="F198" s="98" t="s">
        <v>870</v>
      </c>
      <c r="G198" s="52" t="s">
        <v>61</v>
      </c>
      <c r="H198" s="16" t="s">
        <v>824</v>
      </c>
      <c r="I198" s="16" t="s">
        <v>1559</v>
      </c>
      <c r="J198" s="16" t="s">
        <v>908</v>
      </c>
      <c r="K198" s="52" t="s">
        <v>61</v>
      </c>
      <c r="L198" s="98" t="s">
        <v>933</v>
      </c>
      <c r="M198" s="52"/>
      <c r="N198" s="16" t="s">
        <v>1711</v>
      </c>
      <c r="O198" s="98"/>
      <c r="P198" s="98" t="s">
        <v>1697</v>
      </c>
      <c r="Q198" s="18"/>
      <c r="R198" s="16" t="s">
        <v>1720</v>
      </c>
      <c r="S198" s="16" t="s">
        <v>64</v>
      </c>
      <c r="T198" s="16"/>
      <c r="U198" s="16"/>
      <c r="V198" s="16"/>
      <c r="W198" s="16">
        <f>ROUND(IF(D198=Table!$C$3,Y198*Table!$C$4/8,Y198*Table!$D$4/8),3)</f>
        <v>63</v>
      </c>
      <c r="X198" s="16">
        <f t="shared" si="26"/>
        <v>63</v>
      </c>
      <c r="Y198" s="16">
        <v>1.1200000000000001</v>
      </c>
      <c r="Z198" s="16">
        <v>1</v>
      </c>
      <c r="AA198" s="16" t="s">
        <v>21</v>
      </c>
      <c r="AB198" s="99">
        <v>43999</v>
      </c>
      <c r="AC198" s="99">
        <v>43997</v>
      </c>
      <c r="AD198" s="99">
        <v>43999</v>
      </c>
      <c r="AE198" s="99">
        <v>43997</v>
      </c>
      <c r="AF198" s="99">
        <v>43997</v>
      </c>
      <c r="AG198" s="99" t="s">
        <v>176</v>
      </c>
      <c r="AH198" s="100">
        <v>1</v>
      </c>
      <c r="AI198" s="100">
        <v>1</v>
      </c>
      <c r="AJ198" s="100">
        <v>0.5</v>
      </c>
      <c r="AK198" s="157" t="s">
        <v>150</v>
      </c>
      <c r="AL198" s="134"/>
      <c r="AM198" s="15"/>
      <c r="AN198" s="15"/>
    </row>
    <row r="199" spans="2:40" x14ac:dyDescent="0.25">
      <c r="B199" s="133">
        <v>140</v>
      </c>
      <c r="C199" s="16">
        <v>20200612</v>
      </c>
      <c r="D199" s="16" t="s">
        <v>3</v>
      </c>
      <c r="E199" s="141" t="s">
        <v>871</v>
      </c>
      <c r="F199" s="98" t="s">
        <v>870</v>
      </c>
      <c r="G199" s="52" t="s">
        <v>61</v>
      </c>
      <c r="H199" s="16" t="s">
        <v>924</v>
      </c>
      <c r="I199" s="16" t="s">
        <v>1560</v>
      </c>
      <c r="J199" s="16" t="s">
        <v>908</v>
      </c>
      <c r="K199" s="52" t="s">
        <v>61</v>
      </c>
      <c r="L199" s="98" t="s">
        <v>933</v>
      </c>
      <c r="M199" s="52"/>
      <c r="N199" s="16" t="s">
        <v>1711</v>
      </c>
      <c r="O199" s="98"/>
      <c r="P199" s="98" t="s">
        <v>1698</v>
      </c>
      <c r="Q199" s="18"/>
      <c r="R199" s="16" t="s">
        <v>1720</v>
      </c>
      <c r="S199" s="16" t="s">
        <v>64</v>
      </c>
      <c r="T199" s="16"/>
      <c r="U199" s="16"/>
      <c r="V199" s="16"/>
      <c r="W199" s="16">
        <f>ROUND(IF(D199=Table!$C$3,Y199*Table!$C$4/8,Y199*Table!$D$4/8),3)</f>
        <v>63</v>
      </c>
      <c r="X199" s="16">
        <f t="shared" si="26"/>
        <v>63</v>
      </c>
      <c r="Y199" s="16">
        <v>1.1200000000000001</v>
      </c>
      <c r="Z199" s="16">
        <v>1</v>
      </c>
      <c r="AA199" s="16" t="s">
        <v>21</v>
      </c>
      <c r="AB199" s="99">
        <v>43999</v>
      </c>
      <c r="AC199" s="99">
        <v>43997</v>
      </c>
      <c r="AD199" s="99">
        <v>43999</v>
      </c>
      <c r="AE199" s="99">
        <v>43997</v>
      </c>
      <c r="AF199" s="99">
        <v>43997</v>
      </c>
      <c r="AG199" s="99" t="s">
        <v>176</v>
      </c>
      <c r="AH199" s="100">
        <v>1</v>
      </c>
      <c r="AI199" s="100">
        <v>1</v>
      </c>
      <c r="AJ199" s="100">
        <v>0.5</v>
      </c>
      <c r="AK199" s="157" t="s">
        <v>150</v>
      </c>
      <c r="AL199" s="134"/>
      <c r="AM199" s="15"/>
      <c r="AN199" s="15"/>
    </row>
    <row r="200" spans="2:40" x14ac:dyDescent="0.25">
      <c r="B200" s="133">
        <v>141</v>
      </c>
      <c r="C200" s="16">
        <v>20200612</v>
      </c>
      <c r="D200" s="16" t="s">
        <v>3</v>
      </c>
      <c r="E200" s="141" t="s">
        <v>871</v>
      </c>
      <c r="F200" s="98" t="s">
        <v>870</v>
      </c>
      <c r="G200" s="52" t="s">
        <v>61</v>
      </c>
      <c r="H200" s="16" t="s">
        <v>925</v>
      </c>
      <c r="I200" s="16" t="s">
        <v>1561</v>
      </c>
      <c r="J200" s="16" t="s">
        <v>908</v>
      </c>
      <c r="K200" s="52" t="s">
        <v>61</v>
      </c>
      <c r="L200" s="98" t="s">
        <v>933</v>
      </c>
      <c r="M200" s="52"/>
      <c r="N200" s="16" t="s">
        <v>1711</v>
      </c>
      <c r="O200" s="98"/>
      <c r="P200" s="98" t="s">
        <v>1698</v>
      </c>
      <c r="Q200" s="18"/>
      <c r="R200" s="16" t="s">
        <v>1720</v>
      </c>
      <c r="S200" s="16" t="s">
        <v>64</v>
      </c>
      <c r="T200" s="16"/>
      <c r="U200" s="16"/>
      <c r="V200" s="16"/>
      <c r="W200" s="16">
        <f>ROUND(IF(D200=Table!$C$3,Y200*Table!$C$4/8,Y200*Table!$D$4/8),3)</f>
        <v>63</v>
      </c>
      <c r="X200" s="16">
        <f t="shared" si="26"/>
        <v>63</v>
      </c>
      <c r="Y200" s="16">
        <v>1.1200000000000001</v>
      </c>
      <c r="Z200" s="16">
        <v>1</v>
      </c>
      <c r="AA200" s="16" t="s">
        <v>21</v>
      </c>
      <c r="AB200" s="99">
        <v>43999</v>
      </c>
      <c r="AC200" s="99">
        <v>43997</v>
      </c>
      <c r="AD200" s="99">
        <v>43999</v>
      </c>
      <c r="AE200" s="99">
        <v>43997</v>
      </c>
      <c r="AF200" s="99">
        <v>43997</v>
      </c>
      <c r="AG200" s="99" t="s">
        <v>176</v>
      </c>
      <c r="AH200" s="100">
        <v>1</v>
      </c>
      <c r="AI200" s="100">
        <v>1</v>
      </c>
      <c r="AJ200" s="100">
        <v>1</v>
      </c>
      <c r="AK200" s="157" t="s">
        <v>150</v>
      </c>
      <c r="AL200" s="134"/>
      <c r="AM200" s="15"/>
      <c r="AN200" s="15"/>
    </row>
    <row r="201" spans="2:40" x14ac:dyDescent="0.25">
      <c r="B201" s="133">
        <v>142</v>
      </c>
      <c r="C201" s="16">
        <v>20200612</v>
      </c>
      <c r="D201" s="16" t="s">
        <v>3</v>
      </c>
      <c r="E201" s="141" t="s">
        <v>871</v>
      </c>
      <c r="F201" s="98" t="s">
        <v>1553</v>
      </c>
      <c r="G201" s="52" t="s">
        <v>61</v>
      </c>
      <c r="H201" s="16" t="s">
        <v>927</v>
      </c>
      <c r="I201" s="16" t="s">
        <v>1562</v>
      </c>
      <c r="J201" s="16" t="s">
        <v>908</v>
      </c>
      <c r="K201" s="52" t="s">
        <v>61</v>
      </c>
      <c r="L201" s="98" t="s">
        <v>933</v>
      </c>
      <c r="M201" s="52"/>
      <c r="N201" s="16" t="s">
        <v>1711</v>
      </c>
      <c r="O201" s="98"/>
      <c r="P201" s="98" t="s">
        <v>1699</v>
      </c>
      <c r="Q201" s="18"/>
      <c r="R201" s="16" t="s">
        <v>1720</v>
      </c>
      <c r="S201" s="16" t="s">
        <v>64</v>
      </c>
      <c r="T201" s="16"/>
      <c r="U201" s="16"/>
      <c r="V201" s="16"/>
      <c r="W201" s="16">
        <f>ROUND(IF(D201=Table!$C$3,Y201*Table!$C$4/8,Y201*Table!$D$4/8),3)</f>
        <v>99</v>
      </c>
      <c r="X201" s="16">
        <f t="shared" si="26"/>
        <v>99</v>
      </c>
      <c r="Y201" s="16">
        <v>1.76</v>
      </c>
      <c r="Z201" s="16">
        <v>1</v>
      </c>
      <c r="AA201" s="16" t="s">
        <v>21</v>
      </c>
      <c r="AB201" s="99">
        <v>43999</v>
      </c>
      <c r="AC201" s="99">
        <v>43997</v>
      </c>
      <c r="AD201" s="99">
        <v>43999</v>
      </c>
      <c r="AE201" s="99">
        <v>43997</v>
      </c>
      <c r="AF201" s="99">
        <v>43997</v>
      </c>
      <c r="AG201" s="99" t="s">
        <v>176</v>
      </c>
      <c r="AH201" s="100">
        <v>1</v>
      </c>
      <c r="AI201" s="100">
        <v>1</v>
      </c>
      <c r="AJ201" s="100">
        <v>1</v>
      </c>
      <c r="AK201" s="157" t="s">
        <v>150</v>
      </c>
      <c r="AL201" s="134"/>
      <c r="AM201" s="15"/>
      <c r="AN201" s="15"/>
    </row>
    <row r="202" spans="2:40" x14ac:dyDescent="0.25">
      <c r="B202" s="133">
        <v>143</v>
      </c>
      <c r="C202" s="16">
        <v>20200612</v>
      </c>
      <c r="D202" s="16" t="s">
        <v>3</v>
      </c>
      <c r="E202" s="141" t="s">
        <v>871</v>
      </c>
      <c r="F202" s="98" t="s">
        <v>1554</v>
      </c>
      <c r="G202" s="52" t="s">
        <v>61</v>
      </c>
      <c r="H202" s="16" t="s">
        <v>1631</v>
      </c>
      <c r="I202" s="16" t="s">
        <v>1563</v>
      </c>
      <c r="J202" s="16" t="s">
        <v>908</v>
      </c>
      <c r="K202" s="52" t="s">
        <v>61</v>
      </c>
      <c r="L202" s="98" t="s">
        <v>933</v>
      </c>
      <c r="M202" s="52"/>
      <c r="N202" s="16" t="s">
        <v>1711</v>
      </c>
      <c r="O202" s="98"/>
      <c r="P202" s="98" t="s">
        <v>1700</v>
      </c>
      <c r="Q202" s="18"/>
      <c r="R202" s="16" t="s">
        <v>1720</v>
      </c>
      <c r="S202" s="16" t="s">
        <v>64</v>
      </c>
      <c r="T202" s="16"/>
      <c r="U202" s="16"/>
      <c r="V202" s="16"/>
      <c r="W202" s="16">
        <f>ROUND(IF(D202=Table!$C$3,Y202*Table!$C$4/8,Y202*Table!$D$4/8),3)</f>
        <v>76.5</v>
      </c>
      <c r="X202" s="16">
        <f t="shared" si="26"/>
        <v>76.5</v>
      </c>
      <c r="Y202" s="16">
        <v>1.36</v>
      </c>
      <c r="Z202" s="16">
        <v>1</v>
      </c>
      <c r="AA202" s="16" t="s">
        <v>21</v>
      </c>
      <c r="AB202" s="99">
        <v>43999</v>
      </c>
      <c r="AC202" s="99">
        <v>43997</v>
      </c>
      <c r="AD202" s="99">
        <v>43999</v>
      </c>
      <c r="AE202" s="99">
        <v>43997</v>
      </c>
      <c r="AF202" s="99">
        <v>43997</v>
      </c>
      <c r="AG202" s="99" t="s">
        <v>176</v>
      </c>
      <c r="AH202" s="100">
        <v>1</v>
      </c>
      <c r="AI202" s="100">
        <v>1</v>
      </c>
      <c r="AJ202" s="100">
        <v>0.5</v>
      </c>
      <c r="AK202" s="157" t="s">
        <v>150</v>
      </c>
      <c r="AL202" s="134"/>
      <c r="AM202" s="15"/>
      <c r="AN202" s="15"/>
    </row>
    <row r="203" spans="2:40" x14ac:dyDescent="0.25">
      <c r="B203" s="133">
        <v>144</v>
      </c>
      <c r="C203" s="16">
        <v>20200612</v>
      </c>
      <c r="D203" s="16" t="s">
        <v>3</v>
      </c>
      <c r="E203" s="141" t="s">
        <v>871</v>
      </c>
      <c r="F203" s="98" t="s">
        <v>1554</v>
      </c>
      <c r="G203" s="52" t="s">
        <v>61</v>
      </c>
      <c r="H203" s="16" t="s">
        <v>929</v>
      </c>
      <c r="I203" s="16" t="s">
        <v>1564</v>
      </c>
      <c r="J203" s="16" t="s">
        <v>908</v>
      </c>
      <c r="K203" s="52" t="s">
        <v>61</v>
      </c>
      <c r="L203" s="98" t="s">
        <v>933</v>
      </c>
      <c r="M203" s="52"/>
      <c r="N203" s="16" t="s">
        <v>1711</v>
      </c>
      <c r="O203" s="98"/>
      <c r="P203" s="98" t="s">
        <v>1701</v>
      </c>
      <c r="Q203" s="18"/>
      <c r="R203" s="16" t="s">
        <v>1720</v>
      </c>
      <c r="S203" s="16" t="s">
        <v>64</v>
      </c>
      <c r="T203" s="16"/>
      <c r="U203" s="16"/>
      <c r="V203" s="16"/>
      <c r="W203" s="16">
        <f>ROUND(IF(D203=Table!$C$3,Y203*Table!$C$4/8,Y203*Table!$D$4/8),3)</f>
        <v>63</v>
      </c>
      <c r="X203" s="16">
        <f t="shared" si="26"/>
        <v>63</v>
      </c>
      <c r="Y203" s="16">
        <v>1.1200000000000001</v>
      </c>
      <c r="Z203" s="16">
        <v>1</v>
      </c>
      <c r="AA203" s="16" t="s">
        <v>21</v>
      </c>
      <c r="AB203" s="99">
        <v>43999</v>
      </c>
      <c r="AC203" s="99">
        <v>43997</v>
      </c>
      <c r="AD203" s="99">
        <v>43999</v>
      </c>
      <c r="AE203" s="99">
        <v>43997</v>
      </c>
      <c r="AF203" s="99">
        <v>43997</v>
      </c>
      <c r="AG203" s="99" t="s">
        <v>176</v>
      </c>
      <c r="AH203" s="100">
        <v>1</v>
      </c>
      <c r="AI203" s="100">
        <v>1</v>
      </c>
      <c r="AJ203" s="100">
        <v>0.5</v>
      </c>
      <c r="AK203" s="157" t="s">
        <v>150</v>
      </c>
      <c r="AL203" s="134"/>
      <c r="AM203" s="15"/>
      <c r="AN203" s="15"/>
    </row>
    <row r="204" spans="2:40" x14ac:dyDescent="0.25">
      <c r="B204" s="133">
        <v>145</v>
      </c>
      <c r="C204" s="16">
        <v>20200612</v>
      </c>
      <c r="D204" s="16" t="s">
        <v>3</v>
      </c>
      <c r="E204" s="141" t="s">
        <v>871</v>
      </c>
      <c r="F204" s="98" t="s">
        <v>1554</v>
      </c>
      <c r="G204" s="52" t="s">
        <v>61</v>
      </c>
      <c r="H204" s="16" t="s">
        <v>930</v>
      </c>
      <c r="I204" s="16" t="s">
        <v>1565</v>
      </c>
      <c r="J204" s="16" t="s">
        <v>908</v>
      </c>
      <c r="K204" s="52" t="s">
        <v>61</v>
      </c>
      <c r="L204" s="98" t="s">
        <v>933</v>
      </c>
      <c r="M204" s="52"/>
      <c r="N204" s="16" t="s">
        <v>1711</v>
      </c>
      <c r="O204" s="98"/>
      <c r="P204" s="98" t="s">
        <v>1701</v>
      </c>
      <c r="Q204" s="18"/>
      <c r="R204" s="16" t="s">
        <v>1720</v>
      </c>
      <c r="S204" s="16" t="s">
        <v>64</v>
      </c>
      <c r="T204" s="16"/>
      <c r="U204" s="16"/>
      <c r="V204" s="16"/>
      <c r="W204" s="16">
        <f>ROUND(IF(D204=Table!$C$3,Y204*Table!$C$4/8,Y204*Table!$D$4/8),3)</f>
        <v>63</v>
      </c>
      <c r="X204" s="16">
        <f t="shared" si="26"/>
        <v>63</v>
      </c>
      <c r="Y204" s="16">
        <v>1.1200000000000001</v>
      </c>
      <c r="Z204" s="16">
        <v>1</v>
      </c>
      <c r="AA204" s="16" t="s">
        <v>21</v>
      </c>
      <c r="AB204" s="99">
        <v>43999</v>
      </c>
      <c r="AC204" s="99">
        <v>43997</v>
      </c>
      <c r="AD204" s="99">
        <v>43999</v>
      </c>
      <c r="AE204" s="99">
        <v>43997</v>
      </c>
      <c r="AF204" s="99">
        <v>43997</v>
      </c>
      <c r="AG204" s="99" t="s">
        <v>176</v>
      </c>
      <c r="AH204" s="100">
        <v>1</v>
      </c>
      <c r="AI204" s="100">
        <v>1</v>
      </c>
      <c r="AJ204" s="100">
        <v>0.5</v>
      </c>
      <c r="AK204" s="157" t="s">
        <v>150</v>
      </c>
      <c r="AL204" s="134"/>
      <c r="AM204" s="15"/>
      <c r="AN204" s="15"/>
    </row>
    <row r="205" spans="2:40" x14ac:dyDescent="0.25">
      <c r="B205" s="133">
        <v>146</v>
      </c>
      <c r="C205" s="16">
        <v>20200612</v>
      </c>
      <c r="D205" s="16" t="s">
        <v>3</v>
      </c>
      <c r="E205" s="141" t="s">
        <v>871</v>
      </c>
      <c r="F205" s="98" t="s">
        <v>1554</v>
      </c>
      <c r="G205" s="52" t="s">
        <v>61</v>
      </c>
      <c r="H205" s="16" t="s">
        <v>932</v>
      </c>
      <c r="I205" s="16" t="s">
        <v>1566</v>
      </c>
      <c r="J205" s="16" t="s">
        <v>908</v>
      </c>
      <c r="K205" s="52" t="s">
        <v>61</v>
      </c>
      <c r="L205" s="98" t="s">
        <v>933</v>
      </c>
      <c r="M205" s="52"/>
      <c r="N205" s="16" t="s">
        <v>1711</v>
      </c>
      <c r="O205" s="98"/>
      <c r="P205" s="98" t="s">
        <v>1702</v>
      </c>
      <c r="Q205" s="18"/>
      <c r="R205" s="16" t="s">
        <v>1720</v>
      </c>
      <c r="S205" s="16" t="s">
        <v>64</v>
      </c>
      <c r="T205" s="16"/>
      <c r="U205" s="16"/>
      <c r="V205" s="16"/>
      <c r="W205" s="16">
        <f>ROUND(IF(D205=Table!$C$3,Y205*Table!$C$4/8,Y205*Table!$D$4/8),3)</f>
        <v>76.5</v>
      </c>
      <c r="X205" s="16">
        <f t="shared" si="26"/>
        <v>76.5</v>
      </c>
      <c r="Y205" s="16">
        <v>1.36</v>
      </c>
      <c r="Z205" s="16">
        <v>1</v>
      </c>
      <c r="AA205" s="16" t="s">
        <v>21</v>
      </c>
      <c r="AB205" s="99">
        <v>43999</v>
      </c>
      <c r="AC205" s="99">
        <v>43997</v>
      </c>
      <c r="AD205" s="99">
        <v>43999</v>
      </c>
      <c r="AE205" s="99">
        <v>43997</v>
      </c>
      <c r="AF205" s="99">
        <v>43997</v>
      </c>
      <c r="AG205" s="99" t="s">
        <v>176</v>
      </c>
      <c r="AH205" s="100">
        <v>1</v>
      </c>
      <c r="AI205" s="100">
        <v>1</v>
      </c>
      <c r="AJ205" s="100">
        <v>1</v>
      </c>
      <c r="AK205" s="157" t="s">
        <v>150</v>
      </c>
      <c r="AL205" s="134"/>
      <c r="AM205" s="15"/>
      <c r="AN205" s="15"/>
    </row>
    <row r="206" spans="2:40" x14ac:dyDescent="0.25">
      <c r="B206" s="133">
        <v>147</v>
      </c>
      <c r="C206" s="16">
        <v>20200612</v>
      </c>
      <c r="D206" s="16" t="s">
        <v>3</v>
      </c>
      <c r="E206" s="141" t="s">
        <v>871</v>
      </c>
      <c r="F206" s="98" t="s">
        <v>1554</v>
      </c>
      <c r="G206" s="52" t="s">
        <v>61</v>
      </c>
      <c r="H206" s="16" t="s">
        <v>1632</v>
      </c>
      <c r="I206" s="16" t="s">
        <v>1567</v>
      </c>
      <c r="J206" s="16" t="s">
        <v>908</v>
      </c>
      <c r="K206" s="52" t="s">
        <v>61</v>
      </c>
      <c r="L206" s="98" t="s">
        <v>933</v>
      </c>
      <c r="M206" s="52"/>
      <c r="N206" s="16" t="s">
        <v>1711</v>
      </c>
      <c r="O206" s="98"/>
      <c r="P206" s="98" t="s">
        <v>1701</v>
      </c>
      <c r="Q206" s="18"/>
      <c r="R206" s="16" t="s">
        <v>1720</v>
      </c>
      <c r="S206" s="16" t="s">
        <v>64</v>
      </c>
      <c r="T206" s="16"/>
      <c r="U206" s="16"/>
      <c r="V206" s="16"/>
      <c r="W206" s="16">
        <f>ROUND(IF(D206=Table!$C$3,Y206*Table!$C$4/8,Y206*Table!$D$4/8),3)</f>
        <v>63</v>
      </c>
      <c r="X206" s="16">
        <f t="shared" si="26"/>
        <v>63</v>
      </c>
      <c r="Y206" s="16">
        <v>1.1200000000000001</v>
      </c>
      <c r="Z206" s="16">
        <v>1</v>
      </c>
      <c r="AA206" s="16" t="s">
        <v>21</v>
      </c>
      <c r="AB206" s="99">
        <v>43999</v>
      </c>
      <c r="AC206" s="99">
        <v>43997</v>
      </c>
      <c r="AD206" s="99">
        <v>43999</v>
      </c>
      <c r="AE206" s="99">
        <v>43997</v>
      </c>
      <c r="AF206" s="99">
        <v>43997</v>
      </c>
      <c r="AG206" s="99" t="s">
        <v>176</v>
      </c>
      <c r="AH206" s="100">
        <v>1</v>
      </c>
      <c r="AI206" s="100">
        <v>1</v>
      </c>
      <c r="AJ206" s="100">
        <v>1</v>
      </c>
      <c r="AK206" s="157" t="s">
        <v>150</v>
      </c>
      <c r="AL206" s="134"/>
      <c r="AM206" s="15"/>
      <c r="AN206" s="15"/>
    </row>
    <row r="207" spans="2:40" x14ac:dyDescent="0.25">
      <c r="B207" s="133">
        <v>148</v>
      </c>
      <c r="C207" s="16">
        <v>20200612</v>
      </c>
      <c r="D207" s="16" t="s">
        <v>3</v>
      </c>
      <c r="E207" s="141" t="s">
        <v>871</v>
      </c>
      <c r="F207" s="98" t="s">
        <v>1554</v>
      </c>
      <c r="G207" s="52" t="s">
        <v>61</v>
      </c>
      <c r="H207" s="16" t="s">
        <v>1633</v>
      </c>
      <c r="I207" s="16" t="s">
        <v>1568</v>
      </c>
      <c r="J207" s="16" t="s">
        <v>908</v>
      </c>
      <c r="K207" s="52" t="s">
        <v>61</v>
      </c>
      <c r="L207" s="98" t="s">
        <v>933</v>
      </c>
      <c r="M207" s="52"/>
      <c r="N207" s="16" t="s">
        <v>1711</v>
      </c>
      <c r="O207" s="98"/>
      <c r="P207" s="98" t="s">
        <v>1701</v>
      </c>
      <c r="Q207" s="18"/>
      <c r="R207" s="16" t="s">
        <v>1720</v>
      </c>
      <c r="S207" s="16" t="s">
        <v>64</v>
      </c>
      <c r="T207" s="16"/>
      <c r="U207" s="16"/>
      <c r="V207" s="16"/>
      <c r="W207" s="16">
        <f>ROUND(IF(D207=Table!$C$3,Y207*Table!$C$4/8,Y207*Table!$D$4/8),3)</f>
        <v>85.5</v>
      </c>
      <c r="X207" s="16">
        <f t="shared" si="26"/>
        <v>85.5</v>
      </c>
      <c r="Y207" s="16">
        <v>1.52</v>
      </c>
      <c r="Z207" s="16">
        <v>1</v>
      </c>
      <c r="AA207" s="16" t="s">
        <v>21</v>
      </c>
      <c r="AB207" s="99">
        <v>43999</v>
      </c>
      <c r="AC207" s="99">
        <v>43997</v>
      </c>
      <c r="AD207" s="99">
        <v>43999</v>
      </c>
      <c r="AE207" s="99">
        <v>43997</v>
      </c>
      <c r="AF207" s="99">
        <v>43997</v>
      </c>
      <c r="AG207" s="99" t="s">
        <v>176</v>
      </c>
      <c r="AH207" s="100">
        <v>1</v>
      </c>
      <c r="AI207" s="100">
        <v>1</v>
      </c>
      <c r="AJ207" s="100">
        <v>1</v>
      </c>
      <c r="AK207" s="157" t="s">
        <v>150</v>
      </c>
      <c r="AL207" s="134"/>
      <c r="AM207" s="15"/>
      <c r="AN207" s="15"/>
    </row>
    <row r="208" spans="2:40" x14ac:dyDescent="0.25">
      <c r="B208" s="133">
        <v>149</v>
      </c>
      <c r="C208" s="16">
        <v>20200612</v>
      </c>
      <c r="D208" s="16" t="s">
        <v>3</v>
      </c>
      <c r="E208" s="141" t="s">
        <v>871</v>
      </c>
      <c r="F208" s="98" t="s">
        <v>1554</v>
      </c>
      <c r="G208" s="52" t="s">
        <v>61</v>
      </c>
      <c r="H208" s="16" t="s">
        <v>1634</v>
      </c>
      <c r="I208" s="16" t="s">
        <v>1569</v>
      </c>
      <c r="J208" s="16" t="s">
        <v>908</v>
      </c>
      <c r="K208" s="52" t="s">
        <v>61</v>
      </c>
      <c r="L208" s="98" t="s">
        <v>933</v>
      </c>
      <c r="M208" s="52"/>
      <c r="N208" s="16" t="s">
        <v>1711</v>
      </c>
      <c r="O208" s="98"/>
      <c r="P208" s="98" t="s">
        <v>1701</v>
      </c>
      <c r="Q208" s="18"/>
      <c r="R208" s="16" t="s">
        <v>1720</v>
      </c>
      <c r="S208" s="16" t="s">
        <v>64</v>
      </c>
      <c r="T208" s="16"/>
      <c r="U208" s="16"/>
      <c r="V208" s="16"/>
      <c r="W208" s="16">
        <f>ROUND(IF(D208=Table!$C$3,Y208*Table!$C$4/8,Y208*Table!$D$4/8),3)</f>
        <v>76.5</v>
      </c>
      <c r="X208" s="16">
        <f t="shared" si="26"/>
        <v>76.5</v>
      </c>
      <c r="Y208" s="16">
        <v>1.36</v>
      </c>
      <c r="Z208" s="16">
        <v>1</v>
      </c>
      <c r="AA208" s="16" t="s">
        <v>21</v>
      </c>
      <c r="AB208" s="99">
        <v>43999</v>
      </c>
      <c r="AC208" s="99">
        <v>43997</v>
      </c>
      <c r="AD208" s="99">
        <v>43999</v>
      </c>
      <c r="AE208" s="99">
        <v>43997</v>
      </c>
      <c r="AF208" s="99">
        <v>43997</v>
      </c>
      <c r="AG208" s="99" t="s">
        <v>176</v>
      </c>
      <c r="AH208" s="100">
        <v>1</v>
      </c>
      <c r="AI208" s="100">
        <v>1</v>
      </c>
      <c r="AJ208" s="100">
        <v>0.2</v>
      </c>
      <c r="AK208" s="157" t="s">
        <v>150</v>
      </c>
      <c r="AL208" s="134"/>
      <c r="AM208" s="15"/>
      <c r="AN208" s="15"/>
    </row>
    <row r="209" spans="2:40" x14ac:dyDescent="0.25">
      <c r="B209" s="133">
        <v>150</v>
      </c>
      <c r="C209" s="16">
        <v>20200612</v>
      </c>
      <c r="D209" s="16" t="s">
        <v>3</v>
      </c>
      <c r="E209" s="141" t="s">
        <v>871</v>
      </c>
      <c r="F209" s="98" t="s">
        <v>1555</v>
      </c>
      <c r="G209" s="52" t="s">
        <v>61</v>
      </c>
      <c r="H209" s="16" t="s">
        <v>1635</v>
      </c>
      <c r="I209" s="16" t="s">
        <v>1570</v>
      </c>
      <c r="J209" s="16" t="s">
        <v>908</v>
      </c>
      <c r="K209" s="52" t="s">
        <v>61</v>
      </c>
      <c r="L209" s="98" t="s">
        <v>933</v>
      </c>
      <c r="M209" s="52"/>
      <c r="N209" s="16" t="s">
        <v>1711</v>
      </c>
      <c r="O209" s="98"/>
      <c r="P209" s="98" t="s">
        <v>1703</v>
      </c>
      <c r="Q209" s="18"/>
      <c r="R209" s="16" t="s">
        <v>1720</v>
      </c>
      <c r="S209" s="16" t="s">
        <v>64</v>
      </c>
      <c r="T209" s="16"/>
      <c r="U209" s="16"/>
      <c r="V209" s="16"/>
      <c r="W209" s="16">
        <f>ROUND(IF(D209=Table!$C$3,Y209*Table!$C$4/8,Y209*Table!$D$4/8),3)</f>
        <v>76.5</v>
      </c>
      <c r="X209" s="16">
        <f t="shared" si="26"/>
        <v>76.5</v>
      </c>
      <c r="Y209" s="16">
        <v>1.36</v>
      </c>
      <c r="Z209" s="16">
        <v>1</v>
      </c>
      <c r="AA209" s="16" t="s">
        <v>21</v>
      </c>
      <c r="AB209" s="99">
        <v>43999</v>
      </c>
      <c r="AC209" s="99">
        <v>43997</v>
      </c>
      <c r="AD209" s="99">
        <v>43999</v>
      </c>
      <c r="AE209" s="99">
        <v>43997</v>
      </c>
      <c r="AF209" s="99">
        <v>43997</v>
      </c>
      <c r="AG209" s="99" t="s">
        <v>176</v>
      </c>
      <c r="AH209" s="100">
        <v>1</v>
      </c>
      <c r="AI209" s="100">
        <v>1</v>
      </c>
      <c r="AJ209" s="100">
        <v>0.5</v>
      </c>
      <c r="AK209" s="157" t="s">
        <v>150</v>
      </c>
      <c r="AL209" s="134"/>
      <c r="AM209" s="15"/>
      <c r="AN209" s="15"/>
    </row>
    <row r="210" spans="2:40" x14ac:dyDescent="0.25">
      <c r="B210" s="133">
        <v>151</v>
      </c>
      <c r="C210" s="16">
        <v>20200612</v>
      </c>
      <c r="D210" s="16" t="s">
        <v>3</v>
      </c>
      <c r="E210" s="141" t="s">
        <v>871</v>
      </c>
      <c r="F210" s="98" t="s">
        <v>1556</v>
      </c>
      <c r="G210" s="52" t="s">
        <v>61</v>
      </c>
      <c r="H210" s="16" t="s">
        <v>1636</v>
      </c>
      <c r="I210" s="16" t="s">
        <v>1571</v>
      </c>
      <c r="J210" s="16" t="s">
        <v>835</v>
      </c>
      <c r="K210" s="52" t="s">
        <v>61</v>
      </c>
      <c r="L210" s="98" t="s">
        <v>933</v>
      </c>
      <c r="M210" s="52"/>
      <c r="N210" s="16" t="s">
        <v>1711</v>
      </c>
      <c r="O210" s="98"/>
      <c r="P210" s="98" t="s">
        <v>1704</v>
      </c>
      <c r="Q210" s="18"/>
      <c r="R210" s="16" t="s">
        <v>1720</v>
      </c>
      <c r="S210" s="16" t="s">
        <v>64</v>
      </c>
      <c r="T210" s="16"/>
      <c r="U210" s="16"/>
      <c r="V210" s="16"/>
      <c r="W210" s="16">
        <f>ROUND(IF(D210=Table!$C$3,Y210*Table!$C$4/8,Y210*Table!$D$4/8),3)</f>
        <v>63</v>
      </c>
      <c r="X210" s="16">
        <f t="shared" si="26"/>
        <v>63</v>
      </c>
      <c r="Y210" s="16">
        <v>1.1200000000000001</v>
      </c>
      <c r="Z210" s="16">
        <v>1</v>
      </c>
      <c r="AA210" s="16" t="s">
        <v>21</v>
      </c>
      <c r="AB210" s="99">
        <v>43999</v>
      </c>
      <c r="AC210" s="99">
        <v>43997</v>
      </c>
      <c r="AD210" s="99">
        <v>43999</v>
      </c>
      <c r="AE210" s="99">
        <v>43997</v>
      </c>
      <c r="AF210" s="99">
        <v>43997</v>
      </c>
      <c r="AG210" s="99" t="s">
        <v>176</v>
      </c>
      <c r="AH210" s="100">
        <v>1</v>
      </c>
      <c r="AI210" s="100">
        <v>1</v>
      </c>
      <c r="AJ210" s="100">
        <v>1</v>
      </c>
      <c r="AK210" s="157" t="s">
        <v>150</v>
      </c>
      <c r="AL210" s="134"/>
      <c r="AM210" s="15"/>
      <c r="AN210" s="15"/>
    </row>
    <row r="211" spans="2:40" x14ac:dyDescent="0.25">
      <c r="B211" s="133">
        <v>152</v>
      </c>
      <c r="C211" s="16">
        <v>20200612</v>
      </c>
      <c r="D211" s="16" t="s">
        <v>3</v>
      </c>
      <c r="E211" s="141" t="s">
        <v>871</v>
      </c>
      <c r="F211" s="98" t="s">
        <v>1556</v>
      </c>
      <c r="G211" s="52" t="s">
        <v>61</v>
      </c>
      <c r="H211" s="16" t="s">
        <v>1637</v>
      </c>
      <c r="I211" s="16" t="s">
        <v>1572</v>
      </c>
      <c r="J211" s="16" t="s">
        <v>908</v>
      </c>
      <c r="K211" s="52" t="s">
        <v>61</v>
      </c>
      <c r="L211" s="98" t="s">
        <v>933</v>
      </c>
      <c r="M211" s="52"/>
      <c r="N211" s="16" t="s">
        <v>1711</v>
      </c>
      <c r="O211" s="98"/>
      <c r="P211" s="98" t="s">
        <v>1705</v>
      </c>
      <c r="Q211" s="18"/>
      <c r="R211" s="16" t="s">
        <v>1720</v>
      </c>
      <c r="S211" s="16" t="s">
        <v>64</v>
      </c>
      <c r="T211" s="16"/>
      <c r="U211" s="16"/>
      <c r="V211" s="16"/>
      <c r="W211" s="16">
        <f>ROUND(IF(D211=Table!$C$3,Y211*Table!$C$4/8,Y211*Table!$D$4/8),3)</f>
        <v>63</v>
      </c>
      <c r="X211" s="16">
        <f t="shared" si="26"/>
        <v>63</v>
      </c>
      <c r="Y211" s="16">
        <v>1.1200000000000001</v>
      </c>
      <c r="Z211" s="16">
        <v>1</v>
      </c>
      <c r="AA211" s="16" t="s">
        <v>21</v>
      </c>
      <c r="AB211" s="99">
        <v>43999</v>
      </c>
      <c r="AC211" s="99">
        <v>43997</v>
      </c>
      <c r="AD211" s="99">
        <v>43999</v>
      </c>
      <c r="AE211" s="99">
        <v>43997</v>
      </c>
      <c r="AF211" s="99">
        <v>43997</v>
      </c>
      <c r="AG211" s="99" t="s">
        <v>176</v>
      </c>
      <c r="AH211" s="100">
        <v>1</v>
      </c>
      <c r="AI211" s="100">
        <v>1</v>
      </c>
      <c r="AJ211" s="100">
        <v>0.5</v>
      </c>
      <c r="AK211" s="157" t="s">
        <v>150</v>
      </c>
      <c r="AL211" s="134"/>
      <c r="AM211" s="15"/>
      <c r="AN211" s="15"/>
    </row>
    <row r="212" spans="2:40" x14ac:dyDescent="0.25">
      <c r="B212" s="133">
        <v>153</v>
      </c>
      <c r="C212" s="16">
        <v>20200612</v>
      </c>
      <c r="D212" s="16" t="s">
        <v>3</v>
      </c>
      <c r="E212" s="141" t="s">
        <v>871</v>
      </c>
      <c r="F212" s="98" t="s">
        <v>1556</v>
      </c>
      <c r="G212" s="52" t="s">
        <v>61</v>
      </c>
      <c r="H212" s="16" t="s">
        <v>1638</v>
      </c>
      <c r="I212" s="16" t="s">
        <v>1573</v>
      </c>
      <c r="J212" s="16" t="s">
        <v>908</v>
      </c>
      <c r="K212" s="52" t="s">
        <v>61</v>
      </c>
      <c r="L212" s="98" t="s">
        <v>933</v>
      </c>
      <c r="M212" s="52"/>
      <c r="N212" s="16" t="s">
        <v>1711</v>
      </c>
      <c r="O212" s="98"/>
      <c r="P212" s="98" t="s">
        <v>1703</v>
      </c>
      <c r="Q212" s="18"/>
      <c r="R212" s="16" t="s">
        <v>1720</v>
      </c>
      <c r="S212" s="16" t="s">
        <v>64</v>
      </c>
      <c r="T212" s="16"/>
      <c r="U212" s="16"/>
      <c r="V212" s="16"/>
      <c r="W212" s="16">
        <f>ROUND(IF(D212=Table!$C$3,Y212*Table!$C$4/8,Y212*Table!$D$4/8),3)</f>
        <v>63</v>
      </c>
      <c r="X212" s="16">
        <f t="shared" si="26"/>
        <v>63</v>
      </c>
      <c r="Y212" s="16">
        <v>1.1200000000000001</v>
      </c>
      <c r="Z212" s="16">
        <v>1</v>
      </c>
      <c r="AA212" s="16" t="s">
        <v>21</v>
      </c>
      <c r="AB212" s="99">
        <v>43999</v>
      </c>
      <c r="AC212" s="99">
        <v>43997</v>
      </c>
      <c r="AD212" s="99">
        <v>43999</v>
      </c>
      <c r="AE212" s="99">
        <v>43997</v>
      </c>
      <c r="AF212" s="99">
        <v>43997</v>
      </c>
      <c r="AG212" s="99" t="s">
        <v>176</v>
      </c>
      <c r="AH212" s="100">
        <v>1</v>
      </c>
      <c r="AI212" s="100">
        <v>1</v>
      </c>
      <c r="AJ212" s="100">
        <v>0.5</v>
      </c>
      <c r="AK212" s="157" t="s">
        <v>150</v>
      </c>
      <c r="AL212" s="134"/>
      <c r="AM212" s="15"/>
      <c r="AN212" s="15"/>
    </row>
    <row r="213" spans="2:40" x14ac:dyDescent="0.25">
      <c r="B213" s="133">
        <v>154</v>
      </c>
      <c r="C213" s="16">
        <v>20200612</v>
      </c>
      <c r="D213" s="16" t="s">
        <v>3</v>
      </c>
      <c r="E213" s="141" t="s">
        <v>871</v>
      </c>
      <c r="F213" s="98" t="s">
        <v>1556</v>
      </c>
      <c r="G213" s="52" t="s">
        <v>61</v>
      </c>
      <c r="H213" s="16" t="s">
        <v>1639</v>
      </c>
      <c r="I213" s="16" t="s">
        <v>1574</v>
      </c>
      <c r="J213" s="16" t="s">
        <v>908</v>
      </c>
      <c r="K213" s="52" t="s">
        <v>61</v>
      </c>
      <c r="L213" s="98" t="s">
        <v>933</v>
      </c>
      <c r="M213" s="52"/>
      <c r="N213" s="16" t="s">
        <v>1711</v>
      </c>
      <c r="O213" s="98"/>
      <c r="P213" s="98" t="s">
        <v>1703</v>
      </c>
      <c r="Q213" s="18"/>
      <c r="R213" s="16" t="s">
        <v>1720</v>
      </c>
      <c r="S213" s="16" t="s">
        <v>64</v>
      </c>
      <c r="T213" s="16"/>
      <c r="U213" s="16"/>
      <c r="V213" s="16"/>
      <c r="W213" s="16">
        <f>ROUND(IF(D213=Table!$C$3,Y213*Table!$C$4/8,Y213*Table!$D$4/8),3)</f>
        <v>63</v>
      </c>
      <c r="X213" s="16">
        <f t="shared" si="26"/>
        <v>63</v>
      </c>
      <c r="Y213" s="16">
        <v>1.1200000000000001</v>
      </c>
      <c r="Z213" s="16">
        <v>1</v>
      </c>
      <c r="AA213" s="16" t="s">
        <v>21</v>
      </c>
      <c r="AB213" s="99">
        <v>43999</v>
      </c>
      <c r="AC213" s="99">
        <v>43997</v>
      </c>
      <c r="AD213" s="99">
        <v>43999</v>
      </c>
      <c r="AE213" s="99">
        <v>43997</v>
      </c>
      <c r="AF213" s="99">
        <v>43997</v>
      </c>
      <c r="AG213" s="99" t="s">
        <v>176</v>
      </c>
      <c r="AH213" s="100">
        <v>1</v>
      </c>
      <c r="AI213" s="100">
        <v>1</v>
      </c>
      <c r="AJ213" s="100">
        <v>0.5</v>
      </c>
      <c r="AK213" s="157" t="s">
        <v>150</v>
      </c>
      <c r="AL213" s="134"/>
      <c r="AM213" s="15"/>
      <c r="AN213" s="15"/>
    </row>
    <row r="214" spans="2:40" x14ac:dyDescent="0.25">
      <c r="B214" s="133">
        <v>155</v>
      </c>
      <c r="C214" s="16">
        <v>20200612</v>
      </c>
      <c r="D214" s="16" t="s">
        <v>3</v>
      </c>
      <c r="E214" s="141" t="s">
        <v>871</v>
      </c>
      <c r="F214" s="98" t="s">
        <v>1556</v>
      </c>
      <c r="G214" s="52"/>
      <c r="H214" s="16" t="s">
        <v>1640</v>
      </c>
      <c r="I214" s="16" t="s">
        <v>1575</v>
      </c>
      <c r="J214" s="16" t="s">
        <v>908</v>
      </c>
      <c r="K214" s="52"/>
      <c r="L214" s="98" t="s">
        <v>933</v>
      </c>
      <c r="M214" s="52"/>
      <c r="N214" s="16" t="s">
        <v>1711</v>
      </c>
      <c r="O214" s="98"/>
      <c r="P214" s="98" t="s">
        <v>1703</v>
      </c>
      <c r="Q214" s="18"/>
      <c r="R214" s="16" t="s">
        <v>1720</v>
      </c>
      <c r="S214" s="16" t="s">
        <v>64</v>
      </c>
      <c r="T214" s="16"/>
      <c r="U214" s="16"/>
      <c r="V214" s="16"/>
      <c r="W214" s="16">
        <f>ROUND(IF(D214=Table!$C$3,Y214*Table!$C$4/8,Y214*Table!$D$4/8),3)</f>
        <v>63</v>
      </c>
      <c r="X214" s="16">
        <f t="shared" si="26"/>
        <v>63</v>
      </c>
      <c r="Y214" s="16">
        <v>1.1200000000000001</v>
      </c>
      <c r="Z214" s="16">
        <v>1</v>
      </c>
      <c r="AA214" s="16" t="s">
        <v>21</v>
      </c>
      <c r="AB214" s="99">
        <v>43999</v>
      </c>
      <c r="AC214" s="99">
        <v>43997</v>
      </c>
      <c r="AD214" s="99">
        <v>43999</v>
      </c>
      <c r="AE214" s="99">
        <v>43997</v>
      </c>
      <c r="AF214" s="99">
        <v>43997</v>
      </c>
      <c r="AG214" s="99" t="s">
        <v>176</v>
      </c>
      <c r="AH214" s="100">
        <v>1</v>
      </c>
      <c r="AI214" s="100">
        <v>1</v>
      </c>
      <c r="AJ214" s="100">
        <v>0.5</v>
      </c>
      <c r="AK214" s="157" t="s">
        <v>150</v>
      </c>
      <c r="AL214" s="134"/>
      <c r="AM214" s="15"/>
      <c r="AN214" s="15"/>
    </row>
    <row r="215" spans="2:40" x14ac:dyDescent="0.25">
      <c r="B215" s="133">
        <v>156</v>
      </c>
      <c r="C215" s="16">
        <v>20200612</v>
      </c>
      <c r="D215" s="16" t="s">
        <v>3</v>
      </c>
      <c r="E215" s="141" t="s">
        <v>871</v>
      </c>
      <c r="F215" s="98" t="s">
        <v>1556</v>
      </c>
      <c r="G215" s="52"/>
      <c r="H215" s="16" t="s">
        <v>1641</v>
      </c>
      <c r="I215" s="16" t="s">
        <v>1576</v>
      </c>
      <c r="J215" s="16" t="s">
        <v>908</v>
      </c>
      <c r="K215" s="52"/>
      <c r="L215" s="98" t="s">
        <v>933</v>
      </c>
      <c r="M215" s="52"/>
      <c r="N215" s="16" t="s">
        <v>1711</v>
      </c>
      <c r="O215" s="98"/>
      <c r="P215" s="98" t="s">
        <v>1704</v>
      </c>
      <c r="Q215" s="18"/>
      <c r="R215" s="16" t="s">
        <v>1722</v>
      </c>
      <c r="S215" s="16" t="s">
        <v>141</v>
      </c>
      <c r="T215" s="16"/>
      <c r="U215" s="16"/>
      <c r="V215" s="16"/>
      <c r="W215" s="16">
        <f>ROUND(IF(D215=Table!$C$3,Y215*Table!$C$4/8,Y215*Table!$D$4/8),3)</f>
        <v>63</v>
      </c>
      <c r="X215" s="16">
        <f t="shared" si="26"/>
        <v>63</v>
      </c>
      <c r="Y215" s="16">
        <v>1.1200000000000001</v>
      </c>
      <c r="Z215" s="16">
        <v>1</v>
      </c>
      <c r="AA215" s="16" t="s">
        <v>21</v>
      </c>
      <c r="AB215" s="99">
        <v>43999</v>
      </c>
      <c r="AC215" s="99">
        <v>43997</v>
      </c>
      <c r="AD215" s="99">
        <v>43999</v>
      </c>
      <c r="AE215" s="99">
        <v>43997</v>
      </c>
      <c r="AF215" s="99">
        <v>43997</v>
      </c>
      <c r="AG215" s="99" t="s">
        <v>176</v>
      </c>
      <c r="AH215" s="100">
        <v>1</v>
      </c>
      <c r="AI215" s="100">
        <v>1</v>
      </c>
      <c r="AJ215" s="100">
        <v>0.5</v>
      </c>
      <c r="AK215" s="157" t="s">
        <v>150</v>
      </c>
      <c r="AL215" s="134"/>
      <c r="AM215" s="15"/>
      <c r="AN215" s="15"/>
    </row>
    <row r="216" spans="2:40" x14ac:dyDescent="0.25">
      <c r="B216" s="133">
        <v>157</v>
      </c>
      <c r="C216" s="16">
        <v>20200612</v>
      </c>
      <c r="D216" s="16" t="s">
        <v>3</v>
      </c>
      <c r="E216" s="141" t="s">
        <v>871</v>
      </c>
      <c r="F216" s="98" t="s">
        <v>1556</v>
      </c>
      <c r="G216" s="52"/>
      <c r="H216" s="16" t="s">
        <v>1642</v>
      </c>
      <c r="I216" s="16" t="s">
        <v>1577</v>
      </c>
      <c r="J216" s="16" t="s">
        <v>908</v>
      </c>
      <c r="K216" s="52"/>
      <c r="L216" s="98" t="s">
        <v>933</v>
      </c>
      <c r="M216" s="52"/>
      <c r="N216" s="16" t="s">
        <v>1711</v>
      </c>
      <c r="O216" s="98"/>
      <c r="P216" s="98" t="s">
        <v>1703</v>
      </c>
      <c r="Q216" s="18"/>
      <c r="R216" s="16" t="s">
        <v>1721</v>
      </c>
      <c r="S216" s="16" t="s">
        <v>66</v>
      </c>
      <c r="T216" s="16"/>
      <c r="U216" s="16"/>
      <c r="V216" s="16"/>
      <c r="W216" s="16">
        <f>ROUND(IF(D216=Table!$C$3,Y216*Table!$C$4/8,Y216*Table!$D$4/8),3)</f>
        <v>63</v>
      </c>
      <c r="X216" s="16">
        <f t="shared" si="26"/>
        <v>63</v>
      </c>
      <c r="Y216" s="16">
        <v>1.1200000000000001</v>
      </c>
      <c r="Z216" s="16">
        <v>1</v>
      </c>
      <c r="AA216" s="16" t="s">
        <v>21</v>
      </c>
      <c r="AB216" s="99">
        <v>43999</v>
      </c>
      <c r="AC216" s="99">
        <v>43997</v>
      </c>
      <c r="AD216" s="99">
        <v>43999</v>
      </c>
      <c r="AE216" s="99">
        <v>43997</v>
      </c>
      <c r="AF216" s="99">
        <v>43997</v>
      </c>
      <c r="AG216" s="99" t="s">
        <v>176</v>
      </c>
      <c r="AH216" s="100">
        <v>1</v>
      </c>
      <c r="AI216" s="100">
        <v>1</v>
      </c>
      <c r="AJ216" s="100">
        <v>0.5</v>
      </c>
      <c r="AK216" s="157" t="s">
        <v>150</v>
      </c>
      <c r="AL216" s="134"/>
      <c r="AM216" s="15"/>
      <c r="AN216" s="15"/>
    </row>
    <row r="217" spans="2:40" x14ac:dyDescent="0.25">
      <c r="B217" s="133">
        <v>158</v>
      </c>
      <c r="C217" s="16">
        <v>20200612</v>
      </c>
      <c r="D217" s="16" t="s">
        <v>3</v>
      </c>
      <c r="E217" s="141" t="s">
        <v>871</v>
      </c>
      <c r="F217" s="98" t="s">
        <v>1556</v>
      </c>
      <c r="G217" s="52"/>
      <c r="H217" s="16" t="s">
        <v>1643</v>
      </c>
      <c r="I217" s="16" t="s">
        <v>1578</v>
      </c>
      <c r="J217" s="16" t="s">
        <v>908</v>
      </c>
      <c r="K217" s="52"/>
      <c r="L217" s="98" t="s">
        <v>933</v>
      </c>
      <c r="M217" s="52"/>
      <c r="N217" s="16" t="s">
        <v>1711</v>
      </c>
      <c r="O217" s="98"/>
      <c r="P217" s="98" t="s">
        <v>1703</v>
      </c>
      <c r="Q217" s="18"/>
      <c r="R217" s="16" t="s">
        <v>1721</v>
      </c>
      <c r="S217" s="16" t="s">
        <v>66</v>
      </c>
      <c r="T217" s="16"/>
      <c r="U217" s="16"/>
      <c r="V217" s="16"/>
      <c r="W217" s="16">
        <f>ROUND(IF(D217=Table!$C$3,Y217*Table!$C$4/8,Y217*Table!$D$4/8),3)</f>
        <v>63</v>
      </c>
      <c r="X217" s="16">
        <f t="shared" si="26"/>
        <v>63</v>
      </c>
      <c r="Y217" s="16">
        <v>1.1200000000000001</v>
      </c>
      <c r="Z217" s="16">
        <v>1</v>
      </c>
      <c r="AA217" s="16" t="s">
        <v>21</v>
      </c>
      <c r="AB217" s="99">
        <v>43999</v>
      </c>
      <c r="AC217" s="99">
        <v>43997</v>
      </c>
      <c r="AD217" s="99">
        <v>43999</v>
      </c>
      <c r="AE217" s="99">
        <v>43997</v>
      </c>
      <c r="AF217" s="99">
        <v>43997</v>
      </c>
      <c r="AG217" s="99" t="s">
        <v>176</v>
      </c>
      <c r="AH217" s="100">
        <v>1</v>
      </c>
      <c r="AI217" s="100">
        <v>1</v>
      </c>
      <c r="AJ217" s="100">
        <v>0.5</v>
      </c>
      <c r="AK217" s="157" t="s">
        <v>150</v>
      </c>
      <c r="AL217" s="134"/>
      <c r="AM217" s="15"/>
      <c r="AN217" s="15"/>
    </row>
    <row r="218" spans="2:40" x14ac:dyDescent="0.25">
      <c r="B218" s="133">
        <v>159</v>
      </c>
      <c r="C218" s="16">
        <v>20200612</v>
      </c>
      <c r="D218" s="16" t="s">
        <v>3</v>
      </c>
      <c r="E218" s="141" t="s">
        <v>871</v>
      </c>
      <c r="F218" s="98" t="s">
        <v>1556</v>
      </c>
      <c r="G218" s="52"/>
      <c r="H218" s="16" t="s">
        <v>1644</v>
      </c>
      <c r="I218" s="16" t="s">
        <v>1579</v>
      </c>
      <c r="J218" s="16" t="s">
        <v>908</v>
      </c>
      <c r="K218" s="52"/>
      <c r="L218" s="98" t="s">
        <v>933</v>
      </c>
      <c r="M218" s="52"/>
      <c r="N218" s="16" t="s">
        <v>1711</v>
      </c>
      <c r="O218" s="98"/>
      <c r="P218" s="98" t="s">
        <v>1703</v>
      </c>
      <c r="Q218" s="18"/>
      <c r="R218" s="16" t="s">
        <v>1721</v>
      </c>
      <c r="S218" s="16" t="s">
        <v>66</v>
      </c>
      <c r="T218" s="16"/>
      <c r="U218" s="16"/>
      <c r="V218" s="16"/>
      <c r="W218" s="16">
        <f>ROUND(IF(D218=Table!$C$3,Y218*Table!$C$4/8,Y218*Table!$D$4/8),3)</f>
        <v>63</v>
      </c>
      <c r="X218" s="16">
        <f t="shared" si="26"/>
        <v>63</v>
      </c>
      <c r="Y218" s="16">
        <v>1.1200000000000001</v>
      </c>
      <c r="Z218" s="16">
        <v>1</v>
      </c>
      <c r="AA218" s="16" t="s">
        <v>21</v>
      </c>
      <c r="AB218" s="99">
        <v>43999</v>
      </c>
      <c r="AC218" s="99">
        <v>43997</v>
      </c>
      <c r="AD218" s="99">
        <v>43999</v>
      </c>
      <c r="AE218" s="99">
        <v>43997</v>
      </c>
      <c r="AF218" s="99">
        <v>43997</v>
      </c>
      <c r="AG218" s="99" t="s">
        <v>176</v>
      </c>
      <c r="AH218" s="100">
        <v>1</v>
      </c>
      <c r="AI218" s="100">
        <v>1</v>
      </c>
      <c r="AJ218" s="100">
        <v>0.5</v>
      </c>
      <c r="AK218" s="157" t="s">
        <v>150</v>
      </c>
      <c r="AL218" s="134"/>
      <c r="AM218" s="15"/>
      <c r="AN218" s="15"/>
    </row>
    <row r="219" spans="2:40" x14ac:dyDescent="0.25">
      <c r="B219" s="133">
        <v>160</v>
      </c>
      <c r="C219" s="16">
        <v>20200612</v>
      </c>
      <c r="D219" s="16" t="s">
        <v>3</v>
      </c>
      <c r="E219" s="141" t="s">
        <v>871</v>
      </c>
      <c r="F219" s="98" t="s">
        <v>1556</v>
      </c>
      <c r="G219" s="52"/>
      <c r="H219" s="16" t="s">
        <v>1645</v>
      </c>
      <c r="I219" s="16" t="s">
        <v>1580</v>
      </c>
      <c r="J219" s="16" t="s">
        <v>908</v>
      </c>
      <c r="K219" s="52"/>
      <c r="L219" s="98" t="s">
        <v>933</v>
      </c>
      <c r="M219" s="52"/>
      <c r="N219" s="16" t="s">
        <v>1711</v>
      </c>
      <c r="O219" s="98"/>
      <c r="P219" s="98" t="s">
        <v>1703</v>
      </c>
      <c r="Q219" s="18"/>
      <c r="R219" s="16" t="s">
        <v>1721</v>
      </c>
      <c r="S219" s="16" t="s">
        <v>66</v>
      </c>
      <c r="T219" s="16"/>
      <c r="U219" s="16"/>
      <c r="V219" s="16"/>
      <c r="W219" s="16">
        <f>ROUND(IF(D219=Table!$C$3,Y219*Table!$C$4/8,Y219*Table!$D$4/8),3)</f>
        <v>63</v>
      </c>
      <c r="X219" s="16">
        <f t="shared" si="26"/>
        <v>63</v>
      </c>
      <c r="Y219" s="16">
        <v>1.1200000000000001</v>
      </c>
      <c r="Z219" s="16">
        <v>1</v>
      </c>
      <c r="AA219" s="16" t="s">
        <v>21</v>
      </c>
      <c r="AB219" s="99">
        <v>43999</v>
      </c>
      <c r="AC219" s="99">
        <v>43997</v>
      </c>
      <c r="AD219" s="99">
        <v>43999</v>
      </c>
      <c r="AE219" s="99">
        <v>43997</v>
      </c>
      <c r="AF219" s="99">
        <v>43997</v>
      </c>
      <c r="AG219" s="99" t="s">
        <v>176</v>
      </c>
      <c r="AH219" s="100">
        <v>1</v>
      </c>
      <c r="AI219" s="100">
        <v>1</v>
      </c>
      <c r="AJ219" s="100">
        <v>0.5</v>
      </c>
      <c r="AK219" s="157" t="s">
        <v>150</v>
      </c>
      <c r="AL219" s="134"/>
      <c r="AM219" s="15"/>
      <c r="AN219" s="15"/>
    </row>
    <row r="220" spans="2:40" x14ac:dyDescent="0.25">
      <c r="B220" s="133">
        <v>161</v>
      </c>
      <c r="C220" s="16">
        <v>20200612</v>
      </c>
      <c r="D220" s="16" t="s">
        <v>3</v>
      </c>
      <c r="E220" s="141" t="s">
        <v>871</v>
      </c>
      <c r="F220" s="98" t="s">
        <v>1556</v>
      </c>
      <c r="G220" s="52"/>
      <c r="H220" s="16" t="s">
        <v>1646</v>
      </c>
      <c r="I220" s="16" t="s">
        <v>1581</v>
      </c>
      <c r="J220" s="16" t="s">
        <v>908</v>
      </c>
      <c r="K220" s="52"/>
      <c r="L220" s="98" t="s">
        <v>933</v>
      </c>
      <c r="M220" s="52"/>
      <c r="N220" s="16" t="s">
        <v>1711</v>
      </c>
      <c r="O220" s="98"/>
      <c r="P220" s="98" t="s">
        <v>1703</v>
      </c>
      <c r="Q220" s="18"/>
      <c r="R220" s="16" t="s">
        <v>1721</v>
      </c>
      <c r="S220" s="16" t="s">
        <v>66</v>
      </c>
      <c r="T220" s="16"/>
      <c r="U220" s="16"/>
      <c r="V220" s="16"/>
      <c r="W220" s="16">
        <f>ROUND(IF(D220=Table!$C$3,Y220*Table!$C$4/8,Y220*Table!$D$4/8),3)</f>
        <v>63</v>
      </c>
      <c r="X220" s="16">
        <f t="shared" si="26"/>
        <v>63</v>
      </c>
      <c r="Y220" s="16">
        <v>1.1200000000000001</v>
      </c>
      <c r="Z220" s="16">
        <v>1</v>
      </c>
      <c r="AA220" s="16" t="s">
        <v>21</v>
      </c>
      <c r="AB220" s="99">
        <v>43999</v>
      </c>
      <c r="AC220" s="99">
        <v>43997</v>
      </c>
      <c r="AD220" s="99">
        <v>43999</v>
      </c>
      <c r="AE220" s="99">
        <v>43997</v>
      </c>
      <c r="AF220" s="99">
        <v>43997</v>
      </c>
      <c r="AG220" s="99" t="s">
        <v>176</v>
      </c>
      <c r="AH220" s="100">
        <v>1</v>
      </c>
      <c r="AI220" s="100">
        <v>1</v>
      </c>
      <c r="AJ220" s="100">
        <v>0.5</v>
      </c>
      <c r="AK220" s="157" t="s">
        <v>150</v>
      </c>
      <c r="AL220" s="134"/>
      <c r="AM220" s="15"/>
      <c r="AN220" s="15"/>
    </row>
    <row r="221" spans="2:40" x14ac:dyDescent="0.25">
      <c r="B221" s="133">
        <v>162</v>
      </c>
      <c r="C221" s="16">
        <v>20200612</v>
      </c>
      <c r="D221" s="16" t="s">
        <v>3</v>
      </c>
      <c r="E221" s="141" t="s">
        <v>871</v>
      </c>
      <c r="F221" s="98" t="s">
        <v>1556</v>
      </c>
      <c r="G221" s="52"/>
      <c r="H221" s="16" t="s">
        <v>1647</v>
      </c>
      <c r="I221" s="16" t="s">
        <v>1582</v>
      </c>
      <c r="J221" s="16" t="s">
        <v>908</v>
      </c>
      <c r="K221" s="52"/>
      <c r="L221" s="98" t="s">
        <v>933</v>
      </c>
      <c r="M221" s="52"/>
      <c r="N221" s="16" t="s">
        <v>1711</v>
      </c>
      <c r="O221" s="98"/>
      <c r="P221" s="98" t="s">
        <v>1703</v>
      </c>
      <c r="Q221" s="18"/>
      <c r="R221" s="16" t="s">
        <v>1721</v>
      </c>
      <c r="S221" s="16" t="s">
        <v>66</v>
      </c>
      <c r="T221" s="16"/>
      <c r="U221" s="16"/>
      <c r="V221" s="16"/>
      <c r="W221" s="16">
        <f>ROUND(IF(D221=Table!$C$3,Y221*Table!$C$4/8,Y221*Table!$D$4/8),3)</f>
        <v>63</v>
      </c>
      <c r="X221" s="16">
        <f t="shared" si="26"/>
        <v>63</v>
      </c>
      <c r="Y221" s="16">
        <v>1.1200000000000001</v>
      </c>
      <c r="Z221" s="16">
        <v>1</v>
      </c>
      <c r="AA221" s="16" t="s">
        <v>21</v>
      </c>
      <c r="AB221" s="99">
        <v>43999</v>
      </c>
      <c r="AC221" s="99">
        <v>43997</v>
      </c>
      <c r="AD221" s="99">
        <v>43999</v>
      </c>
      <c r="AE221" s="99">
        <v>43997</v>
      </c>
      <c r="AF221" s="99">
        <v>43997</v>
      </c>
      <c r="AG221" s="99" t="s">
        <v>176</v>
      </c>
      <c r="AH221" s="100">
        <v>1</v>
      </c>
      <c r="AI221" s="100">
        <v>1</v>
      </c>
      <c r="AJ221" s="100">
        <v>0.5</v>
      </c>
      <c r="AK221" s="157" t="s">
        <v>150</v>
      </c>
      <c r="AL221" s="134"/>
      <c r="AM221" s="15"/>
      <c r="AN221" s="15"/>
    </row>
    <row r="222" spans="2:40" x14ac:dyDescent="0.25">
      <c r="B222" s="133">
        <v>163</v>
      </c>
      <c r="C222" s="16">
        <v>20200612</v>
      </c>
      <c r="D222" s="16" t="s">
        <v>3</v>
      </c>
      <c r="E222" s="141" t="s">
        <v>871</v>
      </c>
      <c r="F222" s="98" t="s">
        <v>1556</v>
      </c>
      <c r="G222" s="52"/>
      <c r="H222" s="16" t="s">
        <v>1648</v>
      </c>
      <c r="I222" s="16" t="s">
        <v>1583</v>
      </c>
      <c r="J222" s="16" t="s">
        <v>908</v>
      </c>
      <c r="K222" s="52"/>
      <c r="L222" s="98" t="s">
        <v>933</v>
      </c>
      <c r="M222" s="52"/>
      <c r="N222" s="16" t="s">
        <v>1711</v>
      </c>
      <c r="O222" s="98"/>
      <c r="P222" s="98" t="s">
        <v>1703</v>
      </c>
      <c r="Q222" s="18"/>
      <c r="R222" s="16" t="s">
        <v>1721</v>
      </c>
      <c r="S222" s="16" t="s">
        <v>66</v>
      </c>
      <c r="T222" s="16"/>
      <c r="U222" s="16"/>
      <c r="V222" s="16"/>
      <c r="W222" s="16">
        <f>ROUND(IF(D222=Table!$C$3,Y222*Table!$C$4/8,Y222*Table!$D$4/8),3)</f>
        <v>63</v>
      </c>
      <c r="X222" s="16">
        <f t="shared" si="26"/>
        <v>63</v>
      </c>
      <c r="Y222" s="16">
        <v>1.1200000000000001</v>
      </c>
      <c r="Z222" s="16">
        <v>1</v>
      </c>
      <c r="AA222" s="16" t="s">
        <v>21</v>
      </c>
      <c r="AB222" s="99">
        <v>43999</v>
      </c>
      <c r="AC222" s="99">
        <v>43997</v>
      </c>
      <c r="AD222" s="99">
        <v>43999</v>
      </c>
      <c r="AE222" s="99">
        <v>43997</v>
      </c>
      <c r="AF222" s="99">
        <v>43997</v>
      </c>
      <c r="AG222" s="99" t="s">
        <v>176</v>
      </c>
      <c r="AH222" s="100">
        <v>1</v>
      </c>
      <c r="AI222" s="100">
        <v>1</v>
      </c>
      <c r="AJ222" s="100">
        <v>0.5</v>
      </c>
      <c r="AK222" s="157" t="s">
        <v>150</v>
      </c>
      <c r="AL222" s="134"/>
      <c r="AM222" s="15"/>
      <c r="AN222" s="15"/>
    </row>
    <row r="223" spans="2:40" x14ac:dyDescent="0.25">
      <c r="B223" s="133">
        <v>164</v>
      </c>
      <c r="C223" s="16">
        <v>20200612</v>
      </c>
      <c r="D223" s="16" t="s">
        <v>3</v>
      </c>
      <c r="E223" s="141" t="s">
        <v>871</v>
      </c>
      <c r="F223" s="98" t="s">
        <v>1556</v>
      </c>
      <c r="G223" s="52"/>
      <c r="H223" s="16" t="s">
        <v>1649</v>
      </c>
      <c r="I223" s="16" t="s">
        <v>1584</v>
      </c>
      <c r="J223" s="16" t="s">
        <v>908</v>
      </c>
      <c r="K223" s="52"/>
      <c r="L223" s="98" t="s">
        <v>933</v>
      </c>
      <c r="M223" s="52"/>
      <c r="N223" s="16" t="s">
        <v>1711</v>
      </c>
      <c r="O223" s="98"/>
      <c r="P223" s="98" t="s">
        <v>1703</v>
      </c>
      <c r="Q223" s="18"/>
      <c r="R223" s="16" t="s">
        <v>1721</v>
      </c>
      <c r="S223" s="16" t="s">
        <v>66</v>
      </c>
      <c r="T223" s="16"/>
      <c r="U223" s="16"/>
      <c r="V223" s="16"/>
      <c r="W223" s="16">
        <f>ROUND(IF(D223=Table!$C$3,Y223*Table!$C$4/8,Y223*Table!$D$4/8),3)</f>
        <v>63</v>
      </c>
      <c r="X223" s="16">
        <f t="shared" si="26"/>
        <v>63</v>
      </c>
      <c r="Y223" s="16">
        <v>1.1200000000000001</v>
      </c>
      <c r="Z223" s="16">
        <v>1</v>
      </c>
      <c r="AA223" s="16" t="s">
        <v>21</v>
      </c>
      <c r="AB223" s="99">
        <v>43999</v>
      </c>
      <c r="AC223" s="99">
        <v>43997</v>
      </c>
      <c r="AD223" s="99">
        <v>43999</v>
      </c>
      <c r="AE223" s="99">
        <v>43997</v>
      </c>
      <c r="AF223" s="99">
        <v>43997</v>
      </c>
      <c r="AG223" s="99" t="s">
        <v>176</v>
      </c>
      <c r="AH223" s="100">
        <v>1</v>
      </c>
      <c r="AI223" s="100">
        <v>1</v>
      </c>
      <c r="AJ223" s="100">
        <v>0.5</v>
      </c>
      <c r="AK223" s="157" t="s">
        <v>150</v>
      </c>
      <c r="AL223" s="134"/>
      <c r="AM223" s="15"/>
      <c r="AN223" s="15"/>
    </row>
    <row r="224" spans="2:40" x14ac:dyDescent="0.25">
      <c r="B224" s="133">
        <v>165</v>
      </c>
      <c r="C224" s="16">
        <v>20200612</v>
      </c>
      <c r="D224" s="16" t="s">
        <v>3</v>
      </c>
      <c r="E224" s="141" t="s">
        <v>871</v>
      </c>
      <c r="F224" s="98" t="s">
        <v>1556</v>
      </c>
      <c r="G224" s="52"/>
      <c r="H224" s="16" t="s">
        <v>1650</v>
      </c>
      <c r="I224" s="16" t="s">
        <v>1585</v>
      </c>
      <c r="J224" s="16" t="s">
        <v>908</v>
      </c>
      <c r="K224" s="52"/>
      <c r="L224" s="98" t="s">
        <v>933</v>
      </c>
      <c r="M224" s="52"/>
      <c r="N224" s="16" t="s">
        <v>1711</v>
      </c>
      <c r="O224" s="98"/>
      <c r="P224" s="98" t="s">
        <v>1703</v>
      </c>
      <c r="Q224" s="18"/>
      <c r="R224" s="16" t="s">
        <v>1721</v>
      </c>
      <c r="S224" s="16" t="s">
        <v>66</v>
      </c>
      <c r="T224" s="16"/>
      <c r="U224" s="16"/>
      <c r="V224" s="16"/>
      <c r="W224" s="16">
        <f>ROUND(IF(D224=Table!$C$3,Y224*Table!$C$4/8,Y224*Table!$D$4/8),3)</f>
        <v>63</v>
      </c>
      <c r="X224" s="16">
        <f t="shared" si="26"/>
        <v>63</v>
      </c>
      <c r="Y224" s="16">
        <v>1.1200000000000001</v>
      </c>
      <c r="Z224" s="16">
        <v>1</v>
      </c>
      <c r="AA224" s="16" t="s">
        <v>21</v>
      </c>
      <c r="AB224" s="99">
        <v>43999</v>
      </c>
      <c r="AC224" s="99">
        <v>43997</v>
      </c>
      <c r="AD224" s="99">
        <v>43999</v>
      </c>
      <c r="AE224" s="99">
        <v>43997</v>
      </c>
      <c r="AF224" s="99">
        <v>43997</v>
      </c>
      <c r="AG224" s="99" t="s">
        <v>176</v>
      </c>
      <c r="AH224" s="100">
        <v>1</v>
      </c>
      <c r="AI224" s="100">
        <v>1</v>
      </c>
      <c r="AJ224" s="100">
        <v>0.5</v>
      </c>
      <c r="AK224" s="157" t="s">
        <v>150</v>
      </c>
      <c r="AL224" s="134"/>
      <c r="AM224" s="15"/>
      <c r="AN224" s="15"/>
    </row>
    <row r="225" spans="2:40" x14ac:dyDescent="0.25">
      <c r="B225" s="133">
        <v>166</v>
      </c>
      <c r="C225" s="16">
        <v>20200612</v>
      </c>
      <c r="D225" s="16" t="s">
        <v>3</v>
      </c>
      <c r="E225" s="141" t="s">
        <v>871</v>
      </c>
      <c r="F225" s="98" t="s">
        <v>1556</v>
      </c>
      <c r="G225" s="52"/>
      <c r="H225" s="16" t="s">
        <v>1651</v>
      </c>
      <c r="I225" s="16" t="s">
        <v>1586</v>
      </c>
      <c r="J225" s="16" t="s">
        <v>908</v>
      </c>
      <c r="K225" s="52"/>
      <c r="L225" s="98" t="s">
        <v>933</v>
      </c>
      <c r="M225" s="52"/>
      <c r="N225" s="16" t="s">
        <v>1711</v>
      </c>
      <c r="O225" s="98"/>
      <c r="P225" s="98" t="s">
        <v>1703</v>
      </c>
      <c r="Q225" s="18"/>
      <c r="R225" s="16" t="s">
        <v>1721</v>
      </c>
      <c r="S225" s="16" t="s">
        <v>66</v>
      </c>
      <c r="T225" s="16"/>
      <c r="U225" s="16"/>
      <c r="V225" s="16"/>
      <c r="W225" s="16">
        <f>ROUND(IF(D225=Table!$C$3,Y225*Table!$C$4/8,Y225*Table!$D$4/8),3)</f>
        <v>63</v>
      </c>
      <c r="X225" s="16">
        <f t="shared" si="26"/>
        <v>63</v>
      </c>
      <c r="Y225" s="16">
        <v>1.1200000000000001</v>
      </c>
      <c r="Z225" s="16">
        <v>1</v>
      </c>
      <c r="AA225" s="16" t="s">
        <v>21</v>
      </c>
      <c r="AB225" s="99">
        <v>43999</v>
      </c>
      <c r="AC225" s="99">
        <v>43997</v>
      </c>
      <c r="AD225" s="99">
        <v>43999</v>
      </c>
      <c r="AE225" s="99">
        <v>43997</v>
      </c>
      <c r="AF225" s="99">
        <v>43997</v>
      </c>
      <c r="AG225" s="99" t="s">
        <v>176</v>
      </c>
      <c r="AH225" s="100">
        <v>1</v>
      </c>
      <c r="AI225" s="100">
        <v>1</v>
      </c>
      <c r="AJ225" s="100">
        <v>0.5</v>
      </c>
      <c r="AK225" s="157" t="s">
        <v>150</v>
      </c>
      <c r="AL225" s="134"/>
      <c r="AM225" s="15"/>
      <c r="AN225" s="15"/>
    </row>
    <row r="226" spans="2:40" x14ac:dyDescent="0.25">
      <c r="B226" s="133">
        <v>167</v>
      </c>
      <c r="C226" s="16">
        <v>20200612</v>
      </c>
      <c r="D226" s="16" t="s">
        <v>3</v>
      </c>
      <c r="E226" s="141" t="s">
        <v>871</v>
      </c>
      <c r="F226" s="98" t="s">
        <v>1556</v>
      </c>
      <c r="G226" s="52"/>
      <c r="H226" s="16" t="s">
        <v>1652</v>
      </c>
      <c r="I226" s="16" t="s">
        <v>1587</v>
      </c>
      <c r="J226" s="16" t="s">
        <v>908</v>
      </c>
      <c r="K226" s="52"/>
      <c r="L226" s="98" t="s">
        <v>933</v>
      </c>
      <c r="M226" s="52"/>
      <c r="N226" s="16" t="s">
        <v>1711</v>
      </c>
      <c r="O226" s="98"/>
      <c r="P226" s="98" t="s">
        <v>1703</v>
      </c>
      <c r="Q226" s="18"/>
      <c r="R226" s="16" t="s">
        <v>1721</v>
      </c>
      <c r="S226" s="16" t="s">
        <v>66</v>
      </c>
      <c r="T226" s="16"/>
      <c r="U226" s="16"/>
      <c r="V226" s="16"/>
      <c r="W226" s="16">
        <f>ROUND(IF(D226=Table!$C$3,Y226*Table!$C$4/8,Y226*Table!$D$4/8),3)</f>
        <v>63</v>
      </c>
      <c r="X226" s="16">
        <f t="shared" si="26"/>
        <v>63</v>
      </c>
      <c r="Y226" s="16">
        <v>1.1200000000000001</v>
      </c>
      <c r="Z226" s="16">
        <v>1</v>
      </c>
      <c r="AA226" s="16" t="s">
        <v>21</v>
      </c>
      <c r="AB226" s="99">
        <v>43999</v>
      </c>
      <c r="AC226" s="99">
        <v>43997</v>
      </c>
      <c r="AD226" s="99">
        <v>43999</v>
      </c>
      <c r="AE226" s="99">
        <v>43997</v>
      </c>
      <c r="AF226" s="99">
        <v>43997</v>
      </c>
      <c r="AG226" s="99" t="s">
        <v>176</v>
      </c>
      <c r="AH226" s="100">
        <v>1</v>
      </c>
      <c r="AI226" s="100">
        <v>1</v>
      </c>
      <c r="AJ226" s="100">
        <v>0.5</v>
      </c>
      <c r="AK226" s="157" t="s">
        <v>150</v>
      </c>
      <c r="AL226" s="134"/>
      <c r="AM226" s="15"/>
      <c r="AN226" s="15"/>
    </row>
    <row r="227" spans="2:40" x14ac:dyDescent="0.25">
      <c r="B227" s="133">
        <v>168</v>
      </c>
      <c r="C227" s="16">
        <v>20200612</v>
      </c>
      <c r="D227" s="16" t="s">
        <v>3</v>
      </c>
      <c r="E227" s="141" t="s">
        <v>871</v>
      </c>
      <c r="F227" s="98" t="s">
        <v>1556</v>
      </c>
      <c r="G227" s="52"/>
      <c r="H227" s="16" t="s">
        <v>1653</v>
      </c>
      <c r="I227" s="16" t="s">
        <v>1588</v>
      </c>
      <c r="J227" s="16" t="s">
        <v>908</v>
      </c>
      <c r="K227" s="52"/>
      <c r="L227" s="98" t="s">
        <v>933</v>
      </c>
      <c r="M227" s="52"/>
      <c r="N227" s="16" t="s">
        <v>1711</v>
      </c>
      <c r="O227" s="98"/>
      <c r="P227" s="98" t="s">
        <v>1703</v>
      </c>
      <c r="Q227" s="18"/>
      <c r="R227" s="16" t="s">
        <v>1721</v>
      </c>
      <c r="S227" s="16" t="s">
        <v>66</v>
      </c>
      <c r="T227" s="16"/>
      <c r="U227" s="16"/>
      <c r="V227" s="16"/>
      <c r="W227" s="16">
        <f>ROUND(IF(D227=Table!$C$3,Y227*Table!$C$4/8,Y227*Table!$D$4/8),3)</f>
        <v>63</v>
      </c>
      <c r="X227" s="16">
        <f t="shared" si="26"/>
        <v>63</v>
      </c>
      <c r="Y227" s="16">
        <v>1.1200000000000001</v>
      </c>
      <c r="Z227" s="16">
        <v>1</v>
      </c>
      <c r="AA227" s="16" t="s">
        <v>21</v>
      </c>
      <c r="AB227" s="99">
        <v>43999</v>
      </c>
      <c r="AC227" s="99">
        <v>43997</v>
      </c>
      <c r="AD227" s="99">
        <v>43999</v>
      </c>
      <c r="AE227" s="99">
        <v>43997</v>
      </c>
      <c r="AF227" s="99">
        <v>43997</v>
      </c>
      <c r="AG227" s="99" t="s">
        <v>176</v>
      </c>
      <c r="AH227" s="100">
        <v>1</v>
      </c>
      <c r="AI227" s="100">
        <v>1</v>
      </c>
      <c r="AJ227" s="100">
        <v>0.5</v>
      </c>
      <c r="AK227" s="157" t="s">
        <v>150</v>
      </c>
      <c r="AL227" s="134"/>
      <c r="AM227" s="15"/>
      <c r="AN227" s="15"/>
    </row>
    <row r="228" spans="2:40" x14ac:dyDescent="0.25">
      <c r="B228" s="133">
        <v>169</v>
      </c>
      <c r="C228" s="16">
        <v>20200612</v>
      </c>
      <c r="D228" s="16" t="s">
        <v>3</v>
      </c>
      <c r="E228" s="141" t="s">
        <v>871</v>
      </c>
      <c r="F228" s="98" t="s">
        <v>1556</v>
      </c>
      <c r="G228" s="52"/>
      <c r="H228" s="16" t="s">
        <v>1654</v>
      </c>
      <c r="I228" s="16" t="s">
        <v>1589</v>
      </c>
      <c r="J228" s="16" t="s">
        <v>908</v>
      </c>
      <c r="K228" s="52"/>
      <c r="L228" s="98" t="s">
        <v>933</v>
      </c>
      <c r="M228" s="52"/>
      <c r="N228" s="16" t="s">
        <v>1711</v>
      </c>
      <c r="O228" s="98"/>
      <c r="P228" s="98" t="s">
        <v>1704</v>
      </c>
      <c r="Q228" s="18"/>
      <c r="R228" s="16" t="s">
        <v>1721</v>
      </c>
      <c r="S228" s="16" t="s">
        <v>66</v>
      </c>
      <c r="T228" s="16"/>
      <c r="U228" s="16"/>
      <c r="V228" s="16"/>
      <c r="W228" s="16">
        <f>ROUND(IF(D228=Table!$C$3,Y228*Table!$C$4/8,Y228*Table!$D$4/8),3)</f>
        <v>63</v>
      </c>
      <c r="X228" s="16">
        <f t="shared" si="26"/>
        <v>63</v>
      </c>
      <c r="Y228" s="16">
        <v>1.1200000000000001</v>
      </c>
      <c r="Z228" s="16">
        <v>1</v>
      </c>
      <c r="AA228" s="16" t="s">
        <v>21</v>
      </c>
      <c r="AB228" s="99">
        <v>43999</v>
      </c>
      <c r="AC228" s="99">
        <v>43997</v>
      </c>
      <c r="AD228" s="99">
        <v>43999</v>
      </c>
      <c r="AE228" s="99">
        <v>43997</v>
      </c>
      <c r="AF228" s="99">
        <v>43997</v>
      </c>
      <c r="AG228" s="99" t="s">
        <v>176</v>
      </c>
      <c r="AH228" s="100">
        <v>1</v>
      </c>
      <c r="AI228" s="100">
        <v>1</v>
      </c>
      <c r="AJ228" s="100">
        <v>0.5</v>
      </c>
      <c r="AK228" s="157" t="s">
        <v>150</v>
      </c>
      <c r="AL228" s="134"/>
      <c r="AM228" s="15"/>
      <c r="AN228" s="15"/>
    </row>
    <row r="229" spans="2:40" x14ac:dyDescent="0.25">
      <c r="B229" s="133">
        <v>170</v>
      </c>
      <c r="C229" s="16">
        <v>20200612</v>
      </c>
      <c r="D229" s="16" t="s">
        <v>3</v>
      </c>
      <c r="E229" s="141" t="s">
        <v>871</v>
      </c>
      <c r="F229" s="98" t="s">
        <v>1556</v>
      </c>
      <c r="G229" s="52"/>
      <c r="H229" s="16" t="s">
        <v>1655</v>
      </c>
      <c r="I229" s="16" t="s">
        <v>1590</v>
      </c>
      <c r="J229" s="16" t="s">
        <v>908</v>
      </c>
      <c r="K229" s="52"/>
      <c r="L229" s="98" t="s">
        <v>933</v>
      </c>
      <c r="M229" s="52"/>
      <c r="N229" s="16" t="s">
        <v>1711</v>
      </c>
      <c r="O229" s="98"/>
      <c r="P229" s="98" t="s">
        <v>1704</v>
      </c>
      <c r="Q229" s="18"/>
      <c r="R229" s="16" t="s">
        <v>1721</v>
      </c>
      <c r="S229" s="16" t="s">
        <v>66</v>
      </c>
      <c r="T229" s="16"/>
      <c r="U229" s="16"/>
      <c r="V229" s="16"/>
      <c r="W229" s="16">
        <f>ROUND(IF(D229=Table!$C$3,Y229*Table!$C$4/8,Y229*Table!$D$4/8),3)</f>
        <v>131.04</v>
      </c>
      <c r="X229" s="16">
        <f t="shared" si="26"/>
        <v>131.04</v>
      </c>
      <c r="Y229" s="16">
        <v>2.3296000000000001</v>
      </c>
      <c r="Z229" s="16">
        <v>1</v>
      </c>
      <c r="AA229" s="16" t="s">
        <v>21</v>
      </c>
      <c r="AB229" s="99">
        <v>43999</v>
      </c>
      <c r="AC229" s="99">
        <v>43997</v>
      </c>
      <c r="AD229" s="99">
        <v>43999</v>
      </c>
      <c r="AE229" s="99">
        <v>43997</v>
      </c>
      <c r="AF229" s="99">
        <v>43997</v>
      </c>
      <c r="AG229" s="99" t="s">
        <v>176</v>
      </c>
      <c r="AH229" s="100">
        <v>1</v>
      </c>
      <c r="AI229" s="100">
        <v>1</v>
      </c>
      <c r="AJ229" s="100">
        <v>1</v>
      </c>
      <c r="AK229" s="157" t="s">
        <v>150</v>
      </c>
      <c r="AL229" s="134"/>
      <c r="AM229" s="15"/>
      <c r="AN229" s="15"/>
    </row>
    <row r="230" spans="2:40" x14ac:dyDescent="0.25">
      <c r="B230" s="133">
        <v>171</v>
      </c>
      <c r="C230" s="16">
        <v>20200612</v>
      </c>
      <c r="D230" s="16" t="s">
        <v>3</v>
      </c>
      <c r="E230" s="141" t="s">
        <v>871</v>
      </c>
      <c r="F230" s="98" t="s">
        <v>1556</v>
      </c>
      <c r="G230" s="52"/>
      <c r="H230" s="16" t="s">
        <v>1656</v>
      </c>
      <c r="I230" s="16" t="s">
        <v>1591</v>
      </c>
      <c r="J230" s="16" t="s">
        <v>835</v>
      </c>
      <c r="K230" s="52"/>
      <c r="L230" s="98" t="s">
        <v>933</v>
      </c>
      <c r="M230" s="52"/>
      <c r="N230" s="16" t="s">
        <v>1711</v>
      </c>
      <c r="O230" s="98"/>
      <c r="P230" s="98" t="s">
        <v>1706</v>
      </c>
      <c r="Q230" s="18"/>
      <c r="R230" s="16" t="s">
        <v>1721</v>
      </c>
      <c r="S230" s="16" t="s">
        <v>66</v>
      </c>
      <c r="T230" s="16"/>
      <c r="U230" s="16"/>
      <c r="V230" s="16"/>
      <c r="W230" s="16">
        <f>ROUND(IF(D230=Table!$C$3,Y230*Table!$C$4/8,Y230*Table!$D$4/8),3)</f>
        <v>63</v>
      </c>
      <c r="X230" s="16">
        <f t="shared" si="26"/>
        <v>63</v>
      </c>
      <c r="Y230" s="16">
        <v>1.1200000000000001</v>
      </c>
      <c r="Z230" s="16">
        <v>1</v>
      </c>
      <c r="AA230" s="16" t="s">
        <v>21</v>
      </c>
      <c r="AB230" s="99">
        <v>43999</v>
      </c>
      <c r="AC230" s="99">
        <v>43997</v>
      </c>
      <c r="AD230" s="99">
        <v>43999</v>
      </c>
      <c r="AE230" s="99">
        <v>43997</v>
      </c>
      <c r="AF230" s="99">
        <v>43997</v>
      </c>
      <c r="AG230" s="99" t="s">
        <v>176</v>
      </c>
      <c r="AH230" s="100">
        <v>1</v>
      </c>
      <c r="AI230" s="100">
        <v>1</v>
      </c>
      <c r="AJ230" s="100">
        <v>1</v>
      </c>
      <c r="AK230" s="157" t="s">
        <v>150</v>
      </c>
      <c r="AL230" s="134"/>
      <c r="AM230" s="15"/>
      <c r="AN230" s="15"/>
    </row>
    <row r="231" spans="2:40" x14ac:dyDescent="0.25">
      <c r="B231" s="133">
        <v>172</v>
      </c>
      <c r="C231" s="16">
        <v>20200612</v>
      </c>
      <c r="D231" s="16" t="s">
        <v>3</v>
      </c>
      <c r="E231" s="141" t="s">
        <v>871</v>
      </c>
      <c r="F231" s="98" t="s">
        <v>1556</v>
      </c>
      <c r="G231" s="52"/>
      <c r="H231" s="16" t="s">
        <v>1657</v>
      </c>
      <c r="I231" s="16" t="s">
        <v>1592</v>
      </c>
      <c r="J231" s="16" t="s">
        <v>835</v>
      </c>
      <c r="K231" s="52"/>
      <c r="L231" s="98" t="s">
        <v>933</v>
      </c>
      <c r="M231" s="52"/>
      <c r="N231" s="16" t="s">
        <v>1711</v>
      </c>
      <c r="O231" s="98"/>
      <c r="P231" s="98" t="s">
        <v>1707</v>
      </c>
      <c r="Q231" s="18"/>
      <c r="R231" s="16" t="s">
        <v>1721</v>
      </c>
      <c r="S231" s="16" t="s">
        <v>66</v>
      </c>
      <c r="T231" s="16"/>
      <c r="U231" s="16"/>
      <c r="V231" s="16"/>
      <c r="W231" s="16">
        <f>ROUND(IF(D231=Table!$C$3,Y231*Table!$C$4/8,Y231*Table!$D$4/8),3)</f>
        <v>63</v>
      </c>
      <c r="X231" s="16">
        <f t="shared" si="26"/>
        <v>63</v>
      </c>
      <c r="Y231" s="16">
        <v>1.1200000000000001</v>
      </c>
      <c r="Z231" s="16">
        <v>1</v>
      </c>
      <c r="AA231" s="16" t="s">
        <v>21</v>
      </c>
      <c r="AB231" s="99">
        <v>43999</v>
      </c>
      <c r="AC231" s="99">
        <v>43997</v>
      </c>
      <c r="AD231" s="99">
        <v>43999</v>
      </c>
      <c r="AE231" s="99">
        <v>43997</v>
      </c>
      <c r="AF231" s="99">
        <v>43997</v>
      </c>
      <c r="AG231" s="99" t="s">
        <v>176</v>
      </c>
      <c r="AH231" s="100">
        <v>1</v>
      </c>
      <c r="AI231" s="100">
        <v>1</v>
      </c>
      <c r="AJ231" s="100">
        <v>1</v>
      </c>
      <c r="AK231" s="157" t="s">
        <v>150</v>
      </c>
      <c r="AL231" s="134"/>
      <c r="AM231" s="15"/>
      <c r="AN231" s="15"/>
    </row>
    <row r="232" spans="2:40" x14ac:dyDescent="0.25">
      <c r="B232" s="133">
        <v>173</v>
      </c>
      <c r="C232" s="16">
        <v>20200612</v>
      </c>
      <c r="D232" s="16" t="s">
        <v>3</v>
      </c>
      <c r="E232" s="141" t="s">
        <v>871</v>
      </c>
      <c r="F232" s="98" t="s">
        <v>1556</v>
      </c>
      <c r="G232" s="52"/>
      <c r="H232" s="16" t="s">
        <v>1658</v>
      </c>
      <c r="I232" s="16" t="s">
        <v>1593</v>
      </c>
      <c r="J232" s="16" t="s">
        <v>908</v>
      </c>
      <c r="K232" s="52"/>
      <c r="L232" s="98" t="s">
        <v>933</v>
      </c>
      <c r="M232" s="52"/>
      <c r="N232" s="16" t="s">
        <v>1711</v>
      </c>
      <c r="O232" s="98"/>
      <c r="P232" s="98" t="s">
        <v>1708</v>
      </c>
      <c r="Q232" s="18"/>
      <c r="R232" s="16" t="s">
        <v>1721</v>
      </c>
      <c r="S232" s="16" t="s">
        <v>66</v>
      </c>
      <c r="T232" s="16"/>
      <c r="U232" s="16"/>
      <c r="V232" s="16"/>
      <c r="W232" s="16">
        <f>ROUND(IF(D232=Table!$C$3,Y232*Table!$C$4/8,Y232*Table!$D$4/8),3)</f>
        <v>63</v>
      </c>
      <c r="X232" s="16">
        <f t="shared" si="26"/>
        <v>63</v>
      </c>
      <c r="Y232" s="16">
        <v>1.1200000000000001</v>
      </c>
      <c r="Z232" s="16">
        <v>1</v>
      </c>
      <c r="AA232" s="16" t="s">
        <v>21</v>
      </c>
      <c r="AB232" s="99">
        <v>43999</v>
      </c>
      <c r="AC232" s="99">
        <v>43997</v>
      </c>
      <c r="AD232" s="99">
        <v>43999</v>
      </c>
      <c r="AE232" s="99">
        <v>43997</v>
      </c>
      <c r="AF232" s="99">
        <v>43997</v>
      </c>
      <c r="AG232" s="99" t="s">
        <v>176</v>
      </c>
      <c r="AH232" s="100">
        <v>1</v>
      </c>
      <c r="AI232" s="100">
        <v>1</v>
      </c>
      <c r="AJ232" s="100">
        <v>1</v>
      </c>
      <c r="AK232" s="157" t="s">
        <v>150</v>
      </c>
      <c r="AL232" s="134"/>
      <c r="AM232" s="15"/>
      <c r="AN232" s="15"/>
    </row>
    <row r="233" spans="2:40" x14ac:dyDescent="0.25">
      <c r="B233" s="133">
        <v>174</v>
      </c>
      <c r="C233" s="16">
        <v>20200612</v>
      </c>
      <c r="D233" s="16" t="s">
        <v>3</v>
      </c>
      <c r="E233" s="141" t="s">
        <v>871</v>
      </c>
      <c r="F233" s="98" t="s">
        <v>1556</v>
      </c>
      <c r="G233" s="52"/>
      <c r="H233" s="16" t="s">
        <v>1659</v>
      </c>
      <c r="I233" s="16" t="s">
        <v>1594</v>
      </c>
      <c r="J233" s="16" t="s">
        <v>908</v>
      </c>
      <c r="K233" s="52"/>
      <c r="L233" s="98" t="s">
        <v>933</v>
      </c>
      <c r="M233" s="52"/>
      <c r="N233" s="16" t="s">
        <v>1711</v>
      </c>
      <c r="O233" s="98"/>
      <c r="P233" s="98" t="s">
        <v>1703</v>
      </c>
      <c r="Q233" s="18"/>
      <c r="R233" s="16" t="s">
        <v>1721</v>
      </c>
      <c r="S233" s="16" t="s">
        <v>66</v>
      </c>
      <c r="T233" s="16"/>
      <c r="U233" s="16"/>
      <c r="V233" s="16"/>
      <c r="W233" s="16">
        <f>ROUND(IF(D233=Table!$C$3,Y233*Table!$C$4/8,Y233*Table!$D$4/8),3)</f>
        <v>63</v>
      </c>
      <c r="X233" s="16">
        <f t="shared" si="26"/>
        <v>63</v>
      </c>
      <c r="Y233" s="16">
        <v>1.1200000000000001</v>
      </c>
      <c r="Z233" s="16">
        <v>1</v>
      </c>
      <c r="AA233" s="16" t="s">
        <v>21</v>
      </c>
      <c r="AB233" s="99">
        <v>43999</v>
      </c>
      <c r="AC233" s="99">
        <v>43997</v>
      </c>
      <c r="AD233" s="99">
        <v>43999</v>
      </c>
      <c r="AE233" s="99">
        <v>43997</v>
      </c>
      <c r="AF233" s="99">
        <v>43997</v>
      </c>
      <c r="AG233" s="99" t="s">
        <v>176</v>
      </c>
      <c r="AH233" s="100">
        <v>1</v>
      </c>
      <c r="AI233" s="100">
        <v>1</v>
      </c>
      <c r="AJ233" s="100">
        <v>1</v>
      </c>
      <c r="AK233" s="157" t="s">
        <v>150</v>
      </c>
      <c r="AL233" s="134"/>
      <c r="AM233" s="15"/>
      <c r="AN233" s="15"/>
    </row>
    <row r="234" spans="2:40" x14ac:dyDescent="0.25">
      <c r="B234" s="133">
        <v>175</v>
      </c>
      <c r="C234" s="16">
        <v>20200612</v>
      </c>
      <c r="D234" s="16" t="s">
        <v>3</v>
      </c>
      <c r="E234" s="141" t="s">
        <v>871</v>
      </c>
      <c r="F234" s="98" t="s">
        <v>1556</v>
      </c>
      <c r="G234" s="52"/>
      <c r="H234" s="16" t="s">
        <v>1660</v>
      </c>
      <c r="I234" s="16" t="s">
        <v>1595</v>
      </c>
      <c r="J234" s="16" t="s">
        <v>836</v>
      </c>
      <c r="K234" s="52"/>
      <c r="L234" s="98" t="s">
        <v>933</v>
      </c>
      <c r="M234" s="52"/>
      <c r="N234" s="16" t="s">
        <v>1711</v>
      </c>
      <c r="O234" s="98"/>
      <c r="P234" s="98" t="s">
        <v>1703</v>
      </c>
      <c r="Q234" s="18"/>
      <c r="R234" s="16" t="s">
        <v>1721</v>
      </c>
      <c r="S234" s="16" t="s">
        <v>66</v>
      </c>
      <c r="T234" s="16"/>
      <c r="U234" s="16"/>
      <c r="V234" s="16"/>
      <c r="W234" s="16">
        <f>ROUND(IF(D234=Table!$C$3,Y234*Table!$C$4/8,Y234*Table!$D$4/8),3)</f>
        <v>63</v>
      </c>
      <c r="X234" s="16">
        <f t="shared" si="26"/>
        <v>63</v>
      </c>
      <c r="Y234" s="16">
        <v>1.1200000000000001</v>
      </c>
      <c r="Z234" s="16">
        <v>1</v>
      </c>
      <c r="AA234" s="16" t="s">
        <v>21</v>
      </c>
      <c r="AB234" s="99">
        <v>43999</v>
      </c>
      <c r="AC234" s="99">
        <v>43997</v>
      </c>
      <c r="AD234" s="99">
        <v>43999</v>
      </c>
      <c r="AE234" s="99">
        <v>43997</v>
      </c>
      <c r="AF234" s="99">
        <v>43997</v>
      </c>
      <c r="AG234" s="99" t="s">
        <v>176</v>
      </c>
      <c r="AH234" s="100">
        <v>1</v>
      </c>
      <c r="AI234" s="100">
        <v>1</v>
      </c>
      <c r="AJ234" s="100">
        <v>0.5</v>
      </c>
      <c r="AK234" s="157" t="s">
        <v>150</v>
      </c>
      <c r="AL234" s="134"/>
      <c r="AM234" s="15"/>
      <c r="AN234" s="15"/>
    </row>
    <row r="235" spans="2:40" x14ac:dyDescent="0.25">
      <c r="B235" s="133">
        <v>176</v>
      </c>
      <c r="C235" s="16">
        <v>20200612</v>
      </c>
      <c r="D235" s="16" t="s">
        <v>3</v>
      </c>
      <c r="E235" s="141" t="s">
        <v>871</v>
      </c>
      <c r="F235" s="98" t="s">
        <v>1556</v>
      </c>
      <c r="G235" s="52"/>
      <c r="H235" s="16" t="s">
        <v>1661</v>
      </c>
      <c r="I235" s="16" t="s">
        <v>1596</v>
      </c>
      <c r="J235" s="16" t="s">
        <v>908</v>
      </c>
      <c r="K235" s="52"/>
      <c r="L235" s="98" t="s">
        <v>933</v>
      </c>
      <c r="M235" s="52"/>
      <c r="N235" s="16" t="s">
        <v>1711</v>
      </c>
      <c r="O235" s="98"/>
      <c r="P235" s="98" t="s">
        <v>1704</v>
      </c>
      <c r="Q235" s="18"/>
      <c r="R235" s="16" t="s">
        <v>1721</v>
      </c>
      <c r="S235" s="16" t="s">
        <v>66</v>
      </c>
      <c r="T235" s="16"/>
      <c r="U235" s="16"/>
      <c r="V235" s="16"/>
      <c r="W235" s="16">
        <f>ROUND(IF(D235=Table!$C$3,Y235*Table!$C$4/8,Y235*Table!$D$4/8),3)</f>
        <v>85.5</v>
      </c>
      <c r="X235" s="16">
        <f t="shared" si="26"/>
        <v>85.5</v>
      </c>
      <c r="Y235" s="16">
        <v>1.52</v>
      </c>
      <c r="Z235" s="16">
        <v>1</v>
      </c>
      <c r="AA235" s="16" t="s">
        <v>21</v>
      </c>
      <c r="AB235" s="99">
        <v>43999</v>
      </c>
      <c r="AC235" s="99">
        <v>43997</v>
      </c>
      <c r="AD235" s="99">
        <v>43999</v>
      </c>
      <c r="AE235" s="99">
        <v>43997</v>
      </c>
      <c r="AF235" s="99">
        <v>43997</v>
      </c>
      <c r="AG235" s="99" t="s">
        <v>176</v>
      </c>
      <c r="AH235" s="100">
        <v>1</v>
      </c>
      <c r="AI235" s="100">
        <v>1</v>
      </c>
      <c r="AJ235" s="100">
        <v>1</v>
      </c>
      <c r="AK235" s="157" t="s">
        <v>150</v>
      </c>
      <c r="AL235" s="134"/>
      <c r="AM235" s="15"/>
      <c r="AN235" s="15"/>
    </row>
    <row r="236" spans="2:40" x14ac:dyDescent="0.25">
      <c r="B236" s="133">
        <v>177</v>
      </c>
      <c r="C236" s="16">
        <v>20200612</v>
      </c>
      <c r="D236" s="16" t="s">
        <v>3</v>
      </c>
      <c r="E236" s="141" t="s">
        <v>871</v>
      </c>
      <c r="F236" s="98" t="s">
        <v>1556</v>
      </c>
      <c r="G236" s="52"/>
      <c r="H236" s="16" t="s">
        <v>1662</v>
      </c>
      <c r="I236" s="16" t="s">
        <v>1597</v>
      </c>
      <c r="J236" s="16" t="s">
        <v>908</v>
      </c>
      <c r="K236" s="52"/>
      <c r="L236" s="98" t="s">
        <v>933</v>
      </c>
      <c r="M236" s="52"/>
      <c r="N236" s="16" t="s">
        <v>1711</v>
      </c>
      <c r="O236" s="98"/>
      <c r="P236" s="98" t="s">
        <v>1703</v>
      </c>
      <c r="Q236" s="18"/>
      <c r="R236" s="16" t="s">
        <v>1721</v>
      </c>
      <c r="S236" s="16" t="s">
        <v>66</v>
      </c>
      <c r="T236" s="16"/>
      <c r="U236" s="16"/>
      <c r="V236" s="16"/>
      <c r="W236" s="16">
        <f>ROUND(IF(D236=Table!$C$3,Y236*Table!$C$4/8,Y236*Table!$D$4/8),3)</f>
        <v>63</v>
      </c>
      <c r="X236" s="16">
        <f t="shared" si="26"/>
        <v>63</v>
      </c>
      <c r="Y236" s="16">
        <v>1.1200000000000001</v>
      </c>
      <c r="Z236" s="16">
        <v>1</v>
      </c>
      <c r="AA236" s="16" t="s">
        <v>21</v>
      </c>
      <c r="AB236" s="99">
        <v>43999</v>
      </c>
      <c r="AC236" s="99">
        <v>43997</v>
      </c>
      <c r="AD236" s="99">
        <v>43999</v>
      </c>
      <c r="AE236" s="99">
        <v>43997</v>
      </c>
      <c r="AF236" s="99">
        <v>43997</v>
      </c>
      <c r="AG236" s="99" t="s">
        <v>176</v>
      </c>
      <c r="AH236" s="100">
        <v>1</v>
      </c>
      <c r="AI236" s="100">
        <v>1</v>
      </c>
      <c r="AJ236" s="100">
        <v>1</v>
      </c>
      <c r="AK236" s="157" t="s">
        <v>150</v>
      </c>
      <c r="AL236" s="134"/>
      <c r="AM236" s="15"/>
      <c r="AN236" s="15"/>
    </row>
    <row r="237" spans="2:40" x14ac:dyDescent="0.25">
      <c r="B237" s="133">
        <v>178</v>
      </c>
      <c r="C237" s="16">
        <v>20200612</v>
      </c>
      <c r="D237" s="16" t="s">
        <v>3</v>
      </c>
      <c r="E237" s="141" t="s">
        <v>871</v>
      </c>
      <c r="F237" s="98" t="s">
        <v>1556</v>
      </c>
      <c r="G237" s="52"/>
      <c r="H237" s="16" t="s">
        <v>1663</v>
      </c>
      <c r="I237" s="16" t="s">
        <v>1598</v>
      </c>
      <c r="J237" s="16" t="s">
        <v>908</v>
      </c>
      <c r="K237" s="52"/>
      <c r="L237" s="98" t="s">
        <v>933</v>
      </c>
      <c r="M237" s="52"/>
      <c r="N237" s="16" t="s">
        <v>1711</v>
      </c>
      <c r="O237" s="98"/>
      <c r="P237" s="98" t="s">
        <v>1707</v>
      </c>
      <c r="Q237" s="18"/>
      <c r="R237" s="16" t="s">
        <v>1722</v>
      </c>
      <c r="S237" s="16" t="s">
        <v>141</v>
      </c>
      <c r="T237" s="16"/>
      <c r="U237" s="16"/>
      <c r="V237" s="16"/>
      <c r="W237" s="16">
        <f>ROUND(IF(D237=Table!$C$3,Y237*Table!$C$4/8,Y237*Table!$D$4/8),3)</f>
        <v>112.5</v>
      </c>
      <c r="X237" s="16">
        <v>112.5</v>
      </c>
      <c r="Y237" s="16">
        <v>2</v>
      </c>
      <c r="Z237" s="16">
        <v>1</v>
      </c>
      <c r="AA237" s="16" t="s">
        <v>21</v>
      </c>
      <c r="AB237" s="99">
        <v>43999</v>
      </c>
      <c r="AC237" s="99">
        <v>43997</v>
      </c>
      <c r="AD237" s="99">
        <v>43999</v>
      </c>
      <c r="AE237" s="99">
        <v>43997</v>
      </c>
      <c r="AF237" s="99">
        <v>43997</v>
      </c>
      <c r="AG237" s="99" t="s">
        <v>176</v>
      </c>
      <c r="AH237" s="100">
        <v>1</v>
      </c>
      <c r="AI237" s="100">
        <v>1</v>
      </c>
      <c r="AJ237" s="100">
        <v>0.53</v>
      </c>
      <c r="AK237" s="157" t="s">
        <v>150</v>
      </c>
      <c r="AL237" s="134"/>
      <c r="AM237" s="15"/>
      <c r="AN237" s="15"/>
    </row>
    <row r="238" spans="2:40" x14ac:dyDescent="0.25">
      <c r="B238" s="133">
        <v>179</v>
      </c>
      <c r="C238" s="16">
        <v>20200612</v>
      </c>
      <c r="D238" s="16" t="s">
        <v>3</v>
      </c>
      <c r="E238" s="141" t="s">
        <v>871</v>
      </c>
      <c r="F238" s="98" t="s">
        <v>1556</v>
      </c>
      <c r="G238" s="52"/>
      <c r="H238" s="16" t="s">
        <v>1664</v>
      </c>
      <c r="I238" s="16" t="s">
        <v>1599</v>
      </c>
      <c r="J238" s="16" t="s">
        <v>908</v>
      </c>
      <c r="K238" s="52"/>
      <c r="L238" s="98" t="s">
        <v>933</v>
      </c>
      <c r="M238" s="52"/>
      <c r="N238" s="16" t="s">
        <v>1711</v>
      </c>
      <c r="O238" s="98"/>
      <c r="P238" s="98" t="s">
        <v>1707</v>
      </c>
      <c r="Q238" s="18"/>
      <c r="R238" s="16" t="s">
        <v>1722</v>
      </c>
      <c r="S238" s="16" t="s">
        <v>141</v>
      </c>
      <c r="T238" s="16"/>
      <c r="U238" s="16"/>
      <c r="V238" s="16"/>
      <c r="W238" s="16">
        <f>ROUND(IF(D238=Table!$C$3,Y238*Table!$C$4/8,Y238*Table!$D$4/8),3)</f>
        <v>112.5</v>
      </c>
      <c r="X238" s="16">
        <v>112.5</v>
      </c>
      <c r="Y238" s="16">
        <v>2</v>
      </c>
      <c r="Z238" s="16">
        <v>0.5</v>
      </c>
      <c r="AA238" s="16" t="s">
        <v>21</v>
      </c>
      <c r="AB238" s="99">
        <v>43999</v>
      </c>
      <c r="AC238" s="99">
        <v>43997</v>
      </c>
      <c r="AD238" s="99">
        <v>43999</v>
      </c>
      <c r="AE238" s="99">
        <v>43997</v>
      </c>
      <c r="AF238" s="99">
        <v>43997</v>
      </c>
      <c r="AG238" s="99" t="s">
        <v>176</v>
      </c>
      <c r="AH238" s="100">
        <v>1</v>
      </c>
      <c r="AI238" s="100">
        <v>1</v>
      </c>
      <c r="AJ238" s="100">
        <v>0.36</v>
      </c>
      <c r="AK238" s="157" t="s">
        <v>150</v>
      </c>
      <c r="AL238" s="134"/>
      <c r="AM238" s="15"/>
      <c r="AN238" s="15"/>
    </row>
    <row r="239" spans="2:40" x14ac:dyDescent="0.25">
      <c r="B239" s="133">
        <v>180</v>
      </c>
      <c r="C239" s="16">
        <v>20200612</v>
      </c>
      <c r="D239" s="16" t="s">
        <v>3</v>
      </c>
      <c r="E239" s="141" t="s">
        <v>871</v>
      </c>
      <c r="F239" s="98" t="s">
        <v>1556</v>
      </c>
      <c r="G239" s="52"/>
      <c r="H239" s="16" t="s">
        <v>1665</v>
      </c>
      <c r="I239" s="16" t="s">
        <v>1600</v>
      </c>
      <c r="J239" s="16" t="s">
        <v>835</v>
      </c>
      <c r="K239" s="52"/>
      <c r="L239" s="98" t="s">
        <v>933</v>
      </c>
      <c r="M239" s="52"/>
      <c r="N239" s="16" t="s">
        <v>1711</v>
      </c>
      <c r="O239" s="98"/>
      <c r="P239" s="98" t="s">
        <v>1704</v>
      </c>
      <c r="Q239" s="18"/>
      <c r="R239" s="16" t="s">
        <v>1722</v>
      </c>
      <c r="S239" s="16" t="s">
        <v>141</v>
      </c>
      <c r="T239" s="16"/>
      <c r="U239" s="16"/>
      <c r="V239" s="16"/>
      <c r="W239" s="16">
        <f>ROUND(IF(D239=Table!$C$3,Y239*Table!$C$4/8,Y239*Table!$D$4/8),3)</f>
        <v>63</v>
      </c>
      <c r="X239" s="16">
        <v>63</v>
      </c>
      <c r="Y239" s="16">
        <v>1.1200000000000001</v>
      </c>
      <c r="Z239" s="16">
        <v>0.5</v>
      </c>
      <c r="AA239" s="16" t="s">
        <v>21</v>
      </c>
      <c r="AB239" s="99">
        <v>43999</v>
      </c>
      <c r="AC239" s="99">
        <v>43997</v>
      </c>
      <c r="AD239" s="99">
        <v>43999</v>
      </c>
      <c r="AE239" s="99">
        <v>43997</v>
      </c>
      <c r="AF239" s="99">
        <v>43997</v>
      </c>
      <c r="AG239" s="99" t="s">
        <v>176</v>
      </c>
      <c r="AH239" s="100">
        <v>1</v>
      </c>
      <c r="AI239" s="100">
        <v>1</v>
      </c>
      <c r="AJ239" s="100">
        <v>1</v>
      </c>
      <c r="AK239" s="157" t="s">
        <v>150</v>
      </c>
      <c r="AL239" s="134"/>
      <c r="AM239" s="15"/>
      <c r="AN239" s="15"/>
    </row>
    <row r="240" spans="2:40" x14ac:dyDescent="0.25">
      <c r="B240" s="133">
        <v>181</v>
      </c>
      <c r="C240" s="16">
        <v>20200612</v>
      </c>
      <c r="D240" s="16" t="s">
        <v>3</v>
      </c>
      <c r="E240" s="141" t="s">
        <v>871</v>
      </c>
      <c r="F240" s="98" t="s">
        <v>1556</v>
      </c>
      <c r="G240" s="52"/>
      <c r="H240" s="16" t="s">
        <v>1666</v>
      </c>
      <c r="I240" s="16" t="s">
        <v>1601</v>
      </c>
      <c r="J240" s="16" t="s">
        <v>835</v>
      </c>
      <c r="K240" s="52"/>
      <c r="L240" s="98" t="s">
        <v>933</v>
      </c>
      <c r="M240" s="52"/>
      <c r="N240" s="16" t="s">
        <v>1711</v>
      </c>
      <c r="O240" s="98"/>
      <c r="P240" s="98" t="s">
        <v>1704</v>
      </c>
      <c r="Q240" s="18"/>
      <c r="R240" s="16" t="s">
        <v>1722</v>
      </c>
      <c r="S240" s="16" t="s">
        <v>141</v>
      </c>
      <c r="T240" s="16"/>
      <c r="U240" s="16"/>
      <c r="V240" s="16"/>
      <c r="W240" s="16">
        <f>ROUND(IF(D240=Table!$C$3,Y240*Table!$C$4/8,Y240*Table!$D$4/8),3)</f>
        <v>63</v>
      </c>
      <c r="X240" s="16">
        <v>63</v>
      </c>
      <c r="Y240" s="16">
        <v>1.1200000000000001</v>
      </c>
      <c r="Z240" s="16">
        <v>0.5</v>
      </c>
      <c r="AA240" s="16" t="s">
        <v>21</v>
      </c>
      <c r="AB240" s="99">
        <v>43999</v>
      </c>
      <c r="AC240" s="99">
        <v>43997</v>
      </c>
      <c r="AD240" s="99">
        <v>43999</v>
      </c>
      <c r="AE240" s="99">
        <v>43997</v>
      </c>
      <c r="AF240" s="99">
        <v>43997</v>
      </c>
      <c r="AG240" s="99" t="s">
        <v>176</v>
      </c>
      <c r="AH240" s="100">
        <v>1</v>
      </c>
      <c r="AI240" s="100">
        <v>1</v>
      </c>
      <c r="AJ240" s="100">
        <v>1</v>
      </c>
      <c r="AK240" s="157" t="s">
        <v>150</v>
      </c>
      <c r="AL240" s="134"/>
      <c r="AM240" s="15"/>
      <c r="AN240" s="15"/>
    </row>
    <row r="241" spans="2:40" x14ac:dyDescent="0.25">
      <c r="B241" s="133">
        <v>182</v>
      </c>
      <c r="C241" s="16">
        <v>20200612</v>
      </c>
      <c r="D241" s="16" t="s">
        <v>3</v>
      </c>
      <c r="E241" s="141" t="s">
        <v>871</v>
      </c>
      <c r="F241" s="98" t="s">
        <v>1556</v>
      </c>
      <c r="G241" s="52"/>
      <c r="H241" s="16" t="s">
        <v>1667</v>
      </c>
      <c r="I241" s="16" t="s">
        <v>1602</v>
      </c>
      <c r="J241" s="16" t="s">
        <v>835</v>
      </c>
      <c r="K241" s="52"/>
      <c r="L241" s="98" t="s">
        <v>933</v>
      </c>
      <c r="M241" s="52"/>
      <c r="N241" s="16" t="s">
        <v>1711</v>
      </c>
      <c r="O241" s="98"/>
      <c r="P241" s="98" t="s">
        <v>1704</v>
      </c>
      <c r="Q241" s="18"/>
      <c r="R241" s="16" t="s">
        <v>1722</v>
      </c>
      <c r="S241" s="16" t="s">
        <v>141</v>
      </c>
      <c r="T241" s="16"/>
      <c r="U241" s="16"/>
      <c r="V241" s="16"/>
      <c r="W241" s="16">
        <f>ROUND(IF(D241=Table!$C$3,Y241*Table!$C$4/8,Y241*Table!$D$4/8),3)</f>
        <v>112.5</v>
      </c>
      <c r="X241" s="16">
        <v>112.5</v>
      </c>
      <c r="Y241" s="16">
        <v>2</v>
      </c>
      <c r="Z241" s="16">
        <v>0.5</v>
      </c>
      <c r="AA241" s="16" t="s">
        <v>21</v>
      </c>
      <c r="AB241" s="99">
        <v>43999</v>
      </c>
      <c r="AC241" s="99">
        <v>43997</v>
      </c>
      <c r="AD241" s="99">
        <v>43999</v>
      </c>
      <c r="AE241" s="99">
        <v>43997</v>
      </c>
      <c r="AF241" s="99">
        <v>43997</v>
      </c>
      <c r="AG241" s="99" t="s">
        <v>176</v>
      </c>
      <c r="AH241" s="100">
        <v>1</v>
      </c>
      <c r="AI241" s="100">
        <v>1</v>
      </c>
      <c r="AJ241" s="100">
        <v>1</v>
      </c>
      <c r="AK241" s="157" t="s">
        <v>150</v>
      </c>
      <c r="AL241" s="134"/>
      <c r="AM241" s="15"/>
      <c r="AN241" s="15"/>
    </row>
    <row r="242" spans="2:40" x14ac:dyDescent="0.25">
      <c r="B242" s="133">
        <v>183</v>
      </c>
      <c r="C242" s="16">
        <v>20200612</v>
      </c>
      <c r="D242" s="16" t="s">
        <v>3</v>
      </c>
      <c r="E242" s="141" t="s">
        <v>871</v>
      </c>
      <c r="F242" s="98" t="s">
        <v>1556</v>
      </c>
      <c r="G242" s="52"/>
      <c r="H242" s="16" t="s">
        <v>1668</v>
      </c>
      <c r="I242" s="16" t="s">
        <v>1603</v>
      </c>
      <c r="J242" s="16" t="s">
        <v>835</v>
      </c>
      <c r="K242" s="52"/>
      <c r="L242" s="98" t="s">
        <v>933</v>
      </c>
      <c r="M242" s="52"/>
      <c r="N242" s="16" t="s">
        <v>1711</v>
      </c>
      <c r="O242" s="98"/>
      <c r="P242" s="98" t="s">
        <v>1704</v>
      </c>
      <c r="Q242" s="18"/>
      <c r="R242" s="16" t="s">
        <v>1722</v>
      </c>
      <c r="S242" s="16" t="s">
        <v>141</v>
      </c>
      <c r="T242" s="16"/>
      <c r="U242" s="16"/>
      <c r="V242" s="16"/>
      <c r="W242" s="16">
        <f>ROUND(IF(D242=Table!$C$3,Y242*Table!$C$4/8,Y242*Table!$D$4/8),3)</f>
        <v>112.5</v>
      </c>
      <c r="X242" s="16">
        <v>112.5</v>
      </c>
      <c r="Y242" s="16">
        <v>2</v>
      </c>
      <c r="Z242" s="16">
        <v>0.5</v>
      </c>
      <c r="AA242" s="16" t="s">
        <v>21</v>
      </c>
      <c r="AB242" s="99">
        <v>43999</v>
      </c>
      <c r="AC242" s="99">
        <v>43997</v>
      </c>
      <c r="AD242" s="99">
        <v>43999</v>
      </c>
      <c r="AE242" s="99">
        <v>43997</v>
      </c>
      <c r="AF242" s="99">
        <v>43997</v>
      </c>
      <c r="AG242" s="99" t="s">
        <v>176</v>
      </c>
      <c r="AH242" s="100">
        <v>1</v>
      </c>
      <c r="AI242" s="100">
        <v>1</v>
      </c>
      <c r="AJ242" s="100">
        <v>1</v>
      </c>
      <c r="AK242" s="157" t="s">
        <v>150</v>
      </c>
      <c r="AL242" s="134"/>
      <c r="AM242" s="15"/>
      <c r="AN242" s="15"/>
    </row>
    <row r="243" spans="2:40" x14ac:dyDescent="0.25">
      <c r="B243" s="133">
        <v>184</v>
      </c>
      <c r="C243" s="16">
        <v>20200612</v>
      </c>
      <c r="D243" s="16" t="s">
        <v>3</v>
      </c>
      <c r="E243" s="141" t="s">
        <v>871</v>
      </c>
      <c r="F243" s="98" t="s">
        <v>1556</v>
      </c>
      <c r="G243" s="52"/>
      <c r="H243" s="16" t="s">
        <v>1669</v>
      </c>
      <c r="I243" s="16" t="s">
        <v>1604</v>
      </c>
      <c r="J243" s="16" t="s">
        <v>835</v>
      </c>
      <c r="K243" s="52"/>
      <c r="L243" s="98" t="s">
        <v>933</v>
      </c>
      <c r="M243" s="52"/>
      <c r="N243" s="16" t="s">
        <v>1711</v>
      </c>
      <c r="O243" s="98"/>
      <c r="P243" s="98" t="s">
        <v>1704</v>
      </c>
      <c r="Q243" s="18"/>
      <c r="R243" s="16" t="s">
        <v>1722</v>
      </c>
      <c r="S243" s="16" t="s">
        <v>141</v>
      </c>
      <c r="T243" s="16"/>
      <c r="U243" s="16"/>
      <c r="V243" s="16"/>
      <c r="W243" s="16">
        <f>ROUND(IF(D243=Table!$C$3,Y243*Table!$C$4/8,Y243*Table!$D$4/8),3)</f>
        <v>99</v>
      </c>
      <c r="X243" s="16">
        <v>99</v>
      </c>
      <c r="Y243" s="16">
        <v>1.76</v>
      </c>
      <c r="Z243" s="16">
        <v>0.5</v>
      </c>
      <c r="AA243" s="16" t="s">
        <v>21</v>
      </c>
      <c r="AB243" s="99">
        <v>43999</v>
      </c>
      <c r="AC243" s="99">
        <v>43997</v>
      </c>
      <c r="AD243" s="99">
        <v>43999</v>
      </c>
      <c r="AE243" s="99">
        <v>43997</v>
      </c>
      <c r="AF243" s="99">
        <v>43997</v>
      </c>
      <c r="AG243" s="99" t="s">
        <v>176</v>
      </c>
      <c r="AH243" s="100">
        <v>1</v>
      </c>
      <c r="AI243" s="100">
        <v>1</v>
      </c>
      <c r="AJ243" s="100">
        <v>1</v>
      </c>
      <c r="AK243" s="157" t="s">
        <v>150</v>
      </c>
      <c r="AL243" s="134"/>
      <c r="AM243" s="15"/>
      <c r="AN243" s="15"/>
    </row>
    <row r="244" spans="2:40" x14ac:dyDescent="0.25">
      <c r="B244" s="133">
        <v>185</v>
      </c>
      <c r="C244" s="16">
        <v>20200612</v>
      </c>
      <c r="D244" s="16" t="s">
        <v>3</v>
      </c>
      <c r="E244" s="141" t="s">
        <v>871</v>
      </c>
      <c r="F244" s="98" t="s">
        <v>1556</v>
      </c>
      <c r="G244" s="52"/>
      <c r="H244" s="16" t="s">
        <v>1670</v>
      </c>
      <c r="I244" s="16" t="s">
        <v>1605</v>
      </c>
      <c r="J244" s="16" t="s">
        <v>836</v>
      </c>
      <c r="K244" s="52"/>
      <c r="L244" s="98" t="s">
        <v>933</v>
      </c>
      <c r="M244" s="52"/>
      <c r="N244" s="16" t="s">
        <v>1711</v>
      </c>
      <c r="O244" s="98"/>
      <c r="P244" s="98" t="s">
        <v>1709</v>
      </c>
      <c r="Q244" s="18"/>
      <c r="R244" s="16" t="s">
        <v>1722</v>
      </c>
      <c r="S244" s="16" t="s">
        <v>141</v>
      </c>
      <c r="T244" s="16"/>
      <c r="U244" s="16"/>
      <c r="V244" s="16"/>
      <c r="W244" s="16">
        <f>ROUND(IF(D244=Table!$C$3,Y244*Table!$C$4/8,Y244*Table!$D$4/8),3)</f>
        <v>63</v>
      </c>
      <c r="X244" s="16">
        <v>63</v>
      </c>
      <c r="Y244" s="16">
        <v>1.1200000000000001</v>
      </c>
      <c r="Z244" s="16">
        <v>0.5</v>
      </c>
      <c r="AA244" s="16" t="s">
        <v>21</v>
      </c>
      <c r="AB244" s="99">
        <v>43999</v>
      </c>
      <c r="AC244" s="99">
        <v>43997</v>
      </c>
      <c r="AD244" s="99">
        <v>43999</v>
      </c>
      <c r="AE244" s="99">
        <v>43997</v>
      </c>
      <c r="AF244" s="99">
        <v>43997</v>
      </c>
      <c r="AG244" s="99" t="s">
        <v>176</v>
      </c>
      <c r="AH244" s="100">
        <v>1</v>
      </c>
      <c r="AI244" s="100">
        <v>1</v>
      </c>
      <c r="AJ244" s="100">
        <v>1</v>
      </c>
      <c r="AK244" s="157" t="s">
        <v>150</v>
      </c>
      <c r="AL244" s="134"/>
      <c r="AM244" s="15"/>
      <c r="AN244" s="15"/>
    </row>
    <row r="245" spans="2:40" x14ac:dyDescent="0.25">
      <c r="B245" s="133">
        <v>186</v>
      </c>
      <c r="C245" s="16">
        <v>20200612</v>
      </c>
      <c r="D245" s="16" t="s">
        <v>3</v>
      </c>
      <c r="E245" s="141" t="s">
        <v>871</v>
      </c>
      <c r="F245" s="98" t="s">
        <v>1556</v>
      </c>
      <c r="G245" s="52"/>
      <c r="H245" s="16" t="s">
        <v>1671</v>
      </c>
      <c r="I245" s="16" t="s">
        <v>1606</v>
      </c>
      <c r="J245" s="16" t="s">
        <v>835</v>
      </c>
      <c r="K245" s="52"/>
      <c r="L245" s="98" t="s">
        <v>933</v>
      </c>
      <c r="M245" s="52"/>
      <c r="N245" s="16" t="s">
        <v>1711</v>
      </c>
      <c r="O245" s="98"/>
      <c r="P245" s="98" t="s">
        <v>1704</v>
      </c>
      <c r="Q245" s="18"/>
      <c r="R245" s="16" t="s">
        <v>1722</v>
      </c>
      <c r="S245" s="16" t="s">
        <v>141</v>
      </c>
      <c r="T245" s="16"/>
      <c r="U245" s="16"/>
      <c r="V245" s="16"/>
      <c r="W245" s="16">
        <f>ROUND(IF(D245=Table!$C$3,Y245*Table!$C$4/8,Y245*Table!$D$4/8),3)</f>
        <v>67.5</v>
      </c>
      <c r="X245" s="16">
        <v>67.5</v>
      </c>
      <c r="Y245" s="16">
        <v>1.2</v>
      </c>
      <c r="Z245" s="16">
        <v>0.5</v>
      </c>
      <c r="AA245" s="16" t="s">
        <v>21</v>
      </c>
      <c r="AB245" s="99">
        <v>43999</v>
      </c>
      <c r="AC245" s="99">
        <v>43997</v>
      </c>
      <c r="AD245" s="99">
        <v>43999</v>
      </c>
      <c r="AE245" s="99">
        <v>43997</v>
      </c>
      <c r="AF245" s="99">
        <v>43997</v>
      </c>
      <c r="AG245" s="99" t="s">
        <v>176</v>
      </c>
      <c r="AH245" s="100">
        <v>1</v>
      </c>
      <c r="AI245" s="100">
        <v>1</v>
      </c>
      <c r="AJ245" s="100">
        <v>1</v>
      </c>
      <c r="AK245" s="157" t="s">
        <v>150</v>
      </c>
      <c r="AL245" s="134"/>
      <c r="AM245" s="15"/>
      <c r="AN245" s="15"/>
    </row>
    <row r="246" spans="2:40" x14ac:dyDescent="0.25">
      <c r="B246" s="133">
        <v>187</v>
      </c>
      <c r="C246" s="16">
        <v>20200612</v>
      </c>
      <c r="D246" s="16" t="s">
        <v>3</v>
      </c>
      <c r="E246" s="141" t="s">
        <v>871</v>
      </c>
      <c r="F246" s="98" t="s">
        <v>1556</v>
      </c>
      <c r="G246" s="52"/>
      <c r="H246" s="16" t="s">
        <v>1672</v>
      </c>
      <c r="I246" s="16" t="s">
        <v>1607</v>
      </c>
      <c r="J246" s="16" t="s">
        <v>908</v>
      </c>
      <c r="K246" s="52"/>
      <c r="L246" s="98" t="s">
        <v>933</v>
      </c>
      <c r="M246" s="52"/>
      <c r="N246" s="16" t="s">
        <v>1711</v>
      </c>
      <c r="O246" s="98"/>
      <c r="P246" s="98" t="s">
        <v>1707</v>
      </c>
      <c r="Q246" s="18"/>
      <c r="R246" s="16" t="s">
        <v>1722</v>
      </c>
      <c r="S246" s="16" t="s">
        <v>141</v>
      </c>
      <c r="T246" s="16"/>
      <c r="U246" s="16"/>
      <c r="V246" s="16"/>
      <c r="W246" s="16">
        <f>ROUND(IF(D246=Table!$C$3,Y246*Table!$C$4/8,Y246*Table!$D$4/8),3)</f>
        <v>63</v>
      </c>
      <c r="X246" s="16">
        <v>63</v>
      </c>
      <c r="Y246" s="16">
        <v>1.1200000000000001</v>
      </c>
      <c r="Z246" s="16">
        <v>0.5</v>
      </c>
      <c r="AA246" s="16" t="s">
        <v>21</v>
      </c>
      <c r="AB246" s="99">
        <v>43999</v>
      </c>
      <c r="AC246" s="99">
        <v>43997</v>
      </c>
      <c r="AD246" s="99">
        <v>43999</v>
      </c>
      <c r="AE246" s="99">
        <v>43997</v>
      </c>
      <c r="AF246" s="99">
        <v>43997</v>
      </c>
      <c r="AG246" s="99" t="s">
        <v>176</v>
      </c>
      <c r="AH246" s="100">
        <v>1</v>
      </c>
      <c r="AI246" s="100">
        <v>1</v>
      </c>
      <c r="AJ246" s="100">
        <v>1</v>
      </c>
      <c r="AK246" s="157" t="s">
        <v>150</v>
      </c>
      <c r="AL246" s="134"/>
      <c r="AM246" s="15"/>
      <c r="AN246" s="15"/>
    </row>
    <row r="247" spans="2:40" x14ac:dyDescent="0.25">
      <c r="B247" s="133">
        <v>188</v>
      </c>
      <c r="C247" s="16">
        <v>20200612</v>
      </c>
      <c r="D247" s="16" t="s">
        <v>3</v>
      </c>
      <c r="E247" s="141" t="s">
        <v>871</v>
      </c>
      <c r="F247" s="98" t="s">
        <v>1556</v>
      </c>
      <c r="G247" s="52"/>
      <c r="H247" s="16" t="s">
        <v>1673</v>
      </c>
      <c r="I247" s="16" t="s">
        <v>1608</v>
      </c>
      <c r="J247" s="16" t="s">
        <v>908</v>
      </c>
      <c r="K247" s="52"/>
      <c r="L247" s="98" t="s">
        <v>933</v>
      </c>
      <c r="M247" s="52"/>
      <c r="N247" s="16" t="s">
        <v>1711</v>
      </c>
      <c r="O247" s="98"/>
      <c r="P247" s="98" t="s">
        <v>1703</v>
      </c>
      <c r="Q247" s="18"/>
      <c r="R247" s="16" t="s">
        <v>1722</v>
      </c>
      <c r="S247" s="16" t="s">
        <v>141</v>
      </c>
      <c r="T247" s="16"/>
      <c r="U247" s="16"/>
      <c r="V247" s="16"/>
      <c r="W247" s="16">
        <f>ROUND(IF(D247=Table!$C$3,Y247*Table!$C$4/8,Y247*Table!$D$4/8),3)</f>
        <v>63</v>
      </c>
      <c r="X247" s="16">
        <v>63</v>
      </c>
      <c r="Y247" s="16">
        <v>1.1200000000000001</v>
      </c>
      <c r="Z247" s="16">
        <v>0.5</v>
      </c>
      <c r="AA247" s="16" t="s">
        <v>21</v>
      </c>
      <c r="AB247" s="99">
        <v>43999</v>
      </c>
      <c r="AC247" s="99">
        <v>43997</v>
      </c>
      <c r="AD247" s="99">
        <v>43999</v>
      </c>
      <c r="AE247" s="99">
        <v>43997</v>
      </c>
      <c r="AF247" s="99">
        <v>43997</v>
      </c>
      <c r="AG247" s="99" t="s">
        <v>176</v>
      </c>
      <c r="AH247" s="100">
        <v>1</v>
      </c>
      <c r="AI247" s="100">
        <v>1</v>
      </c>
      <c r="AJ247" s="100">
        <v>1</v>
      </c>
      <c r="AK247" s="157" t="s">
        <v>150</v>
      </c>
      <c r="AL247" s="134"/>
      <c r="AM247" s="15"/>
      <c r="AN247" s="15"/>
    </row>
    <row r="248" spans="2:40" x14ac:dyDescent="0.25">
      <c r="B248" s="133">
        <v>189</v>
      </c>
      <c r="C248" s="16">
        <v>20200612</v>
      </c>
      <c r="D248" s="16" t="s">
        <v>3</v>
      </c>
      <c r="E248" s="141" t="s">
        <v>871</v>
      </c>
      <c r="F248" s="98" t="s">
        <v>1556</v>
      </c>
      <c r="G248" s="52"/>
      <c r="H248" s="16" t="s">
        <v>1674</v>
      </c>
      <c r="I248" s="16" t="s">
        <v>1609</v>
      </c>
      <c r="J248" s="16" t="s">
        <v>908</v>
      </c>
      <c r="K248" s="52"/>
      <c r="L248" s="98" t="s">
        <v>933</v>
      </c>
      <c r="M248" s="52"/>
      <c r="N248" s="16" t="s">
        <v>1711</v>
      </c>
      <c r="O248" s="98"/>
      <c r="P248" s="98" t="s">
        <v>1703</v>
      </c>
      <c r="Q248" s="18"/>
      <c r="R248" s="16" t="s">
        <v>1722</v>
      </c>
      <c r="S248" s="16" t="s">
        <v>141</v>
      </c>
      <c r="T248" s="16"/>
      <c r="U248" s="16"/>
      <c r="V248" s="16"/>
      <c r="W248" s="16">
        <f>ROUND(IF(D248=Table!$C$3,Y248*Table!$C$4/8,Y248*Table!$D$4/8),3)</f>
        <v>63</v>
      </c>
      <c r="X248" s="16">
        <v>63</v>
      </c>
      <c r="Y248" s="16">
        <v>1.1200000000000001</v>
      </c>
      <c r="Z248" s="16">
        <v>0.5</v>
      </c>
      <c r="AA248" s="16" t="s">
        <v>21</v>
      </c>
      <c r="AB248" s="99">
        <v>43999</v>
      </c>
      <c r="AC248" s="99">
        <v>43997</v>
      </c>
      <c r="AD248" s="99">
        <v>43999</v>
      </c>
      <c r="AE248" s="99">
        <v>43997</v>
      </c>
      <c r="AF248" s="99">
        <v>43997</v>
      </c>
      <c r="AG248" s="99" t="s">
        <v>176</v>
      </c>
      <c r="AH248" s="100">
        <v>1</v>
      </c>
      <c r="AI248" s="100">
        <v>1</v>
      </c>
      <c r="AJ248" s="100">
        <v>0.5</v>
      </c>
      <c r="AK248" s="157" t="s">
        <v>150</v>
      </c>
      <c r="AL248" s="134"/>
      <c r="AM248" s="15"/>
      <c r="AN248" s="15"/>
    </row>
    <row r="249" spans="2:40" x14ac:dyDescent="0.25">
      <c r="B249" s="133">
        <v>190</v>
      </c>
      <c r="C249" s="16">
        <v>20200612</v>
      </c>
      <c r="D249" s="16" t="s">
        <v>3</v>
      </c>
      <c r="E249" s="141" t="s">
        <v>871</v>
      </c>
      <c r="F249" s="98" t="s">
        <v>1556</v>
      </c>
      <c r="G249" s="52"/>
      <c r="H249" s="16" t="s">
        <v>1675</v>
      </c>
      <c r="I249" s="16" t="s">
        <v>1610</v>
      </c>
      <c r="J249" s="16" t="s">
        <v>908</v>
      </c>
      <c r="K249" s="52"/>
      <c r="L249" s="98" t="s">
        <v>933</v>
      </c>
      <c r="M249" s="52"/>
      <c r="N249" s="16" t="s">
        <v>1711</v>
      </c>
      <c r="O249" s="98"/>
      <c r="P249" s="98" t="s">
        <v>1704</v>
      </c>
      <c r="Q249" s="18"/>
      <c r="R249" s="16" t="s">
        <v>1722</v>
      </c>
      <c r="S249" s="16" t="s">
        <v>141</v>
      </c>
      <c r="T249" s="16"/>
      <c r="U249" s="16"/>
      <c r="V249" s="16"/>
      <c r="W249" s="16">
        <f>ROUND(IF(D249=Table!$C$3,Y249*Table!$C$4/8,Y249*Table!$D$4/8),3)</f>
        <v>63</v>
      </c>
      <c r="X249" s="16">
        <v>63</v>
      </c>
      <c r="Y249" s="16">
        <v>1.1200000000000001</v>
      </c>
      <c r="Z249" s="16">
        <v>0.5</v>
      </c>
      <c r="AA249" s="16" t="s">
        <v>21</v>
      </c>
      <c r="AB249" s="99">
        <v>43999</v>
      </c>
      <c r="AC249" s="99">
        <v>43997</v>
      </c>
      <c r="AD249" s="99">
        <v>43999</v>
      </c>
      <c r="AE249" s="99">
        <v>43997</v>
      </c>
      <c r="AF249" s="99">
        <v>43997</v>
      </c>
      <c r="AG249" s="99" t="s">
        <v>176</v>
      </c>
      <c r="AH249" s="100">
        <v>1</v>
      </c>
      <c r="AI249" s="100">
        <v>1</v>
      </c>
      <c r="AJ249" s="100">
        <v>0.5</v>
      </c>
      <c r="AK249" s="157" t="s">
        <v>150</v>
      </c>
      <c r="AL249" s="134"/>
      <c r="AM249" s="15"/>
      <c r="AN249" s="15"/>
    </row>
    <row r="250" spans="2:40" x14ac:dyDescent="0.25">
      <c r="B250" s="133">
        <v>191</v>
      </c>
      <c r="C250" s="16">
        <v>20200612</v>
      </c>
      <c r="D250" s="16" t="s">
        <v>3</v>
      </c>
      <c r="E250" s="141" t="s">
        <v>871</v>
      </c>
      <c r="F250" s="98" t="s">
        <v>1556</v>
      </c>
      <c r="G250" s="52"/>
      <c r="H250" s="16" t="s">
        <v>1676</v>
      </c>
      <c r="I250" s="16" t="s">
        <v>1611</v>
      </c>
      <c r="J250" s="16" t="s">
        <v>908</v>
      </c>
      <c r="K250" s="52"/>
      <c r="L250" s="98" t="s">
        <v>933</v>
      </c>
      <c r="M250" s="52"/>
      <c r="N250" s="16" t="s">
        <v>1711</v>
      </c>
      <c r="O250" s="98"/>
      <c r="P250" s="98" t="s">
        <v>1708</v>
      </c>
      <c r="Q250" s="18"/>
      <c r="R250" s="16" t="s">
        <v>1722</v>
      </c>
      <c r="S250" s="16" t="s">
        <v>141</v>
      </c>
      <c r="T250" s="16"/>
      <c r="U250" s="16"/>
      <c r="V250" s="16"/>
      <c r="W250" s="16">
        <f>ROUND(IF(D250=Table!$C$3,Y250*Table!$C$4/8,Y250*Table!$D$4/8),3)</f>
        <v>99</v>
      </c>
      <c r="X250" s="16">
        <v>99</v>
      </c>
      <c r="Y250" s="16">
        <v>1.76</v>
      </c>
      <c r="Z250" s="16">
        <v>0.5</v>
      </c>
      <c r="AA250" s="16" t="s">
        <v>21</v>
      </c>
      <c r="AB250" s="99">
        <v>43999</v>
      </c>
      <c r="AC250" s="99">
        <v>43997</v>
      </c>
      <c r="AD250" s="99">
        <v>43999</v>
      </c>
      <c r="AE250" s="99">
        <v>43997</v>
      </c>
      <c r="AF250" s="99">
        <v>43997</v>
      </c>
      <c r="AG250" s="99" t="s">
        <v>176</v>
      </c>
      <c r="AH250" s="100">
        <v>1</v>
      </c>
      <c r="AI250" s="100">
        <v>1</v>
      </c>
      <c r="AJ250" s="100">
        <v>0.42</v>
      </c>
      <c r="AK250" s="157" t="s">
        <v>150</v>
      </c>
      <c r="AL250" s="134"/>
      <c r="AM250" s="15"/>
      <c r="AN250" s="15"/>
    </row>
    <row r="251" spans="2:40" x14ac:dyDescent="0.25">
      <c r="B251" s="133">
        <v>192</v>
      </c>
      <c r="C251" s="16">
        <v>20200612</v>
      </c>
      <c r="D251" s="16" t="s">
        <v>3</v>
      </c>
      <c r="E251" s="141" t="s">
        <v>871</v>
      </c>
      <c r="F251" s="98" t="s">
        <v>1556</v>
      </c>
      <c r="G251" s="52"/>
      <c r="H251" s="16" t="s">
        <v>1677</v>
      </c>
      <c r="I251" s="16" t="s">
        <v>1612</v>
      </c>
      <c r="J251" s="16" t="s">
        <v>908</v>
      </c>
      <c r="K251" s="52"/>
      <c r="L251" s="98" t="s">
        <v>933</v>
      </c>
      <c r="M251" s="52"/>
      <c r="N251" s="16" t="s">
        <v>1711</v>
      </c>
      <c r="O251" s="98"/>
      <c r="P251" s="98" t="s">
        <v>1703</v>
      </c>
      <c r="Q251" s="18"/>
      <c r="R251" s="16" t="s">
        <v>1722</v>
      </c>
      <c r="S251" s="16" t="s">
        <v>141</v>
      </c>
      <c r="T251" s="16"/>
      <c r="U251" s="16"/>
      <c r="V251" s="16"/>
      <c r="W251" s="16">
        <f>ROUND(IF(D251=Table!$C$3,Y251*Table!$C$4/8,Y251*Table!$D$4/8),3)</f>
        <v>99</v>
      </c>
      <c r="X251" s="16">
        <v>99</v>
      </c>
      <c r="Y251" s="16">
        <v>1.76</v>
      </c>
      <c r="Z251" s="16">
        <v>0.5</v>
      </c>
      <c r="AA251" s="16" t="s">
        <v>21</v>
      </c>
      <c r="AB251" s="99">
        <v>43999</v>
      </c>
      <c r="AC251" s="99">
        <v>43997</v>
      </c>
      <c r="AD251" s="99">
        <v>43999</v>
      </c>
      <c r="AE251" s="99">
        <v>43997</v>
      </c>
      <c r="AF251" s="99">
        <v>43997</v>
      </c>
      <c r="AG251" s="99" t="s">
        <v>176</v>
      </c>
      <c r="AH251" s="100">
        <v>1</v>
      </c>
      <c r="AI251" s="100">
        <v>1</v>
      </c>
      <c r="AJ251" s="100">
        <v>0.5</v>
      </c>
      <c r="AK251" s="157" t="s">
        <v>150</v>
      </c>
      <c r="AL251" s="134"/>
      <c r="AM251" s="15"/>
      <c r="AN251" s="15"/>
    </row>
    <row r="252" spans="2:40" x14ac:dyDescent="0.25">
      <c r="B252" s="133">
        <v>193</v>
      </c>
      <c r="C252" s="16">
        <v>20200612</v>
      </c>
      <c r="D252" s="16" t="s">
        <v>3</v>
      </c>
      <c r="E252" s="141" t="s">
        <v>871</v>
      </c>
      <c r="F252" s="98" t="s">
        <v>1556</v>
      </c>
      <c r="G252" s="52"/>
      <c r="H252" s="16" t="s">
        <v>1678</v>
      </c>
      <c r="I252" s="16" t="s">
        <v>1613</v>
      </c>
      <c r="J252" s="16" t="s">
        <v>908</v>
      </c>
      <c r="K252" s="52"/>
      <c r="L252" s="98" t="s">
        <v>933</v>
      </c>
      <c r="M252" s="52"/>
      <c r="N252" s="16" t="s">
        <v>1711</v>
      </c>
      <c r="O252" s="98"/>
      <c r="P252" s="98" t="s">
        <v>1706</v>
      </c>
      <c r="Q252" s="18"/>
      <c r="R252" s="16" t="s">
        <v>1722</v>
      </c>
      <c r="S252" s="16" t="s">
        <v>141</v>
      </c>
      <c r="T252" s="16"/>
      <c r="U252" s="16"/>
      <c r="V252" s="16"/>
      <c r="W252" s="16">
        <f>ROUND(IF(D252=Table!$C$3,Y252*Table!$C$4/8,Y252*Table!$D$4/8),3)</f>
        <v>124.488</v>
      </c>
      <c r="X252" s="16">
        <v>124.488</v>
      </c>
      <c r="Y252" s="16">
        <v>2.21312</v>
      </c>
      <c r="Z252" s="16">
        <v>0.5</v>
      </c>
      <c r="AA252" s="16" t="s">
        <v>21</v>
      </c>
      <c r="AB252" s="99">
        <v>43999</v>
      </c>
      <c r="AC252" s="99">
        <v>43997</v>
      </c>
      <c r="AD252" s="99">
        <v>43999</v>
      </c>
      <c r="AE252" s="99">
        <v>43997</v>
      </c>
      <c r="AF252" s="99">
        <v>43997</v>
      </c>
      <c r="AG252" s="99" t="s">
        <v>176</v>
      </c>
      <c r="AH252" s="100">
        <v>1</v>
      </c>
      <c r="AI252" s="100">
        <v>1</v>
      </c>
      <c r="AJ252" s="100">
        <v>0.5</v>
      </c>
      <c r="AK252" s="157" t="s">
        <v>150</v>
      </c>
      <c r="AL252" s="134"/>
      <c r="AM252" s="15"/>
      <c r="AN252" s="15"/>
    </row>
    <row r="253" spans="2:40" x14ac:dyDescent="0.25">
      <c r="B253" s="133">
        <v>194</v>
      </c>
      <c r="C253" s="16">
        <v>20200612</v>
      </c>
      <c r="D253" s="16" t="s">
        <v>3</v>
      </c>
      <c r="E253" s="141" t="s">
        <v>871</v>
      </c>
      <c r="F253" s="98" t="s">
        <v>1556</v>
      </c>
      <c r="G253" s="52"/>
      <c r="H253" s="16" t="s">
        <v>1679</v>
      </c>
      <c r="I253" s="16" t="s">
        <v>1614</v>
      </c>
      <c r="J253" s="16" t="s">
        <v>908</v>
      </c>
      <c r="K253" s="52"/>
      <c r="L253" s="98" t="s">
        <v>933</v>
      </c>
      <c r="M253" s="52"/>
      <c r="N253" s="16" t="s">
        <v>1711</v>
      </c>
      <c r="O253" s="98"/>
      <c r="P253" s="98" t="s">
        <v>1710</v>
      </c>
      <c r="Q253" s="18"/>
      <c r="R253" s="16" t="s">
        <v>1722</v>
      </c>
      <c r="S253" s="16" t="s">
        <v>141</v>
      </c>
      <c r="T253" s="16"/>
      <c r="U253" s="16"/>
      <c r="V253" s="16"/>
      <c r="W253" s="16">
        <f>ROUND(IF(D253=Table!$C$3,Y253*Table!$C$4/8,Y253*Table!$D$4/8),3)</f>
        <v>63</v>
      </c>
      <c r="X253" s="16">
        <v>63</v>
      </c>
      <c r="Y253" s="16">
        <v>1.1200000000000001</v>
      </c>
      <c r="Z253" s="16">
        <v>0.5</v>
      </c>
      <c r="AA253" s="16" t="s">
        <v>21</v>
      </c>
      <c r="AB253" s="99">
        <v>43999</v>
      </c>
      <c r="AC253" s="99">
        <v>43997</v>
      </c>
      <c r="AD253" s="99">
        <v>43999</v>
      </c>
      <c r="AE253" s="99">
        <v>43997</v>
      </c>
      <c r="AF253" s="99">
        <v>43997</v>
      </c>
      <c r="AG253" s="99" t="s">
        <v>176</v>
      </c>
      <c r="AH253" s="100">
        <v>1</v>
      </c>
      <c r="AI253" s="100">
        <v>1</v>
      </c>
      <c r="AJ253" s="100">
        <v>1</v>
      </c>
      <c r="AK253" s="157" t="s">
        <v>150</v>
      </c>
      <c r="AL253" s="134"/>
      <c r="AM253" s="15"/>
      <c r="AN253" s="15"/>
    </row>
    <row r="254" spans="2:40" x14ac:dyDescent="0.25">
      <c r="B254" s="133">
        <v>195</v>
      </c>
      <c r="C254" s="16">
        <v>20200612</v>
      </c>
      <c r="D254" s="16" t="s">
        <v>3</v>
      </c>
      <c r="E254" s="141" t="s">
        <v>871</v>
      </c>
      <c r="F254" s="98" t="s">
        <v>1556</v>
      </c>
      <c r="G254" s="52"/>
      <c r="H254" s="16" t="s">
        <v>1680</v>
      </c>
      <c r="I254" s="16" t="s">
        <v>1615</v>
      </c>
      <c r="J254" s="16" t="s">
        <v>908</v>
      </c>
      <c r="K254" s="52"/>
      <c r="L254" s="98" t="s">
        <v>933</v>
      </c>
      <c r="M254" s="52"/>
      <c r="N254" s="16" t="s">
        <v>1711</v>
      </c>
      <c r="O254" s="98"/>
      <c r="P254" s="98" t="s">
        <v>1710</v>
      </c>
      <c r="Q254" s="18"/>
      <c r="R254" s="16" t="s">
        <v>1723</v>
      </c>
      <c r="S254" s="16" t="s">
        <v>65</v>
      </c>
      <c r="T254" s="16"/>
      <c r="U254" s="16"/>
      <c r="V254" s="16"/>
      <c r="W254" s="16">
        <f>ROUND(IF(D254=Table!$C$3,Y254*Table!$C$4/8,Y254*Table!$D$4/8),3)</f>
        <v>94.5</v>
      </c>
      <c r="X254" s="16">
        <f t="shared" ref="X254:X269" si="27">W254</f>
        <v>94.5</v>
      </c>
      <c r="Y254" s="16">
        <v>1.68</v>
      </c>
      <c r="Z254" s="16">
        <v>1</v>
      </c>
      <c r="AA254" s="16" t="s">
        <v>21</v>
      </c>
      <c r="AB254" s="99">
        <v>43999</v>
      </c>
      <c r="AC254" s="99">
        <v>43997</v>
      </c>
      <c r="AD254" s="99">
        <v>43999</v>
      </c>
      <c r="AE254" s="99">
        <v>43997</v>
      </c>
      <c r="AF254" s="99">
        <v>43997</v>
      </c>
      <c r="AG254" s="99" t="s">
        <v>176</v>
      </c>
      <c r="AH254" s="100">
        <v>1</v>
      </c>
      <c r="AI254" s="100">
        <v>1</v>
      </c>
      <c r="AJ254" s="100">
        <v>1</v>
      </c>
      <c r="AK254" s="157" t="s">
        <v>150</v>
      </c>
      <c r="AL254" s="134"/>
      <c r="AM254" s="15"/>
      <c r="AN254" s="15"/>
    </row>
    <row r="255" spans="2:40" x14ac:dyDescent="0.25">
      <c r="B255" s="133">
        <v>196</v>
      </c>
      <c r="C255" s="16">
        <v>20200612</v>
      </c>
      <c r="D255" s="16" t="s">
        <v>3</v>
      </c>
      <c r="E255" s="141" t="s">
        <v>871</v>
      </c>
      <c r="F255" s="98" t="s">
        <v>1556</v>
      </c>
      <c r="G255" s="52"/>
      <c r="H255" s="16" t="s">
        <v>1681</v>
      </c>
      <c r="I255" s="16" t="s">
        <v>1616</v>
      </c>
      <c r="J255" s="16" t="s">
        <v>908</v>
      </c>
      <c r="K255" s="52"/>
      <c r="L255" s="98" t="s">
        <v>933</v>
      </c>
      <c r="M255" s="52"/>
      <c r="N255" s="16" t="s">
        <v>1711</v>
      </c>
      <c r="O255" s="98"/>
      <c r="P255" s="98" t="s">
        <v>1706</v>
      </c>
      <c r="Q255" s="18"/>
      <c r="R255" s="16" t="s">
        <v>1723</v>
      </c>
      <c r="S255" s="16" t="s">
        <v>65</v>
      </c>
      <c r="T255" s="16"/>
      <c r="U255" s="16"/>
      <c r="V255" s="16"/>
      <c r="W255" s="16">
        <f>ROUND(IF(D255=Table!$C$3,Y255*Table!$C$4/8,Y255*Table!$D$4/8),3)</f>
        <v>99</v>
      </c>
      <c r="X255" s="16">
        <f t="shared" si="27"/>
        <v>99</v>
      </c>
      <c r="Y255" s="16">
        <v>1.76</v>
      </c>
      <c r="Z255" s="16">
        <v>1</v>
      </c>
      <c r="AA255" s="16" t="s">
        <v>21</v>
      </c>
      <c r="AB255" s="99">
        <v>43999</v>
      </c>
      <c r="AC255" s="99">
        <v>43997</v>
      </c>
      <c r="AD255" s="99">
        <v>43999</v>
      </c>
      <c r="AE255" s="99">
        <v>43997</v>
      </c>
      <c r="AF255" s="99">
        <v>43997</v>
      </c>
      <c r="AG255" s="99" t="s">
        <v>176</v>
      </c>
      <c r="AH255" s="100">
        <v>1</v>
      </c>
      <c r="AI255" s="100">
        <v>1</v>
      </c>
      <c r="AJ255" s="100">
        <v>1</v>
      </c>
      <c r="AK255" s="157" t="s">
        <v>150</v>
      </c>
      <c r="AL255" s="134"/>
      <c r="AM255" s="15"/>
      <c r="AN255" s="15"/>
    </row>
    <row r="256" spans="2:40" x14ac:dyDescent="0.25">
      <c r="B256" s="133">
        <v>197</v>
      </c>
      <c r="C256" s="16">
        <v>20200612</v>
      </c>
      <c r="D256" s="16" t="s">
        <v>3</v>
      </c>
      <c r="E256" s="141" t="s">
        <v>871</v>
      </c>
      <c r="F256" s="98" t="s">
        <v>1556</v>
      </c>
      <c r="G256" s="52"/>
      <c r="H256" s="16" t="s">
        <v>1682</v>
      </c>
      <c r="I256" s="16" t="s">
        <v>1617</v>
      </c>
      <c r="J256" s="16" t="s">
        <v>908</v>
      </c>
      <c r="K256" s="52"/>
      <c r="L256" s="98" t="s">
        <v>933</v>
      </c>
      <c r="M256" s="52"/>
      <c r="N256" s="16" t="s">
        <v>1711</v>
      </c>
      <c r="O256" s="98"/>
      <c r="P256" s="98" t="s">
        <v>1707</v>
      </c>
      <c r="Q256" s="18"/>
      <c r="R256" s="16" t="s">
        <v>1723</v>
      </c>
      <c r="S256" s="16" t="s">
        <v>65</v>
      </c>
      <c r="T256" s="16"/>
      <c r="U256" s="16"/>
      <c r="V256" s="16"/>
      <c r="W256" s="16">
        <f>ROUND(IF(D256=Table!$C$3,Y256*Table!$C$4/8,Y256*Table!$D$4/8),3)</f>
        <v>112.5</v>
      </c>
      <c r="X256" s="16">
        <f t="shared" si="27"/>
        <v>112.5</v>
      </c>
      <c r="Y256" s="16">
        <v>2</v>
      </c>
      <c r="Z256" s="16">
        <v>1</v>
      </c>
      <c r="AA256" s="16" t="s">
        <v>21</v>
      </c>
      <c r="AB256" s="99">
        <v>43999</v>
      </c>
      <c r="AC256" s="99">
        <v>43997</v>
      </c>
      <c r="AD256" s="99">
        <v>43999</v>
      </c>
      <c r="AE256" s="99">
        <v>43997</v>
      </c>
      <c r="AF256" s="99">
        <v>43997</v>
      </c>
      <c r="AG256" s="99" t="s">
        <v>176</v>
      </c>
      <c r="AH256" s="100">
        <v>1</v>
      </c>
      <c r="AI256" s="100">
        <v>1</v>
      </c>
      <c r="AJ256" s="100">
        <v>1</v>
      </c>
      <c r="AK256" s="157" t="s">
        <v>150</v>
      </c>
      <c r="AL256" s="134"/>
      <c r="AM256" s="15"/>
      <c r="AN256" s="15"/>
    </row>
    <row r="257" spans="2:40" x14ac:dyDescent="0.25">
      <c r="B257" s="133">
        <v>198</v>
      </c>
      <c r="C257" s="16">
        <v>20200612</v>
      </c>
      <c r="D257" s="16" t="s">
        <v>3</v>
      </c>
      <c r="E257" s="141" t="s">
        <v>871</v>
      </c>
      <c r="F257" s="98" t="s">
        <v>1556</v>
      </c>
      <c r="G257" s="52"/>
      <c r="H257" s="16" t="s">
        <v>1683</v>
      </c>
      <c r="I257" s="16" t="s">
        <v>1618</v>
      </c>
      <c r="J257" s="16" t="s">
        <v>908</v>
      </c>
      <c r="K257" s="52"/>
      <c r="L257" s="98" t="s">
        <v>933</v>
      </c>
      <c r="M257" s="52"/>
      <c r="N257" s="16" t="s">
        <v>1711</v>
      </c>
      <c r="O257" s="98"/>
      <c r="P257" s="98" t="s">
        <v>1703</v>
      </c>
      <c r="Q257" s="18"/>
      <c r="R257" s="16" t="s">
        <v>1723</v>
      </c>
      <c r="S257" s="16" t="s">
        <v>65</v>
      </c>
      <c r="T257" s="16"/>
      <c r="U257" s="16"/>
      <c r="V257" s="16"/>
      <c r="W257" s="16">
        <f>ROUND(IF(D257=Table!$C$3,Y257*Table!$C$4/8,Y257*Table!$D$4/8),3)</f>
        <v>112.5</v>
      </c>
      <c r="X257" s="16">
        <f t="shared" si="27"/>
        <v>112.5</v>
      </c>
      <c r="Y257" s="16">
        <v>2</v>
      </c>
      <c r="Z257" s="16">
        <v>1</v>
      </c>
      <c r="AA257" s="16" t="s">
        <v>21</v>
      </c>
      <c r="AB257" s="99">
        <v>43999</v>
      </c>
      <c r="AC257" s="99">
        <v>43997</v>
      </c>
      <c r="AD257" s="99">
        <v>43999</v>
      </c>
      <c r="AE257" s="99">
        <v>43997</v>
      </c>
      <c r="AF257" s="99">
        <v>43997</v>
      </c>
      <c r="AG257" s="99" t="s">
        <v>176</v>
      </c>
      <c r="AH257" s="100">
        <v>1</v>
      </c>
      <c r="AI257" s="100">
        <v>1</v>
      </c>
      <c r="AJ257" s="100">
        <v>1</v>
      </c>
      <c r="AK257" s="157" t="s">
        <v>150</v>
      </c>
      <c r="AL257" s="134"/>
      <c r="AM257" s="15"/>
      <c r="AN257" s="15"/>
    </row>
    <row r="258" spans="2:40" x14ac:dyDescent="0.25">
      <c r="B258" s="133">
        <v>199</v>
      </c>
      <c r="C258" s="16">
        <v>20200612</v>
      </c>
      <c r="D258" s="16" t="s">
        <v>3</v>
      </c>
      <c r="E258" s="141" t="s">
        <v>871</v>
      </c>
      <c r="F258" s="98" t="s">
        <v>1556</v>
      </c>
      <c r="G258" s="52"/>
      <c r="H258" s="16" t="s">
        <v>1684</v>
      </c>
      <c r="I258" s="16" t="s">
        <v>1619</v>
      </c>
      <c r="J258" s="16" t="s">
        <v>835</v>
      </c>
      <c r="K258" s="52"/>
      <c r="L258" s="98" t="s">
        <v>933</v>
      </c>
      <c r="M258" s="52"/>
      <c r="N258" s="16" t="s">
        <v>1711</v>
      </c>
      <c r="O258" s="98"/>
      <c r="P258" s="98" t="s">
        <v>1704</v>
      </c>
      <c r="Q258" s="18"/>
      <c r="R258" s="16" t="s">
        <v>1723</v>
      </c>
      <c r="S258" s="16" t="s">
        <v>65</v>
      </c>
      <c r="T258" s="16"/>
      <c r="U258" s="16"/>
      <c r="V258" s="16"/>
      <c r="W258" s="16">
        <f>ROUND(IF(D258=Table!$C$3,Y258*Table!$C$4/8,Y258*Table!$D$4/8),3)</f>
        <v>131.04</v>
      </c>
      <c r="X258" s="16">
        <f t="shared" si="27"/>
        <v>131.04</v>
      </c>
      <c r="Y258" s="16">
        <v>2.3296000000000001</v>
      </c>
      <c r="Z258" s="16">
        <v>1</v>
      </c>
      <c r="AA258" s="16" t="s">
        <v>21</v>
      </c>
      <c r="AB258" s="99">
        <v>43999</v>
      </c>
      <c r="AC258" s="99">
        <v>43997</v>
      </c>
      <c r="AD258" s="99">
        <v>43999</v>
      </c>
      <c r="AE258" s="99">
        <v>43997</v>
      </c>
      <c r="AF258" s="99">
        <v>43997</v>
      </c>
      <c r="AG258" s="99" t="s">
        <v>176</v>
      </c>
      <c r="AH258" s="100">
        <v>1</v>
      </c>
      <c r="AI258" s="100">
        <v>1</v>
      </c>
      <c r="AJ258" s="100">
        <v>1</v>
      </c>
      <c r="AK258" s="157" t="s">
        <v>150</v>
      </c>
      <c r="AL258" s="134"/>
      <c r="AM258" s="15"/>
      <c r="AN258" s="15"/>
    </row>
    <row r="259" spans="2:40" x14ac:dyDescent="0.25">
      <c r="B259" s="133">
        <v>200</v>
      </c>
      <c r="C259" s="16">
        <v>20200612</v>
      </c>
      <c r="D259" s="16" t="s">
        <v>3</v>
      </c>
      <c r="E259" s="141" t="s">
        <v>871</v>
      </c>
      <c r="F259" s="98" t="s">
        <v>1556</v>
      </c>
      <c r="G259" s="52"/>
      <c r="H259" s="16" t="s">
        <v>1685</v>
      </c>
      <c r="I259" s="16" t="s">
        <v>1620</v>
      </c>
      <c r="J259" s="16" t="s">
        <v>835</v>
      </c>
      <c r="K259" s="52"/>
      <c r="L259" s="98" t="s">
        <v>933</v>
      </c>
      <c r="M259" s="52"/>
      <c r="N259" s="16" t="s">
        <v>1711</v>
      </c>
      <c r="O259" s="98"/>
      <c r="P259" s="98" t="s">
        <v>1704</v>
      </c>
      <c r="Q259" s="18"/>
      <c r="R259" s="16" t="s">
        <v>1723</v>
      </c>
      <c r="S259" s="16" t="s">
        <v>65</v>
      </c>
      <c r="T259" s="16"/>
      <c r="U259" s="16"/>
      <c r="V259" s="16"/>
      <c r="W259" s="16">
        <f>ROUND(IF(D259=Table!$C$3,Y259*Table!$C$4/8,Y259*Table!$D$4/8),3)</f>
        <v>131.04</v>
      </c>
      <c r="X259" s="16">
        <f t="shared" si="27"/>
        <v>131.04</v>
      </c>
      <c r="Y259" s="16">
        <v>2.3296000000000001</v>
      </c>
      <c r="Z259" s="16">
        <v>1</v>
      </c>
      <c r="AA259" s="16" t="s">
        <v>21</v>
      </c>
      <c r="AB259" s="99">
        <v>43999</v>
      </c>
      <c r="AC259" s="99">
        <v>43997</v>
      </c>
      <c r="AD259" s="99">
        <v>43999</v>
      </c>
      <c r="AE259" s="99">
        <v>43997</v>
      </c>
      <c r="AF259" s="99">
        <v>43997</v>
      </c>
      <c r="AG259" s="99" t="s">
        <v>176</v>
      </c>
      <c r="AH259" s="100">
        <v>1</v>
      </c>
      <c r="AI259" s="100">
        <v>1</v>
      </c>
      <c r="AJ259" s="100">
        <v>1</v>
      </c>
      <c r="AK259" s="157" t="s">
        <v>150</v>
      </c>
      <c r="AL259" s="134"/>
      <c r="AM259" s="15"/>
      <c r="AN259" s="15"/>
    </row>
    <row r="260" spans="2:40" x14ac:dyDescent="0.25">
      <c r="B260" s="133">
        <v>201</v>
      </c>
      <c r="C260" s="16">
        <v>20200612</v>
      </c>
      <c r="D260" s="16" t="s">
        <v>3</v>
      </c>
      <c r="E260" s="141" t="s">
        <v>871</v>
      </c>
      <c r="F260" s="98" t="s">
        <v>1556</v>
      </c>
      <c r="G260" s="52"/>
      <c r="H260" s="16" t="s">
        <v>1686</v>
      </c>
      <c r="I260" s="16" t="s">
        <v>1621</v>
      </c>
      <c r="J260" s="16" t="s">
        <v>835</v>
      </c>
      <c r="K260" s="52"/>
      <c r="L260" s="98" t="s">
        <v>933</v>
      </c>
      <c r="M260" s="52"/>
      <c r="N260" s="16" t="s">
        <v>1711</v>
      </c>
      <c r="O260" s="98"/>
      <c r="P260" s="98" t="s">
        <v>1704</v>
      </c>
      <c r="Q260" s="18"/>
      <c r="R260" s="16" t="s">
        <v>1723</v>
      </c>
      <c r="S260" s="16" t="s">
        <v>65</v>
      </c>
      <c r="T260" s="16"/>
      <c r="U260" s="16"/>
      <c r="V260" s="16"/>
      <c r="W260" s="16">
        <f>ROUND(IF(D260=Table!$C$3,Y260*Table!$C$4/8,Y260*Table!$D$4/8),3)</f>
        <v>112.5</v>
      </c>
      <c r="X260" s="16">
        <f t="shared" si="27"/>
        <v>112.5</v>
      </c>
      <c r="Y260" s="16">
        <v>2</v>
      </c>
      <c r="Z260" s="16">
        <v>1</v>
      </c>
      <c r="AA260" s="16" t="s">
        <v>21</v>
      </c>
      <c r="AB260" s="99">
        <v>43999</v>
      </c>
      <c r="AC260" s="99">
        <v>43997</v>
      </c>
      <c r="AD260" s="99">
        <v>43999</v>
      </c>
      <c r="AE260" s="99">
        <v>43997</v>
      </c>
      <c r="AF260" s="99">
        <v>43997</v>
      </c>
      <c r="AG260" s="99" t="s">
        <v>176</v>
      </c>
      <c r="AH260" s="100">
        <v>1</v>
      </c>
      <c r="AI260" s="100">
        <v>1</v>
      </c>
      <c r="AJ260" s="100">
        <v>1</v>
      </c>
      <c r="AK260" s="157" t="s">
        <v>150</v>
      </c>
      <c r="AL260" s="134"/>
      <c r="AM260" s="15"/>
      <c r="AN260" s="15"/>
    </row>
    <row r="261" spans="2:40" x14ac:dyDescent="0.25">
      <c r="B261" s="133">
        <v>202</v>
      </c>
      <c r="C261" s="16">
        <v>20200612</v>
      </c>
      <c r="D261" s="16" t="s">
        <v>3</v>
      </c>
      <c r="E261" s="141" t="s">
        <v>871</v>
      </c>
      <c r="F261" s="98" t="s">
        <v>1556</v>
      </c>
      <c r="G261" s="52"/>
      <c r="H261" s="16" t="s">
        <v>1687</v>
      </c>
      <c r="I261" s="16" t="s">
        <v>1622</v>
      </c>
      <c r="J261" s="16" t="s">
        <v>835</v>
      </c>
      <c r="K261" s="52"/>
      <c r="L261" s="98" t="s">
        <v>933</v>
      </c>
      <c r="M261" s="52"/>
      <c r="N261" s="16" t="s">
        <v>1711</v>
      </c>
      <c r="O261" s="98"/>
      <c r="P261" s="98" t="s">
        <v>1704</v>
      </c>
      <c r="Q261" s="18"/>
      <c r="R261" s="16" t="s">
        <v>1723</v>
      </c>
      <c r="S261" s="16" t="s">
        <v>65</v>
      </c>
      <c r="T261" s="16"/>
      <c r="U261" s="16"/>
      <c r="V261" s="16"/>
      <c r="W261" s="16">
        <f>ROUND(IF(D261=Table!$C$3,Y261*Table!$C$4/8,Y261*Table!$D$4/8),3)</f>
        <v>112.5</v>
      </c>
      <c r="X261" s="16">
        <f t="shared" si="27"/>
        <v>112.5</v>
      </c>
      <c r="Y261" s="16">
        <v>2</v>
      </c>
      <c r="Z261" s="16">
        <v>1</v>
      </c>
      <c r="AA261" s="16" t="s">
        <v>21</v>
      </c>
      <c r="AB261" s="99">
        <v>43999</v>
      </c>
      <c r="AC261" s="99">
        <v>43997</v>
      </c>
      <c r="AD261" s="99">
        <v>43999</v>
      </c>
      <c r="AE261" s="99">
        <v>43997</v>
      </c>
      <c r="AF261" s="99">
        <v>43997</v>
      </c>
      <c r="AG261" s="99" t="s">
        <v>176</v>
      </c>
      <c r="AH261" s="100">
        <v>1</v>
      </c>
      <c r="AI261" s="100">
        <v>1</v>
      </c>
      <c r="AJ261" s="100">
        <v>1</v>
      </c>
      <c r="AK261" s="157" t="s">
        <v>150</v>
      </c>
      <c r="AL261" s="134"/>
      <c r="AM261" s="15"/>
      <c r="AN261" s="15"/>
    </row>
    <row r="262" spans="2:40" x14ac:dyDescent="0.25">
      <c r="B262" s="133">
        <v>203</v>
      </c>
      <c r="C262" s="16">
        <v>20200612</v>
      </c>
      <c r="D262" s="16" t="s">
        <v>3</v>
      </c>
      <c r="E262" s="141" t="s">
        <v>871</v>
      </c>
      <c r="F262" s="98" t="s">
        <v>1556</v>
      </c>
      <c r="G262" s="52"/>
      <c r="H262" s="16" t="s">
        <v>1688</v>
      </c>
      <c r="I262" s="16" t="s">
        <v>1623</v>
      </c>
      <c r="J262" s="16" t="s">
        <v>835</v>
      </c>
      <c r="K262" s="52"/>
      <c r="L262" s="98" t="s">
        <v>933</v>
      </c>
      <c r="M262" s="52"/>
      <c r="N262" s="16" t="s">
        <v>1711</v>
      </c>
      <c r="O262" s="98"/>
      <c r="P262" s="98" t="s">
        <v>1704</v>
      </c>
      <c r="Q262" s="18"/>
      <c r="R262" s="16" t="s">
        <v>1723</v>
      </c>
      <c r="S262" s="16" t="s">
        <v>65</v>
      </c>
      <c r="T262" s="16"/>
      <c r="U262" s="16"/>
      <c r="V262" s="16"/>
      <c r="W262" s="16">
        <f>ROUND(IF(D262=Table!$C$3,Y262*Table!$C$4/8,Y262*Table!$D$4/8),3)</f>
        <v>72</v>
      </c>
      <c r="X262" s="16">
        <f t="shared" si="27"/>
        <v>72</v>
      </c>
      <c r="Y262" s="16">
        <v>1.28</v>
      </c>
      <c r="Z262" s="16">
        <v>1</v>
      </c>
      <c r="AA262" s="16" t="s">
        <v>21</v>
      </c>
      <c r="AB262" s="99">
        <v>43999</v>
      </c>
      <c r="AC262" s="99">
        <v>43997</v>
      </c>
      <c r="AD262" s="99">
        <v>43999</v>
      </c>
      <c r="AE262" s="99">
        <v>43997</v>
      </c>
      <c r="AF262" s="99">
        <v>43997</v>
      </c>
      <c r="AG262" s="99" t="s">
        <v>176</v>
      </c>
      <c r="AH262" s="100">
        <v>1</v>
      </c>
      <c r="AI262" s="100">
        <v>1</v>
      </c>
      <c r="AJ262" s="100">
        <v>1</v>
      </c>
      <c r="AK262" s="157" t="s">
        <v>150</v>
      </c>
      <c r="AL262" s="134"/>
      <c r="AM262" s="15"/>
      <c r="AN262" s="15"/>
    </row>
    <row r="263" spans="2:40" x14ac:dyDescent="0.25">
      <c r="B263" s="133">
        <v>204</v>
      </c>
      <c r="C263" s="16">
        <v>20200612</v>
      </c>
      <c r="D263" s="16" t="s">
        <v>3</v>
      </c>
      <c r="E263" s="141" t="s">
        <v>871</v>
      </c>
      <c r="F263" s="98" t="s">
        <v>1556</v>
      </c>
      <c r="G263" s="52"/>
      <c r="H263" s="16" t="s">
        <v>1689</v>
      </c>
      <c r="I263" s="16" t="s">
        <v>1624</v>
      </c>
      <c r="J263" s="16" t="s">
        <v>908</v>
      </c>
      <c r="K263" s="52"/>
      <c r="L263" s="98" t="s">
        <v>933</v>
      </c>
      <c r="M263" s="52"/>
      <c r="N263" s="16" t="s">
        <v>1711</v>
      </c>
      <c r="O263" s="98"/>
      <c r="P263" s="98" t="s">
        <v>1710</v>
      </c>
      <c r="Q263" s="18"/>
      <c r="R263" s="16" t="s">
        <v>1723</v>
      </c>
      <c r="S263" s="16" t="s">
        <v>65</v>
      </c>
      <c r="T263" s="16"/>
      <c r="U263" s="16"/>
      <c r="V263" s="16"/>
      <c r="W263" s="16">
        <f>ROUND(IF(D263=Table!$C$3,Y263*Table!$C$4/8,Y263*Table!$D$4/8),3)</f>
        <v>63</v>
      </c>
      <c r="X263" s="16">
        <f t="shared" si="27"/>
        <v>63</v>
      </c>
      <c r="Y263" s="16">
        <v>1.1200000000000001</v>
      </c>
      <c r="Z263" s="16">
        <v>1</v>
      </c>
      <c r="AA263" s="16" t="s">
        <v>21</v>
      </c>
      <c r="AB263" s="99">
        <v>43999</v>
      </c>
      <c r="AC263" s="99">
        <v>43997</v>
      </c>
      <c r="AD263" s="99">
        <v>43999</v>
      </c>
      <c r="AE263" s="99">
        <v>43997</v>
      </c>
      <c r="AF263" s="99">
        <v>43997</v>
      </c>
      <c r="AG263" s="99" t="s">
        <v>176</v>
      </c>
      <c r="AH263" s="100">
        <v>1</v>
      </c>
      <c r="AI263" s="100">
        <v>1</v>
      </c>
      <c r="AJ263" s="100">
        <v>1</v>
      </c>
      <c r="AK263" s="157" t="s">
        <v>150</v>
      </c>
      <c r="AL263" s="134"/>
      <c r="AM263" s="15"/>
      <c r="AN263" s="15"/>
    </row>
    <row r="264" spans="2:40" x14ac:dyDescent="0.25">
      <c r="B264" s="133">
        <v>205</v>
      </c>
      <c r="C264" s="16">
        <v>20200612</v>
      </c>
      <c r="D264" s="16" t="s">
        <v>3</v>
      </c>
      <c r="E264" s="141" t="s">
        <v>871</v>
      </c>
      <c r="F264" s="98" t="s">
        <v>1556</v>
      </c>
      <c r="G264" s="52"/>
      <c r="H264" s="16" t="s">
        <v>1690</v>
      </c>
      <c r="I264" s="16" t="s">
        <v>1625</v>
      </c>
      <c r="J264" s="16" t="s">
        <v>908</v>
      </c>
      <c r="K264" s="52"/>
      <c r="L264" s="98" t="s">
        <v>933</v>
      </c>
      <c r="M264" s="52"/>
      <c r="N264" s="16" t="s">
        <v>1711</v>
      </c>
      <c r="O264" s="98"/>
      <c r="P264" s="98" t="s">
        <v>1707</v>
      </c>
      <c r="Q264" s="18"/>
      <c r="R264" s="16" t="s">
        <v>1723</v>
      </c>
      <c r="S264" s="16" t="s">
        <v>65</v>
      </c>
      <c r="T264" s="16"/>
      <c r="U264" s="16"/>
      <c r="V264" s="16"/>
      <c r="W264" s="16">
        <f>ROUND(IF(D264=Table!$C$3,Y264*Table!$C$4/8,Y264*Table!$D$4/8),3)</f>
        <v>76.5</v>
      </c>
      <c r="X264" s="16">
        <f t="shared" si="27"/>
        <v>76.5</v>
      </c>
      <c r="Y264" s="16">
        <v>1.36</v>
      </c>
      <c r="Z264" s="16">
        <v>1</v>
      </c>
      <c r="AA264" s="16" t="s">
        <v>21</v>
      </c>
      <c r="AB264" s="99">
        <v>43999</v>
      </c>
      <c r="AC264" s="99">
        <v>43997</v>
      </c>
      <c r="AD264" s="99">
        <v>43999</v>
      </c>
      <c r="AE264" s="99">
        <v>43997</v>
      </c>
      <c r="AF264" s="99">
        <v>43997</v>
      </c>
      <c r="AG264" s="99" t="s">
        <v>176</v>
      </c>
      <c r="AH264" s="100">
        <v>1</v>
      </c>
      <c r="AI264" s="100">
        <v>1</v>
      </c>
      <c r="AJ264" s="100">
        <v>1</v>
      </c>
      <c r="AK264" s="157" t="s">
        <v>150</v>
      </c>
      <c r="AL264" s="134"/>
      <c r="AM264" s="15"/>
      <c r="AN264" s="15"/>
    </row>
    <row r="265" spans="2:40" x14ac:dyDescent="0.25">
      <c r="B265" s="133">
        <v>206</v>
      </c>
      <c r="C265" s="16">
        <v>20200612</v>
      </c>
      <c r="D265" s="16" t="s">
        <v>3</v>
      </c>
      <c r="E265" s="141" t="s">
        <v>871</v>
      </c>
      <c r="F265" s="98" t="s">
        <v>1556</v>
      </c>
      <c r="G265" s="52"/>
      <c r="H265" s="16" t="s">
        <v>1691</v>
      </c>
      <c r="I265" s="16" t="s">
        <v>1626</v>
      </c>
      <c r="J265" s="16" t="s">
        <v>908</v>
      </c>
      <c r="K265" s="52"/>
      <c r="L265" s="98" t="s">
        <v>933</v>
      </c>
      <c r="M265" s="52"/>
      <c r="N265" s="16" t="s">
        <v>1711</v>
      </c>
      <c r="O265" s="98"/>
      <c r="P265" s="98" t="s">
        <v>1708</v>
      </c>
      <c r="Q265" s="18"/>
      <c r="R265" s="16" t="s">
        <v>1723</v>
      </c>
      <c r="S265" s="16" t="s">
        <v>65</v>
      </c>
      <c r="T265" s="16"/>
      <c r="U265" s="16"/>
      <c r="V265" s="16"/>
      <c r="W265" s="16">
        <f>ROUND(IF(D265=Table!$C$3,Y265*Table!$C$4/8,Y265*Table!$D$4/8),3)</f>
        <v>63</v>
      </c>
      <c r="X265" s="16">
        <f t="shared" si="27"/>
        <v>63</v>
      </c>
      <c r="Y265" s="16">
        <v>1.1200000000000001</v>
      </c>
      <c r="Z265" s="16">
        <v>1</v>
      </c>
      <c r="AA265" s="16" t="s">
        <v>21</v>
      </c>
      <c r="AB265" s="99">
        <v>43999</v>
      </c>
      <c r="AC265" s="99">
        <v>43997</v>
      </c>
      <c r="AD265" s="99">
        <v>43999</v>
      </c>
      <c r="AE265" s="99">
        <v>43997</v>
      </c>
      <c r="AF265" s="99">
        <v>43997</v>
      </c>
      <c r="AG265" s="99" t="s">
        <v>176</v>
      </c>
      <c r="AH265" s="100">
        <v>1</v>
      </c>
      <c r="AI265" s="100">
        <v>1</v>
      </c>
      <c r="AJ265" s="100">
        <v>1</v>
      </c>
      <c r="AK265" s="157" t="s">
        <v>150</v>
      </c>
      <c r="AL265" s="134"/>
      <c r="AM265" s="15"/>
      <c r="AN265" s="15"/>
    </row>
    <row r="266" spans="2:40" x14ac:dyDescent="0.25">
      <c r="B266" s="133">
        <v>207</v>
      </c>
      <c r="C266" s="16">
        <v>20200612</v>
      </c>
      <c r="D266" s="16" t="s">
        <v>3</v>
      </c>
      <c r="E266" s="141" t="s">
        <v>871</v>
      </c>
      <c r="F266" s="98" t="s">
        <v>1556</v>
      </c>
      <c r="G266" s="52"/>
      <c r="H266" s="16" t="s">
        <v>1692</v>
      </c>
      <c r="I266" s="16" t="s">
        <v>1627</v>
      </c>
      <c r="J266" s="16" t="s">
        <v>908</v>
      </c>
      <c r="K266" s="52"/>
      <c r="L266" s="98" t="s">
        <v>933</v>
      </c>
      <c r="M266" s="52"/>
      <c r="N266" s="16" t="s">
        <v>1711</v>
      </c>
      <c r="O266" s="98"/>
      <c r="P266" s="98" t="s">
        <v>1704</v>
      </c>
      <c r="Q266" s="18"/>
      <c r="R266" s="16" t="s">
        <v>1723</v>
      </c>
      <c r="S266" s="16" t="s">
        <v>65</v>
      </c>
      <c r="T266" s="16"/>
      <c r="U266" s="16"/>
      <c r="V266" s="16"/>
      <c r="W266" s="16">
        <f>ROUND(IF(D266=Table!$C$3,Y266*Table!$C$4/8,Y266*Table!$D$4/8),3)</f>
        <v>63</v>
      </c>
      <c r="X266" s="16">
        <f t="shared" si="27"/>
        <v>63</v>
      </c>
      <c r="Y266" s="16">
        <v>1.1200000000000001</v>
      </c>
      <c r="Z266" s="16">
        <v>1</v>
      </c>
      <c r="AA266" s="16" t="s">
        <v>21</v>
      </c>
      <c r="AB266" s="99">
        <v>43999</v>
      </c>
      <c r="AC266" s="99">
        <v>43997</v>
      </c>
      <c r="AD266" s="99">
        <v>43999</v>
      </c>
      <c r="AE266" s="99">
        <v>43997</v>
      </c>
      <c r="AF266" s="99">
        <v>43997</v>
      </c>
      <c r="AG266" s="99" t="s">
        <v>176</v>
      </c>
      <c r="AH266" s="100">
        <v>1</v>
      </c>
      <c r="AI266" s="100">
        <v>1</v>
      </c>
      <c r="AJ266" s="100">
        <v>1</v>
      </c>
      <c r="AK266" s="157" t="s">
        <v>150</v>
      </c>
      <c r="AL266" s="134"/>
      <c r="AM266" s="15"/>
      <c r="AN266" s="15"/>
    </row>
    <row r="267" spans="2:40" x14ac:dyDescent="0.25">
      <c r="B267" s="133">
        <v>208</v>
      </c>
      <c r="C267" s="16">
        <v>20200612</v>
      </c>
      <c r="D267" s="16" t="s">
        <v>3</v>
      </c>
      <c r="E267" s="141" t="s">
        <v>871</v>
      </c>
      <c r="F267" s="98" t="s">
        <v>1556</v>
      </c>
      <c r="G267" s="52"/>
      <c r="H267" s="16" t="s">
        <v>1693</v>
      </c>
      <c r="I267" s="16" t="s">
        <v>1628</v>
      </c>
      <c r="J267" s="16" t="s">
        <v>908</v>
      </c>
      <c r="K267" s="52"/>
      <c r="L267" s="98" t="s">
        <v>933</v>
      </c>
      <c r="M267" s="52"/>
      <c r="N267" s="16" t="s">
        <v>1711</v>
      </c>
      <c r="O267" s="98"/>
      <c r="P267" s="98" t="s">
        <v>1710</v>
      </c>
      <c r="Q267" s="18"/>
      <c r="R267" s="16" t="s">
        <v>1723</v>
      </c>
      <c r="S267" s="16" t="s">
        <v>65</v>
      </c>
      <c r="T267" s="16"/>
      <c r="U267" s="16"/>
      <c r="V267" s="16"/>
      <c r="W267" s="16">
        <f>ROUND(IF(D267=Table!$C$3,Y267*Table!$C$4/8,Y267*Table!$D$4/8),3)</f>
        <v>112.5</v>
      </c>
      <c r="X267" s="16">
        <f t="shared" si="27"/>
        <v>112.5</v>
      </c>
      <c r="Y267" s="16">
        <v>2</v>
      </c>
      <c r="Z267" s="16">
        <v>1</v>
      </c>
      <c r="AA267" s="16" t="s">
        <v>21</v>
      </c>
      <c r="AB267" s="99">
        <v>43999</v>
      </c>
      <c r="AC267" s="99">
        <v>43997</v>
      </c>
      <c r="AD267" s="99">
        <v>43999</v>
      </c>
      <c r="AE267" s="99">
        <v>43997</v>
      </c>
      <c r="AF267" s="99">
        <v>43997</v>
      </c>
      <c r="AG267" s="99" t="s">
        <v>176</v>
      </c>
      <c r="AH267" s="100">
        <v>1</v>
      </c>
      <c r="AI267" s="100">
        <v>1</v>
      </c>
      <c r="AJ267" s="100">
        <v>1</v>
      </c>
      <c r="AK267" s="157" t="s">
        <v>150</v>
      </c>
      <c r="AL267" s="134"/>
      <c r="AM267" s="15"/>
      <c r="AN267" s="15"/>
    </row>
    <row r="268" spans="2:40" x14ac:dyDescent="0.25">
      <c r="B268" s="133">
        <v>209</v>
      </c>
      <c r="C268" s="16">
        <v>20200612</v>
      </c>
      <c r="D268" s="16" t="s">
        <v>3</v>
      </c>
      <c r="E268" s="141" t="s">
        <v>871</v>
      </c>
      <c r="F268" s="98" t="s">
        <v>1556</v>
      </c>
      <c r="G268" s="52"/>
      <c r="H268" s="16" t="s">
        <v>1694</v>
      </c>
      <c r="I268" s="16" t="s">
        <v>1629</v>
      </c>
      <c r="J268" s="16" t="s">
        <v>908</v>
      </c>
      <c r="K268" s="52"/>
      <c r="L268" s="98" t="s">
        <v>933</v>
      </c>
      <c r="M268" s="52"/>
      <c r="N268" s="16" t="s">
        <v>1711</v>
      </c>
      <c r="O268" s="98"/>
      <c r="P268" s="98" t="s">
        <v>1707</v>
      </c>
      <c r="Q268" s="18"/>
      <c r="R268" s="16" t="s">
        <v>1723</v>
      </c>
      <c r="S268" s="16" t="s">
        <v>65</v>
      </c>
      <c r="T268" s="16"/>
      <c r="U268" s="16"/>
      <c r="V268" s="16"/>
      <c r="W268" s="16">
        <f>ROUND(IF(D268=Table!$C$3,Y268*Table!$C$4/8,Y268*Table!$D$4/8),3)</f>
        <v>85.5</v>
      </c>
      <c r="X268" s="16">
        <f t="shared" si="27"/>
        <v>85.5</v>
      </c>
      <c r="Y268" s="16">
        <v>1.52</v>
      </c>
      <c r="Z268" s="16">
        <v>1</v>
      </c>
      <c r="AA268" s="16" t="s">
        <v>21</v>
      </c>
      <c r="AB268" s="99">
        <v>43999</v>
      </c>
      <c r="AC268" s="99">
        <v>43997</v>
      </c>
      <c r="AD268" s="99">
        <v>43999</v>
      </c>
      <c r="AE268" s="99">
        <v>43997</v>
      </c>
      <c r="AF268" s="99">
        <v>43997</v>
      </c>
      <c r="AG268" s="99" t="s">
        <v>176</v>
      </c>
      <c r="AH268" s="100">
        <v>1</v>
      </c>
      <c r="AI268" s="100">
        <v>1</v>
      </c>
      <c r="AJ268" s="100">
        <v>1</v>
      </c>
      <c r="AK268" s="157" t="s">
        <v>150</v>
      </c>
      <c r="AL268" s="134"/>
      <c r="AM268" s="15"/>
      <c r="AN268" s="15"/>
    </row>
    <row r="269" spans="2:40" x14ac:dyDescent="0.25">
      <c r="B269" s="133">
        <v>210</v>
      </c>
      <c r="C269" s="16">
        <v>20200612</v>
      </c>
      <c r="D269" s="16" t="s">
        <v>3</v>
      </c>
      <c r="E269" s="141" t="s">
        <v>871</v>
      </c>
      <c r="F269" s="98" t="s">
        <v>1556</v>
      </c>
      <c r="G269" s="52"/>
      <c r="H269" s="16" t="s">
        <v>1695</v>
      </c>
      <c r="I269" s="16" t="s">
        <v>1630</v>
      </c>
      <c r="J269" s="16" t="s">
        <v>835</v>
      </c>
      <c r="K269" s="52"/>
      <c r="L269" s="98" t="s">
        <v>933</v>
      </c>
      <c r="M269" s="52"/>
      <c r="N269" s="16" t="s">
        <v>1711</v>
      </c>
      <c r="O269" s="98"/>
      <c r="P269" s="98" t="s">
        <v>1706</v>
      </c>
      <c r="Q269" s="18"/>
      <c r="R269" s="16" t="s">
        <v>1723</v>
      </c>
      <c r="S269" s="16" t="s">
        <v>65</v>
      </c>
      <c r="T269" s="16"/>
      <c r="U269" s="16"/>
      <c r="V269" s="16"/>
      <c r="W269" s="16">
        <f>ROUND(IF(D269=Table!$C$3,Y269*Table!$C$4/8,Y269*Table!$D$4/8),3)</f>
        <v>76.5</v>
      </c>
      <c r="X269" s="16">
        <f t="shared" si="27"/>
        <v>76.5</v>
      </c>
      <c r="Y269" s="16">
        <v>1.36</v>
      </c>
      <c r="Z269" s="16">
        <v>1</v>
      </c>
      <c r="AA269" s="16" t="s">
        <v>21</v>
      </c>
      <c r="AB269" s="99">
        <v>43999</v>
      </c>
      <c r="AC269" s="99">
        <v>43997</v>
      </c>
      <c r="AD269" s="99">
        <v>43999</v>
      </c>
      <c r="AE269" s="99">
        <v>43997</v>
      </c>
      <c r="AF269" s="99">
        <v>43997</v>
      </c>
      <c r="AG269" s="99" t="s">
        <v>176</v>
      </c>
      <c r="AH269" s="100">
        <v>1</v>
      </c>
      <c r="AI269" s="100">
        <v>1</v>
      </c>
      <c r="AJ269" s="100">
        <v>0.6</v>
      </c>
      <c r="AK269" s="157" t="s">
        <v>150</v>
      </c>
      <c r="AL269" s="134"/>
      <c r="AM269" s="15"/>
      <c r="AN269" s="15"/>
    </row>
    <row r="270" spans="2:40" x14ac:dyDescent="0.25">
      <c r="B270" s="255">
        <v>211</v>
      </c>
      <c r="C270" s="16">
        <v>20200616</v>
      </c>
      <c r="D270" s="16" t="s">
        <v>2</v>
      </c>
      <c r="E270" s="141" t="s">
        <v>871</v>
      </c>
      <c r="F270" s="98" t="s">
        <v>1777</v>
      </c>
      <c r="G270" s="52"/>
      <c r="H270" s="16" t="s">
        <v>1795</v>
      </c>
      <c r="I270" s="16" t="s">
        <v>1748</v>
      </c>
      <c r="J270" s="16" t="s">
        <v>835</v>
      </c>
      <c r="K270" s="52"/>
      <c r="L270" s="98" t="s">
        <v>61</v>
      </c>
      <c r="M270" s="52"/>
      <c r="N270" s="16" t="s">
        <v>1824</v>
      </c>
      <c r="O270" s="98" t="s">
        <v>942</v>
      </c>
      <c r="P270" s="98" t="s">
        <v>1786</v>
      </c>
      <c r="Q270" s="18"/>
      <c r="R270" s="256" t="s">
        <v>1831</v>
      </c>
      <c r="S270" s="16" t="s">
        <v>64</v>
      </c>
      <c r="T270" s="16"/>
      <c r="U270" s="16"/>
      <c r="V270" s="16"/>
      <c r="W270" s="16">
        <f>ROUND(IF(D270=Table!$C$3,Y270*Table!$C$4/8,Y270*Table!$D$4/8),3)</f>
        <v>45.747</v>
      </c>
      <c r="X270" s="16">
        <f t="shared" ref="X270:X283" si="28">W270</f>
        <v>45.747</v>
      </c>
      <c r="Y270" s="16">
        <v>2.8152000000000008</v>
      </c>
      <c r="Z270" s="16">
        <v>1</v>
      </c>
      <c r="AA270" s="16" t="s">
        <v>21</v>
      </c>
      <c r="AB270" s="99">
        <v>44000</v>
      </c>
      <c r="AC270" s="99">
        <v>43999</v>
      </c>
      <c r="AD270" s="99">
        <v>44000</v>
      </c>
      <c r="AE270" s="99">
        <v>43999</v>
      </c>
      <c r="AF270" s="99">
        <v>43999</v>
      </c>
      <c r="AG270" s="99" t="s">
        <v>176</v>
      </c>
      <c r="AH270" s="100">
        <v>1</v>
      </c>
      <c r="AI270" s="100">
        <v>1</v>
      </c>
      <c r="AJ270" s="100">
        <v>1</v>
      </c>
      <c r="AK270" s="157" t="s">
        <v>150</v>
      </c>
      <c r="AL270" s="134"/>
      <c r="AM270" s="15"/>
      <c r="AN270" s="15"/>
    </row>
    <row r="271" spans="2:40" x14ac:dyDescent="0.25">
      <c r="B271" s="255">
        <v>212</v>
      </c>
      <c r="C271" s="16">
        <v>20200616</v>
      </c>
      <c r="D271" s="16" t="s">
        <v>2</v>
      </c>
      <c r="E271" s="141" t="s">
        <v>871</v>
      </c>
      <c r="F271" s="98" t="s">
        <v>1777</v>
      </c>
      <c r="G271" s="52"/>
      <c r="H271" s="16" t="s">
        <v>1796</v>
      </c>
      <c r="I271" s="16" t="s">
        <v>1749</v>
      </c>
      <c r="J271" s="16" t="s">
        <v>835</v>
      </c>
      <c r="K271" s="52"/>
      <c r="L271" s="98" t="s">
        <v>61</v>
      </c>
      <c r="M271" s="52"/>
      <c r="N271" s="16" t="s">
        <v>1824</v>
      </c>
      <c r="O271" s="98" t="s">
        <v>942</v>
      </c>
      <c r="P271" s="98" t="s">
        <v>1786</v>
      </c>
      <c r="Q271" s="18"/>
      <c r="R271" s="256" t="s">
        <v>1831</v>
      </c>
      <c r="S271" s="16" t="s">
        <v>64</v>
      </c>
      <c r="T271" s="16"/>
      <c r="U271" s="16"/>
      <c r="V271" s="16"/>
      <c r="W271" s="16">
        <f>ROUND(IF(D271=Table!$C$3,Y271*Table!$C$4/8,Y271*Table!$D$4/8),3)</f>
        <v>36.4</v>
      </c>
      <c r="X271" s="16">
        <f t="shared" si="28"/>
        <v>36.4</v>
      </c>
      <c r="Y271" s="16">
        <v>2.2399999999999998</v>
      </c>
      <c r="Z271" s="16">
        <v>1</v>
      </c>
      <c r="AA271" s="16" t="s">
        <v>21</v>
      </c>
      <c r="AB271" s="99">
        <v>44000</v>
      </c>
      <c r="AC271" s="99">
        <v>43999</v>
      </c>
      <c r="AD271" s="99">
        <v>44000</v>
      </c>
      <c r="AE271" s="99">
        <v>43999</v>
      </c>
      <c r="AF271" s="99">
        <v>43999</v>
      </c>
      <c r="AG271" s="99" t="s">
        <v>176</v>
      </c>
      <c r="AH271" s="100">
        <v>1</v>
      </c>
      <c r="AI271" s="100">
        <v>1</v>
      </c>
      <c r="AJ271" s="100">
        <v>1</v>
      </c>
      <c r="AK271" s="157" t="s">
        <v>150</v>
      </c>
      <c r="AL271" s="134"/>
      <c r="AM271" s="15"/>
      <c r="AN271" s="15"/>
    </row>
    <row r="272" spans="2:40" x14ac:dyDescent="0.25">
      <c r="B272" s="255">
        <v>213</v>
      </c>
      <c r="C272" s="16">
        <v>20200616</v>
      </c>
      <c r="D272" s="16" t="s">
        <v>2</v>
      </c>
      <c r="E272" s="141" t="s">
        <v>871</v>
      </c>
      <c r="F272" s="98" t="s">
        <v>1777</v>
      </c>
      <c r="G272" s="52"/>
      <c r="H272" s="16" t="s">
        <v>1797</v>
      </c>
      <c r="I272" s="16" t="s">
        <v>1750</v>
      </c>
      <c r="J272" s="16" t="s">
        <v>835</v>
      </c>
      <c r="K272" s="52"/>
      <c r="L272" s="98" t="s">
        <v>61</v>
      </c>
      <c r="M272" s="52"/>
      <c r="N272" s="16" t="s">
        <v>1824</v>
      </c>
      <c r="O272" s="98" t="s">
        <v>942</v>
      </c>
      <c r="P272" s="98" t="s">
        <v>1786</v>
      </c>
      <c r="Q272" s="18"/>
      <c r="R272" s="256" t="s">
        <v>1831</v>
      </c>
      <c r="S272" s="16" t="s">
        <v>64</v>
      </c>
      <c r="T272" s="16"/>
      <c r="U272" s="16"/>
      <c r="V272" s="16"/>
      <c r="W272" s="16">
        <f>ROUND(IF(D272=Table!$C$3,Y272*Table!$C$4/8,Y272*Table!$D$4/8),3)</f>
        <v>45.747</v>
      </c>
      <c r="X272" s="16">
        <f t="shared" si="28"/>
        <v>45.747</v>
      </c>
      <c r="Y272" s="16">
        <v>2.8152000000000008</v>
      </c>
      <c r="Z272" s="16">
        <v>1</v>
      </c>
      <c r="AA272" s="16" t="s">
        <v>21</v>
      </c>
      <c r="AB272" s="99">
        <v>44000</v>
      </c>
      <c r="AC272" s="99">
        <v>43999</v>
      </c>
      <c r="AD272" s="99">
        <v>44000</v>
      </c>
      <c r="AE272" s="99">
        <v>43999</v>
      </c>
      <c r="AF272" s="99">
        <v>43999</v>
      </c>
      <c r="AG272" s="99" t="s">
        <v>176</v>
      </c>
      <c r="AH272" s="100">
        <v>0.88900000000000001</v>
      </c>
      <c r="AI272" s="100">
        <v>0.90900000000000003</v>
      </c>
      <c r="AJ272" s="100">
        <v>1</v>
      </c>
      <c r="AK272" s="157" t="s">
        <v>150</v>
      </c>
      <c r="AL272" s="257" t="s">
        <v>1503</v>
      </c>
      <c r="AM272" s="15"/>
      <c r="AN272" s="15"/>
    </row>
    <row r="273" spans="2:40" x14ac:dyDescent="0.25">
      <c r="B273" s="255">
        <v>214</v>
      </c>
      <c r="C273" s="16">
        <v>20200616</v>
      </c>
      <c r="D273" s="16" t="s">
        <v>2</v>
      </c>
      <c r="E273" s="141" t="s">
        <v>871</v>
      </c>
      <c r="F273" s="98" t="s">
        <v>1777</v>
      </c>
      <c r="G273" s="52"/>
      <c r="H273" s="16" t="s">
        <v>1798</v>
      </c>
      <c r="I273" s="248" t="s">
        <v>1751</v>
      </c>
      <c r="J273" s="16" t="s">
        <v>835</v>
      </c>
      <c r="K273" s="52"/>
      <c r="L273" s="98" t="s">
        <v>61</v>
      </c>
      <c r="M273" s="52"/>
      <c r="N273" s="16" t="s">
        <v>1824</v>
      </c>
      <c r="O273" s="98" t="s">
        <v>942</v>
      </c>
      <c r="P273" s="98" t="s">
        <v>1786</v>
      </c>
      <c r="Q273" s="18"/>
      <c r="R273" s="256" t="s">
        <v>1831</v>
      </c>
      <c r="S273" s="16" t="s">
        <v>64</v>
      </c>
      <c r="T273" s="16"/>
      <c r="U273" s="16"/>
      <c r="V273" s="16"/>
      <c r="W273" s="16">
        <f>ROUND(IF(D273=Table!$C$3,Y273*Table!$C$4/8,Y273*Table!$D$4/8),3)</f>
        <v>41.6</v>
      </c>
      <c r="X273" s="16">
        <f t="shared" si="28"/>
        <v>41.6</v>
      </c>
      <c r="Y273" s="16">
        <v>2.5600000000000005</v>
      </c>
      <c r="Z273" s="16">
        <v>1</v>
      </c>
      <c r="AA273" s="16" t="s">
        <v>21</v>
      </c>
      <c r="AB273" s="99">
        <v>44000</v>
      </c>
      <c r="AC273" s="99">
        <v>43999</v>
      </c>
      <c r="AD273" s="99">
        <v>44000</v>
      </c>
      <c r="AE273" s="99">
        <v>43999</v>
      </c>
      <c r="AF273" s="99">
        <v>43999</v>
      </c>
      <c r="AG273" s="99" t="s">
        <v>176</v>
      </c>
      <c r="AH273" s="100">
        <v>1</v>
      </c>
      <c r="AI273" s="100">
        <v>1</v>
      </c>
      <c r="AJ273" s="100">
        <v>1</v>
      </c>
      <c r="AK273" s="157" t="s">
        <v>150</v>
      </c>
      <c r="AL273" s="134"/>
      <c r="AM273" s="15"/>
      <c r="AN273" s="15"/>
    </row>
    <row r="274" spans="2:40" x14ac:dyDescent="0.25">
      <c r="B274" s="255">
        <v>215</v>
      </c>
      <c r="C274" s="16">
        <v>20200616</v>
      </c>
      <c r="D274" s="16" t="s">
        <v>2</v>
      </c>
      <c r="E274" s="141" t="s">
        <v>871</v>
      </c>
      <c r="F274" s="98" t="s">
        <v>1778</v>
      </c>
      <c r="G274" s="52"/>
      <c r="H274" s="16" t="s">
        <v>1799</v>
      </c>
      <c r="I274" s="16" t="s">
        <v>1752</v>
      </c>
      <c r="J274" s="16" t="s">
        <v>908</v>
      </c>
      <c r="K274" s="52"/>
      <c r="L274" s="98" t="s">
        <v>61</v>
      </c>
      <c r="M274" s="52"/>
      <c r="N274" s="16" t="s">
        <v>1824</v>
      </c>
      <c r="O274" s="98" t="s">
        <v>1825</v>
      </c>
      <c r="P274" s="98" t="s">
        <v>1787</v>
      </c>
      <c r="Q274" s="18"/>
      <c r="R274" s="256" t="s">
        <v>1831</v>
      </c>
      <c r="S274" s="16" t="s">
        <v>64</v>
      </c>
      <c r="T274" s="16"/>
      <c r="U274" s="16"/>
      <c r="V274" s="16"/>
      <c r="W274" s="16">
        <f>ROUND(IF(D274=Table!$C$3,Y274*Table!$C$4/8,Y274*Table!$D$4/8),3)</f>
        <v>31.2</v>
      </c>
      <c r="X274" s="16">
        <f t="shared" si="28"/>
        <v>31.2</v>
      </c>
      <c r="Y274" s="16">
        <v>1.92</v>
      </c>
      <c r="Z274" s="16">
        <v>1</v>
      </c>
      <c r="AA274" s="16" t="s">
        <v>21</v>
      </c>
      <c r="AB274" s="99">
        <v>44000</v>
      </c>
      <c r="AC274" s="99">
        <v>43999</v>
      </c>
      <c r="AD274" s="99">
        <v>44000</v>
      </c>
      <c r="AE274" s="99">
        <v>43999</v>
      </c>
      <c r="AF274" s="99">
        <v>43999</v>
      </c>
      <c r="AG274" s="99" t="s">
        <v>176</v>
      </c>
      <c r="AH274" s="100">
        <v>1</v>
      </c>
      <c r="AI274" s="100">
        <v>1</v>
      </c>
      <c r="AJ274" s="100">
        <v>1</v>
      </c>
      <c r="AK274" s="157" t="s">
        <v>150</v>
      </c>
      <c r="AL274" s="134"/>
      <c r="AM274" s="15"/>
      <c r="AN274" s="15"/>
    </row>
    <row r="275" spans="2:40" x14ac:dyDescent="0.25">
      <c r="B275" s="255">
        <v>216</v>
      </c>
      <c r="C275" s="16">
        <v>20200616</v>
      </c>
      <c r="D275" s="16" t="s">
        <v>2</v>
      </c>
      <c r="E275" s="141" t="s">
        <v>871</v>
      </c>
      <c r="F275" s="98" t="s">
        <v>1778</v>
      </c>
      <c r="G275" s="52"/>
      <c r="H275" s="16" t="s">
        <v>1800</v>
      </c>
      <c r="I275" s="16" t="s">
        <v>1753</v>
      </c>
      <c r="J275" s="16" t="s">
        <v>835</v>
      </c>
      <c r="K275" s="52"/>
      <c r="L275" s="98" t="s">
        <v>61</v>
      </c>
      <c r="M275" s="52"/>
      <c r="N275" s="16" t="s">
        <v>1824</v>
      </c>
      <c r="O275" s="98" t="s">
        <v>942</v>
      </c>
      <c r="P275" s="98" t="s">
        <v>1787</v>
      </c>
      <c r="Q275" s="18"/>
      <c r="R275" s="256" t="s">
        <v>1831</v>
      </c>
      <c r="S275" s="16" t="s">
        <v>64</v>
      </c>
      <c r="T275" s="16"/>
      <c r="U275" s="16"/>
      <c r="V275" s="16"/>
      <c r="W275" s="16">
        <f>ROUND(IF(D275=Table!$C$3,Y275*Table!$C$4/8,Y275*Table!$D$4/8),3)</f>
        <v>31.2</v>
      </c>
      <c r="X275" s="16">
        <f t="shared" si="28"/>
        <v>31.2</v>
      </c>
      <c r="Y275" s="16">
        <v>1.92</v>
      </c>
      <c r="Z275" s="16">
        <v>1</v>
      </c>
      <c r="AA275" s="16" t="s">
        <v>21</v>
      </c>
      <c r="AB275" s="99">
        <v>44000</v>
      </c>
      <c r="AC275" s="99">
        <v>43999</v>
      </c>
      <c r="AD275" s="99">
        <v>44000</v>
      </c>
      <c r="AE275" s="99">
        <v>43999</v>
      </c>
      <c r="AF275" s="99">
        <v>43999</v>
      </c>
      <c r="AG275" s="99" t="s">
        <v>177</v>
      </c>
      <c r="AH275" s="100">
        <v>0.875</v>
      </c>
      <c r="AI275" s="100">
        <v>0.875</v>
      </c>
      <c r="AJ275" s="100" t="s">
        <v>1423</v>
      </c>
      <c r="AK275" s="157" t="s">
        <v>150</v>
      </c>
      <c r="AL275" s="257" t="s">
        <v>1835</v>
      </c>
      <c r="AM275" s="15"/>
      <c r="AN275" s="15"/>
    </row>
    <row r="276" spans="2:40" x14ac:dyDescent="0.25">
      <c r="B276" s="255">
        <v>217</v>
      </c>
      <c r="C276" s="16">
        <v>20200616</v>
      </c>
      <c r="D276" s="16" t="s">
        <v>2</v>
      </c>
      <c r="E276" s="141" t="s">
        <v>871</v>
      </c>
      <c r="F276" s="98" t="s">
        <v>1778</v>
      </c>
      <c r="G276" s="52"/>
      <c r="H276" s="16" t="s">
        <v>1801</v>
      </c>
      <c r="I276" s="16" t="s">
        <v>1754</v>
      </c>
      <c r="J276" s="16" t="s">
        <v>835</v>
      </c>
      <c r="K276" s="52"/>
      <c r="L276" s="98" t="s">
        <v>61</v>
      </c>
      <c r="M276" s="52"/>
      <c r="N276" s="16" t="s">
        <v>1824</v>
      </c>
      <c r="O276" s="98" t="s">
        <v>942</v>
      </c>
      <c r="P276" s="98" t="s">
        <v>1787</v>
      </c>
      <c r="Q276" s="18"/>
      <c r="R276" s="256" t="s">
        <v>1831</v>
      </c>
      <c r="S276" s="16" t="s">
        <v>64</v>
      </c>
      <c r="T276" s="16"/>
      <c r="U276" s="16"/>
      <c r="V276" s="16"/>
      <c r="W276" s="16">
        <f>ROUND(IF(D276=Table!$C$3,Y276*Table!$C$4/8,Y276*Table!$D$4/8),3)</f>
        <v>31.2</v>
      </c>
      <c r="X276" s="16">
        <f t="shared" si="28"/>
        <v>31.2</v>
      </c>
      <c r="Y276" s="16">
        <v>1.92</v>
      </c>
      <c r="Z276" s="16">
        <v>1</v>
      </c>
      <c r="AA276" s="16" t="s">
        <v>21</v>
      </c>
      <c r="AB276" s="99">
        <v>44000</v>
      </c>
      <c r="AC276" s="99">
        <v>43999</v>
      </c>
      <c r="AD276" s="99">
        <v>44000</v>
      </c>
      <c r="AE276" s="99">
        <v>43999</v>
      </c>
      <c r="AF276" s="99">
        <v>43999</v>
      </c>
      <c r="AG276" s="99" t="s">
        <v>176</v>
      </c>
      <c r="AH276" s="100">
        <v>1</v>
      </c>
      <c r="AI276" s="100">
        <v>1</v>
      </c>
      <c r="AJ276" s="100">
        <v>1</v>
      </c>
      <c r="AK276" s="157" t="s">
        <v>150</v>
      </c>
      <c r="AL276" s="134"/>
      <c r="AM276" s="15"/>
      <c r="AN276" s="15"/>
    </row>
    <row r="277" spans="2:40" x14ac:dyDescent="0.25">
      <c r="B277" s="255">
        <v>218</v>
      </c>
      <c r="C277" s="16">
        <v>20200616</v>
      </c>
      <c r="D277" s="16" t="s">
        <v>2</v>
      </c>
      <c r="E277" s="141" t="s">
        <v>871</v>
      </c>
      <c r="F277" s="98" t="s">
        <v>1778</v>
      </c>
      <c r="G277" s="52"/>
      <c r="H277" s="16" t="s">
        <v>1802</v>
      </c>
      <c r="I277" s="16" t="s">
        <v>1755</v>
      </c>
      <c r="J277" s="16" t="s">
        <v>908</v>
      </c>
      <c r="K277" s="52"/>
      <c r="L277" s="98" t="s">
        <v>61</v>
      </c>
      <c r="M277" s="52"/>
      <c r="N277" s="16" t="s">
        <v>1824</v>
      </c>
      <c r="O277" s="98" t="s">
        <v>1826</v>
      </c>
      <c r="P277" s="98" t="s">
        <v>1787</v>
      </c>
      <c r="Q277" s="18"/>
      <c r="R277" s="256" t="s">
        <v>1832</v>
      </c>
      <c r="S277" s="16" t="s">
        <v>66</v>
      </c>
      <c r="T277" s="16"/>
      <c r="U277" s="16"/>
      <c r="V277" s="16"/>
      <c r="W277" s="16">
        <f>ROUND(IF(D277=Table!$C$3,Y277*Table!$C$4/8,Y277*Table!$D$4/8),3)</f>
        <v>41.6</v>
      </c>
      <c r="X277" s="16">
        <f t="shared" si="28"/>
        <v>41.6</v>
      </c>
      <c r="Y277" s="16">
        <v>2.5600000000000005</v>
      </c>
      <c r="Z277" s="16">
        <v>1</v>
      </c>
      <c r="AA277" s="16" t="s">
        <v>21</v>
      </c>
      <c r="AB277" s="99">
        <v>44000</v>
      </c>
      <c r="AC277" s="99">
        <v>43999</v>
      </c>
      <c r="AD277" s="99">
        <v>44000</v>
      </c>
      <c r="AE277" s="99">
        <v>44000</v>
      </c>
      <c r="AF277" s="99">
        <v>44000</v>
      </c>
      <c r="AG277" s="99" t="s">
        <v>176</v>
      </c>
      <c r="AH277" s="100">
        <v>1</v>
      </c>
      <c r="AI277" s="100">
        <v>1</v>
      </c>
      <c r="AJ277" s="100" t="s">
        <v>1423</v>
      </c>
      <c r="AK277" s="157" t="s">
        <v>150</v>
      </c>
      <c r="AL277" s="134"/>
      <c r="AM277" s="15"/>
      <c r="AN277" s="15"/>
    </row>
    <row r="278" spans="2:40" x14ac:dyDescent="0.25">
      <c r="B278" s="255">
        <v>219</v>
      </c>
      <c r="C278" s="16">
        <v>20200616</v>
      </c>
      <c r="D278" s="16" t="s">
        <v>2</v>
      </c>
      <c r="E278" s="141" t="s">
        <v>871</v>
      </c>
      <c r="F278" s="98" t="s">
        <v>1779</v>
      </c>
      <c r="G278" s="52"/>
      <c r="H278" s="16" t="s">
        <v>1803</v>
      </c>
      <c r="I278" s="16" t="s">
        <v>1756</v>
      </c>
      <c r="J278" s="16" t="s">
        <v>908</v>
      </c>
      <c r="K278" s="52"/>
      <c r="L278" s="98" t="s">
        <v>61</v>
      </c>
      <c r="M278" s="52"/>
      <c r="N278" s="16" t="s">
        <v>1824</v>
      </c>
      <c r="O278" s="98" t="s">
        <v>1827</v>
      </c>
      <c r="P278" s="98" t="s">
        <v>1788</v>
      </c>
      <c r="Q278" s="18"/>
      <c r="R278" s="256" t="s">
        <v>1832</v>
      </c>
      <c r="S278" s="16" t="s">
        <v>66</v>
      </c>
      <c r="T278" s="16"/>
      <c r="U278" s="16"/>
      <c r="V278" s="16"/>
      <c r="W278" s="16">
        <f>ROUND(IF(D278=Table!$C$3,Y278*Table!$C$4/8,Y278*Table!$D$4/8),3)</f>
        <v>31.2</v>
      </c>
      <c r="X278" s="16">
        <f t="shared" si="28"/>
        <v>31.2</v>
      </c>
      <c r="Y278" s="16">
        <v>1.92</v>
      </c>
      <c r="Z278" s="16">
        <v>1</v>
      </c>
      <c r="AA278" s="16" t="s">
        <v>21</v>
      </c>
      <c r="AB278" s="99">
        <v>44000</v>
      </c>
      <c r="AC278" s="99">
        <v>43999</v>
      </c>
      <c r="AD278" s="99">
        <v>44000</v>
      </c>
      <c r="AE278" s="99">
        <v>44000</v>
      </c>
      <c r="AF278" s="99">
        <v>44000</v>
      </c>
      <c r="AG278" s="99" t="s">
        <v>176</v>
      </c>
      <c r="AH278" s="100">
        <v>0.94399999999999995</v>
      </c>
      <c r="AI278" s="100">
        <v>0.94399999999999995</v>
      </c>
      <c r="AJ278" s="100" t="s">
        <v>1423</v>
      </c>
      <c r="AK278" s="157" t="s">
        <v>150</v>
      </c>
      <c r="AL278" s="134" t="s">
        <v>1841</v>
      </c>
      <c r="AM278" s="15"/>
      <c r="AN278" s="15"/>
    </row>
    <row r="279" spans="2:40" x14ac:dyDescent="0.25">
      <c r="B279" s="255">
        <v>220</v>
      </c>
      <c r="C279" s="16">
        <v>20200616</v>
      </c>
      <c r="D279" s="16" t="s">
        <v>2</v>
      </c>
      <c r="E279" s="141" t="s">
        <v>871</v>
      </c>
      <c r="F279" s="98" t="s">
        <v>1779</v>
      </c>
      <c r="G279" s="52"/>
      <c r="H279" s="16" t="s">
        <v>1804</v>
      </c>
      <c r="I279" s="16" t="s">
        <v>1757</v>
      </c>
      <c r="J279" s="16" t="s">
        <v>835</v>
      </c>
      <c r="K279" s="52"/>
      <c r="L279" s="98" t="s">
        <v>61</v>
      </c>
      <c r="M279" s="52"/>
      <c r="N279" s="16" t="s">
        <v>1824</v>
      </c>
      <c r="O279" s="98" t="s">
        <v>942</v>
      </c>
      <c r="P279" s="98" t="s">
        <v>1788</v>
      </c>
      <c r="Q279" s="18"/>
      <c r="R279" s="256" t="s">
        <v>1832</v>
      </c>
      <c r="S279" s="16" t="s">
        <v>66</v>
      </c>
      <c r="T279" s="16"/>
      <c r="U279" s="16"/>
      <c r="V279" s="16"/>
      <c r="W279" s="16">
        <f>ROUND(IF(D279=Table!$C$3,Y279*Table!$C$4/8,Y279*Table!$D$4/8),3)</f>
        <v>31.2</v>
      </c>
      <c r="X279" s="16">
        <f t="shared" si="28"/>
        <v>31.2</v>
      </c>
      <c r="Y279" s="16">
        <v>1.92</v>
      </c>
      <c r="Z279" s="16">
        <v>1</v>
      </c>
      <c r="AA279" s="16" t="s">
        <v>21</v>
      </c>
      <c r="AB279" s="99">
        <v>44000</v>
      </c>
      <c r="AC279" s="99">
        <v>43999</v>
      </c>
      <c r="AD279" s="99">
        <v>44000</v>
      </c>
      <c r="AE279" s="99">
        <v>44000</v>
      </c>
      <c r="AF279" s="99">
        <v>44000</v>
      </c>
      <c r="AG279" s="99" t="s">
        <v>176</v>
      </c>
      <c r="AH279" s="100">
        <v>1</v>
      </c>
      <c r="AI279" s="100">
        <v>1</v>
      </c>
      <c r="AJ279" s="100">
        <v>1</v>
      </c>
      <c r="AK279" s="157" t="s">
        <v>150</v>
      </c>
      <c r="AL279" s="134"/>
      <c r="AM279" s="15"/>
      <c r="AN279" s="15"/>
    </row>
    <row r="280" spans="2:40" x14ac:dyDescent="0.25">
      <c r="B280" s="255">
        <v>221</v>
      </c>
      <c r="C280" s="16">
        <v>20200616</v>
      </c>
      <c r="D280" s="16" t="s">
        <v>2</v>
      </c>
      <c r="E280" s="141" t="s">
        <v>871</v>
      </c>
      <c r="F280" s="98" t="s">
        <v>1780</v>
      </c>
      <c r="G280" s="52"/>
      <c r="H280" s="16" t="s">
        <v>1805</v>
      </c>
      <c r="I280" s="16" t="s">
        <v>1758</v>
      </c>
      <c r="J280" s="16" t="s">
        <v>835</v>
      </c>
      <c r="K280" s="52"/>
      <c r="L280" s="98" t="s">
        <v>61</v>
      </c>
      <c r="M280" s="52"/>
      <c r="N280" s="16" t="s">
        <v>1824</v>
      </c>
      <c r="O280" s="98" t="s">
        <v>942</v>
      </c>
      <c r="P280" s="98" t="s">
        <v>1787</v>
      </c>
      <c r="Q280" s="18"/>
      <c r="R280" s="256" t="s">
        <v>1832</v>
      </c>
      <c r="S280" s="16" t="s">
        <v>66</v>
      </c>
      <c r="T280" s="16"/>
      <c r="U280" s="16"/>
      <c r="V280" s="16"/>
      <c r="W280" s="16">
        <f>ROUND(IF(D280=Table!$C$3,Y280*Table!$C$4/8,Y280*Table!$D$4/8),3)</f>
        <v>31.2</v>
      </c>
      <c r="X280" s="16">
        <f t="shared" si="28"/>
        <v>31.2</v>
      </c>
      <c r="Y280" s="16">
        <v>1.92</v>
      </c>
      <c r="Z280" s="16">
        <v>1</v>
      </c>
      <c r="AA280" s="16" t="s">
        <v>21</v>
      </c>
      <c r="AB280" s="99">
        <v>44000</v>
      </c>
      <c r="AC280" s="99">
        <v>43999</v>
      </c>
      <c r="AD280" s="99">
        <v>44000</v>
      </c>
      <c r="AE280" s="99">
        <v>44000</v>
      </c>
      <c r="AF280" s="99">
        <v>44000</v>
      </c>
      <c r="AG280" s="99" t="s">
        <v>176</v>
      </c>
      <c r="AH280" s="100">
        <v>1</v>
      </c>
      <c r="AI280" s="100">
        <v>1</v>
      </c>
      <c r="AJ280" s="100" t="s">
        <v>1423</v>
      </c>
      <c r="AK280" s="157" t="s">
        <v>150</v>
      </c>
      <c r="AL280" s="134"/>
      <c r="AM280" s="15"/>
      <c r="AN280" s="15"/>
    </row>
    <row r="281" spans="2:40" x14ac:dyDescent="0.25">
      <c r="B281" s="255">
        <v>222</v>
      </c>
      <c r="C281" s="16">
        <v>20200616</v>
      </c>
      <c r="D281" s="16" t="s">
        <v>2</v>
      </c>
      <c r="E281" s="141" t="s">
        <v>871</v>
      </c>
      <c r="F281" s="98" t="s">
        <v>1780</v>
      </c>
      <c r="G281" s="52"/>
      <c r="H281" s="16" t="s">
        <v>1806</v>
      </c>
      <c r="I281" s="16" t="s">
        <v>1759</v>
      </c>
      <c r="J281" s="16" t="s">
        <v>835</v>
      </c>
      <c r="K281" s="52"/>
      <c r="L281" s="98" t="s">
        <v>61</v>
      </c>
      <c r="M281" s="52"/>
      <c r="N281" s="16" t="s">
        <v>1824</v>
      </c>
      <c r="O281" s="98" t="s">
        <v>942</v>
      </c>
      <c r="P281" s="98" t="s">
        <v>1787</v>
      </c>
      <c r="Q281" s="18"/>
      <c r="R281" s="256" t="s">
        <v>1832</v>
      </c>
      <c r="S281" s="16" t="s">
        <v>66</v>
      </c>
      <c r="T281" s="16"/>
      <c r="U281" s="16"/>
      <c r="V281" s="16"/>
      <c r="W281" s="16">
        <f>ROUND(IF(D281=Table!$C$3,Y281*Table!$C$4/8,Y281*Table!$D$4/8),3)</f>
        <v>31.2</v>
      </c>
      <c r="X281" s="16">
        <f t="shared" si="28"/>
        <v>31.2</v>
      </c>
      <c r="Y281" s="16">
        <v>1.92</v>
      </c>
      <c r="Z281" s="16">
        <v>1</v>
      </c>
      <c r="AA281" s="16" t="s">
        <v>21</v>
      </c>
      <c r="AB281" s="99">
        <v>44000</v>
      </c>
      <c r="AC281" s="99">
        <v>43999</v>
      </c>
      <c r="AD281" s="99">
        <v>44000</v>
      </c>
      <c r="AE281" s="99">
        <v>44000</v>
      </c>
      <c r="AF281" s="99">
        <v>44000</v>
      </c>
      <c r="AG281" s="99" t="s">
        <v>176</v>
      </c>
      <c r="AH281" s="100">
        <v>1</v>
      </c>
      <c r="AI281" s="100">
        <v>1</v>
      </c>
      <c r="AJ281" s="100" t="s">
        <v>1423</v>
      </c>
      <c r="AK281" s="157" t="s">
        <v>150</v>
      </c>
      <c r="AL281" s="134"/>
      <c r="AM281" s="15"/>
      <c r="AN281" s="15"/>
    </row>
    <row r="282" spans="2:40" x14ac:dyDescent="0.25">
      <c r="B282" s="255">
        <v>223</v>
      </c>
      <c r="C282" s="16">
        <v>20200616</v>
      </c>
      <c r="D282" s="16" t="s">
        <v>2</v>
      </c>
      <c r="E282" s="141" t="s">
        <v>871</v>
      </c>
      <c r="F282" s="98" t="s">
        <v>1780</v>
      </c>
      <c r="G282" s="52"/>
      <c r="H282" s="16" t="s">
        <v>1807</v>
      </c>
      <c r="I282" s="16" t="s">
        <v>1760</v>
      </c>
      <c r="J282" s="16" t="s">
        <v>835</v>
      </c>
      <c r="K282" s="52"/>
      <c r="L282" s="98" t="s">
        <v>61</v>
      </c>
      <c r="M282" s="52"/>
      <c r="N282" s="16" t="s">
        <v>1824</v>
      </c>
      <c r="O282" s="98" t="s">
        <v>942</v>
      </c>
      <c r="P282" s="98" t="s">
        <v>1787</v>
      </c>
      <c r="Q282" s="18"/>
      <c r="R282" s="256" t="s">
        <v>1832</v>
      </c>
      <c r="S282" s="16" t="s">
        <v>66</v>
      </c>
      <c r="T282" s="16"/>
      <c r="U282" s="16"/>
      <c r="V282" s="16"/>
      <c r="W282" s="16">
        <f>ROUND(IF(D282=Table!$C$3,Y282*Table!$C$4/8,Y282*Table!$D$4/8),3)</f>
        <v>31.2</v>
      </c>
      <c r="X282" s="16">
        <f t="shared" si="28"/>
        <v>31.2</v>
      </c>
      <c r="Y282" s="16">
        <v>1.92</v>
      </c>
      <c r="Z282" s="16">
        <v>1</v>
      </c>
      <c r="AA282" s="16" t="s">
        <v>21</v>
      </c>
      <c r="AB282" s="99">
        <v>44000</v>
      </c>
      <c r="AC282" s="99">
        <v>43999</v>
      </c>
      <c r="AD282" s="99">
        <v>44000</v>
      </c>
      <c r="AE282" s="99">
        <v>44000</v>
      </c>
      <c r="AF282" s="99">
        <v>44000</v>
      </c>
      <c r="AG282" s="99" t="s">
        <v>176</v>
      </c>
      <c r="AH282" s="100">
        <v>1</v>
      </c>
      <c r="AI282" s="100">
        <v>1</v>
      </c>
      <c r="AJ282" s="100" t="s">
        <v>1423</v>
      </c>
      <c r="AK282" s="157" t="s">
        <v>150</v>
      </c>
      <c r="AL282" s="134"/>
      <c r="AM282" s="15"/>
      <c r="AN282" s="15"/>
    </row>
    <row r="283" spans="2:40" x14ac:dyDescent="0.25">
      <c r="B283" s="255">
        <v>224</v>
      </c>
      <c r="C283" s="16">
        <v>20200616</v>
      </c>
      <c r="D283" s="16" t="s">
        <v>2</v>
      </c>
      <c r="E283" s="141" t="s">
        <v>871</v>
      </c>
      <c r="F283" s="98" t="s">
        <v>1780</v>
      </c>
      <c r="G283" s="52"/>
      <c r="H283" s="16" t="s">
        <v>1808</v>
      </c>
      <c r="I283" s="16" t="s">
        <v>1761</v>
      </c>
      <c r="J283" s="16" t="s">
        <v>835</v>
      </c>
      <c r="K283" s="52"/>
      <c r="L283" s="98" t="s">
        <v>61</v>
      </c>
      <c r="M283" s="52"/>
      <c r="N283" s="16" t="s">
        <v>1824</v>
      </c>
      <c r="O283" s="98" t="s">
        <v>1827</v>
      </c>
      <c r="P283" s="98" t="s">
        <v>1787</v>
      </c>
      <c r="Q283" s="18"/>
      <c r="R283" s="256" t="s">
        <v>1832</v>
      </c>
      <c r="S283" s="16" t="s">
        <v>66</v>
      </c>
      <c r="T283" s="16"/>
      <c r="U283" s="16"/>
      <c r="V283" s="16"/>
      <c r="W283" s="16">
        <f>ROUND(IF(D283=Table!$C$3,Y283*Table!$C$4/8,Y283*Table!$D$4/8),3)</f>
        <v>31.2</v>
      </c>
      <c r="X283" s="16">
        <f t="shared" si="28"/>
        <v>31.2</v>
      </c>
      <c r="Y283" s="16">
        <v>1.92</v>
      </c>
      <c r="Z283" s="16">
        <v>1</v>
      </c>
      <c r="AA283" s="16" t="s">
        <v>21</v>
      </c>
      <c r="AB283" s="99">
        <v>44000</v>
      </c>
      <c r="AC283" s="99">
        <v>43999</v>
      </c>
      <c r="AD283" s="99">
        <v>44000</v>
      </c>
      <c r="AE283" s="99">
        <v>44000</v>
      </c>
      <c r="AF283" s="99">
        <v>44000</v>
      </c>
      <c r="AG283" s="99" t="s">
        <v>176</v>
      </c>
      <c r="AH283" s="100">
        <v>0.8</v>
      </c>
      <c r="AI283" s="100">
        <v>0.8</v>
      </c>
      <c r="AJ283" s="100" t="s">
        <v>1423</v>
      </c>
      <c r="AK283" s="157" t="s">
        <v>150</v>
      </c>
      <c r="AL283" s="134" t="s">
        <v>1842</v>
      </c>
      <c r="AM283" s="15"/>
      <c r="AN283" s="15"/>
    </row>
    <row r="284" spans="2:40" x14ac:dyDescent="0.25">
      <c r="B284" s="255">
        <v>225</v>
      </c>
      <c r="C284" s="16">
        <v>20200616</v>
      </c>
      <c r="D284" s="16" t="s">
        <v>2</v>
      </c>
      <c r="E284" s="141" t="s">
        <v>871</v>
      </c>
      <c r="F284" s="98" t="s">
        <v>1781</v>
      </c>
      <c r="G284" s="52"/>
      <c r="H284" s="16" t="s">
        <v>1809</v>
      </c>
      <c r="I284" s="16" t="s">
        <v>1762</v>
      </c>
      <c r="J284" s="16" t="s">
        <v>835</v>
      </c>
      <c r="K284" s="52"/>
      <c r="L284" s="98" t="s">
        <v>61</v>
      </c>
      <c r="M284" s="52"/>
      <c r="N284" s="16" t="s">
        <v>1824</v>
      </c>
      <c r="O284" s="98" t="s">
        <v>1828</v>
      </c>
      <c r="P284" s="98" t="s">
        <v>1789</v>
      </c>
      <c r="Q284" s="18"/>
      <c r="R284" s="256" t="s">
        <v>1833</v>
      </c>
      <c r="S284" s="16" t="s">
        <v>141</v>
      </c>
      <c r="T284" s="16"/>
      <c r="U284" s="16"/>
      <c r="V284" s="16"/>
      <c r="W284" s="16">
        <f>ROUND(IF(D284=Table!$C$3,Y284*Table!$C$4/8,Y284*Table!$D$4/8),3)</f>
        <v>31.2</v>
      </c>
      <c r="X284" s="16">
        <v>31.2</v>
      </c>
      <c r="Y284" s="16">
        <v>1.92</v>
      </c>
      <c r="Z284" s="16">
        <v>1.5</v>
      </c>
      <c r="AA284" s="16" t="s">
        <v>21</v>
      </c>
      <c r="AB284" s="99">
        <v>44000</v>
      </c>
      <c r="AC284" s="99">
        <v>43999</v>
      </c>
      <c r="AD284" s="99">
        <v>44000</v>
      </c>
      <c r="AE284" s="99">
        <v>43999</v>
      </c>
      <c r="AF284" s="99">
        <v>43999</v>
      </c>
      <c r="AG284" s="99" t="s">
        <v>176</v>
      </c>
      <c r="AH284" s="100">
        <v>1</v>
      </c>
      <c r="AI284" s="100">
        <v>1</v>
      </c>
      <c r="AJ284" s="100">
        <v>1</v>
      </c>
      <c r="AK284" s="157" t="s">
        <v>150</v>
      </c>
      <c r="AL284" s="134"/>
      <c r="AM284" s="15"/>
      <c r="AN284" s="15"/>
    </row>
    <row r="285" spans="2:40" x14ac:dyDescent="0.25">
      <c r="B285" s="255">
        <v>226</v>
      </c>
      <c r="C285" s="16">
        <v>20200616</v>
      </c>
      <c r="D285" s="16" t="s">
        <v>2</v>
      </c>
      <c r="E285" s="141" t="s">
        <v>871</v>
      </c>
      <c r="F285" s="98" t="s">
        <v>1781</v>
      </c>
      <c r="G285" s="52"/>
      <c r="H285" s="16" t="s">
        <v>1810</v>
      </c>
      <c r="I285" s="16" t="s">
        <v>1763</v>
      </c>
      <c r="J285" s="16" t="s">
        <v>835</v>
      </c>
      <c r="K285" s="52"/>
      <c r="L285" s="98" t="s">
        <v>61</v>
      </c>
      <c r="M285" s="52"/>
      <c r="N285" s="16" t="s">
        <v>1824</v>
      </c>
      <c r="O285" s="98" t="s">
        <v>1828</v>
      </c>
      <c r="P285" s="98" t="s">
        <v>1790</v>
      </c>
      <c r="Q285" s="18"/>
      <c r="R285" s="256" t="s">
        <v>1833</v>
      </c>
      <c r="S285" s="16" t="s">
        <v>141</v>
      </c>
      <c r="T285" s="16"/>
      <c r="U285" s="16"/>
      <c r="V285" s="16"/>
      <c r="W285" s="16">
        <f>ROUND(IF(D285=Table!$C$3,Y285*Table!$C$4/8,Y285*Table!$D$4/8),3)</f>
        <v>41.6</v>
      </c>
      <c r="X285" s="16">
        <v>41.6</v>
      </c>
      <c r="Y285" s="16">
        <v>2.5600000000000005</v>
      </c>
      <c r="Z285" s="16">
        <v>1.5</v>
      </c>
      <c r="AA285" s="16" t="s">
        <v>21</v>
      </c>
      <c r="AB285" s="99">
        <v>44000</v>
      </c>
      <c r="AC285" s="99">
        <v>43999</v>
      </c>
      <c r="AD285" s="99">
        <v>44000</v>
      </c>
      <c r="AE285" s="99">
        <v>43999</v>
      </c>
      <c r="AF285" s="99">
        <v>43999</v>
      </c>
      <c r="AG285" s="99" t="s">
        <v>176</v>
      </c>
      <c r="AH285" s="100">
        <v>0.8</v>
      </c>
      <c r="AI285" s="100">
        <v>0.8</v>
      </c>
      <c r="AJ285" s="100" t="s">
        <v>1423</v>
      </c>
      <c r="AK285" s="157" t="s">
        <v>150</v>
      </c>
      <c r="AL285" s="134" t="s">
        <v>1837</v>
      </c>
      <c r="AM285" s="15"/>
      <c r="AN285" s="15"/>
    </row>
    <row r="286" spans="2:40" x14ac:dyDescent="0.25">
      <c r="B286" s="255">
        <v>227</v>
      </c>
      <c r="C286" s="16">
        <v>20200616</v>
      </c>
      <c r="D286" s="16" t="s">
        <v>2</v>
      </c>
      <c r="E286" s="141" t="s">
        <v>871</v>
      </c>
      <c r="F286" s="98" t="s">
        <v>1781</v>
      </c>
      <c r="G286" s="52"/>
      <c r="H286" s="16" t="s">
        <v>1811</v>
      </c>
      <c r="I286" s="16" t="s">
        <v>1764</v>
      </c>
      <c r="J286" s="16" t="s">
        <v>835</v>
      </c>
      <c r="K286" s="52"/>
      <c r="L286" s="98" t="s">
        <v>61</v>
      </c>
      <c r="M286" s="52"/>
      <c r="N286" s="16" t="s">
        <v>1824</v>
      </c>
      <c r="O286" s="98" t="s">
        <v>942</v>
      </c>
      <c r="P286" s="98" t="s">
        <v>1790</v>
      </c>
      <c r="Q286" s="18"/>
      <c r="R286" s="256" t="s">
        <v>1833</v>
      </c>
      <c r="S286" s="16" t="s">
        <v>141</v>
      </c>
      <c r="T286" s="16"/>
      <c r="U286" s="16"/>
      <c r="V286" s="16"/>
      <c r="W286" s="16">
        <f>ROUND(IF(D286=Table!$C$3,Y286*Table!$C$4/8,Y286*Table!$D$4/8),3)</f>
        <v>31.2</v>
      </c>
      <c r="X286" s="16">
        <v>31.2</v>
      </c>
      <c r="Y286" s="16">
        <v>1.92</v>
      </c>
      <c r="Z286" s="16">
        <v>1.5</v>
      </c>
      <c r="AA286" s="16" t="s">
        <v>21</v>
      </c>
      <c r="AB286" s="99">
        <v>44000</v>
      </c>
      <c r="AC286" s="99">
        <v>43999</v>
      </c>
      <c r="AD286" s="99">
        <v>44000</v>
      </c>
      <c r="AE286" s="99">
        <v>43999</v>
      </c>
      <c r="AF286" s="99">
        <v>43999</v>
      </c>
      <c r="AG286" s="99" t="s">
        <v>176</v>
      </c>
      <c r="AH286" s="100">
        <v>1</v>
      </c>
      <c r="AI286" s="100">
        <v>1</v>
      </c>
      <c r="AJ286" s="100" t="s">
        <v>1423</v>
      </c>
      <c r="AK286" s="157" t="s">
        <v>150</v>
      </c>
      <c r="AL286" s="134"/>
      <c r="AM286" s="15"/>
      <c r="AN286" s="15"/>
    </row>
    <row r="287" spans="2:40" x14ac:dyDescent="0.25">
      <c r="B287" s="255">
        <v>228</v>
      </c>
      <c r="C287" s="16">
        <v>20200616</v>
      </c>
      <c r="D287" s="16" t="s">
        <v>2</v>
      </c>
      <c r="E287" s="141" t="s">
        <v>871</v>
      </c>
      <c r="F287" s="98" t="s">
        <v>1782</v>
      </c>
      <c r="G287" s="52"/>
      <c r="H287" s="16" t="s">
        <v>1812</v>
      </c>
      <c r="I287" s="16" t="s">
        <v>1765</v>
      </c>
      <c r="J287" s="16" t="s">
        <v>835</v>
      </c>
      <c r="K287" s="52"/>
      <c r="L287" s="98" t="s">
        <v>61</v>
      </c>
      <c r="M287" s="52"/>
      <c r="N287" s="16" t="s">
        <v>1824</v>
      </c>
      <c r="O287" s="98" t="s">
        <v>1828</v>
      </c>
      <c r="P287" s="98" t="s">
        <v>1791</v>
      </c>
      <c r="Q287" s="18"/>
      <c r="R287" s="256" t="s">
        <v>1833</v>
      </c>
      <c r="S287" s="16" t="s">
        <v>141</v>
      </c>
      <c r="T287" s="16"/>
      <c r="U287" s="16"/>
      <c r="V287" s="16"/>
      <c r="W287" s="16">
        <f>ROUND(IF(D287=Table!$C$3,Y287*Table!$C$4/8,Y287*Table!$D$4/8),3)</f>
        <v>31.2</v>
      </c>
      <c r="X287" s="16">
        <v>31.2</v>
      </c>
      <c r="Y287" s="16">
        <v>1.92</v>
      </c>
      <c r="Z287" s="16">
        <v>1.5</v>
      </c>
      <c r="AA287" s="16" t="s">
        <v>21</v>
      </c>
      <c r="AB287" s="99">
        <v>44000</v>
      </c>
      <c r="AC287" s="99">
        <v>43999</v>
      </c>
      <c r="AD287" s="99">
        <v>44000</v>
      </c>
      <c r="AE287" s="99">
        <v>43999</v>
      </c>
      <c r="AF287" s="99">
        <v>43999</v>
      </c>
      <c r="AG287" s="99" t="s">
        <v>176</v>
      </c>
      <c r="AH287" s="100">
        <v>0.75</v>
      </c>
      <c r="AI287" s="100">
        <v>0.75</v>
      </c>
      <c r="AJ287" s="100" t="s">
        <v>1423</v>
      </c>
      <c r="AK287" s="157" t="s">
        <v>150</v>
      </c>
      <c r="AL287" s="134" t="s">
        <v>1838</v>
      </c>
      <c r="AM287" s="15"/>
      <c r="AN287" s="15"/>
    </row>
    <row r="288" spans="2:40" x14ac:dyDescent="0.25">
      <c r="B288" s="255">
        <v>229</v>
      </c>
      <c r="C288" s="16">
        <v>20200616</v>
      </c>
      <c r="D288" s="16" t="s">
        <v>2</v>
      </c>
      <c r="E288" s="141" t="s">
        <v>871</v>
      </c>
      <c r="F288" s="98" t="s">
        <v>1783</v>
      </c>
      <c r="G288" s="52"/>
      <c r="H288" s="16" t="s">
        <v>1813</v>
      </c>
      <c r="I288" s="16" t="s">
        <v>1766</v>
      </c>
      <c r="J288" s="16" t="s">
        <v>835</v>
      </c>
      <c r="K288" s="52"/>
      <c r="L288" s="98" t="s">
        <v>61</v>
      </c>
      <c r="M288" s="52"/>
      <c r="N288" s="16" t="s">
        <v>1824</v>
      </c>
      <c r="O288" s="98" t="s">
        <v>942</v>
      </c>
      <c r="P288" s="98" t="s">
        <v>1791</v>
      </c>
      <c r="Q288" s="18"/>
      <c r="R288" s="256" t="s">
        <v>1833</v>
      </c>
      <c r="S288" s="16" t="s">
        <v>141</v>
      </c>
      <c r="T288" s="16"/>
      <c r="U288" s="16"/>
      <c r="V288" s="16"/>
      <c r="W288" s="16">
        <f>ROUND(IF(D288=Table!$C$3,Y288*Table!$C$4/8,Y288*Table!$D$4/8),3)</f>
        <v>31.2</v>
      </c>
      <c r="X288" s="16">
        <v>31.2</v>
      </c>
      <c r="Y288" s="16">
        <v>1.92</v>
      </c>
      <c r="Z288" s="16">
        <v>1.5</v>
      </c>
      <c r="AA288" s="16" t="s">
        <v>21</v>
      </c>
      <c r="AB288" s="99">
        <v>44000</v>
      </c>
      <c r="AC288" s="99">
        <v>43999</v>
      </c>
      <c r="AD288" s="99">
        <v>44000</v>
      </c>
      <c r="AE288" s="99">
        <v>43999</v>
      </c>
      <c r="AF288" s="99">
        <v>43999</v>
      </c>
      <c r="AG288" s="99" t="s">
        <v>176</v>
      </c>
      <c r="AH288" s="100">
        <v>0.75</v>
      </c>
      <c r="AI288" s="100">
        <v>0.75</v>
      </c>
      <c r="AJ288" s="100" t="s">
        <v>1423</v>
      </c>
      <c r="AK288" s="157" t="s">
        <v>150</v>
      </c>
      <c r="AL288" s="134" t="s">
        <v>1839</v>
      </c>
      <c r="AM288" s="15"/>
      <c r="AN288" s="15"/>
    </row>
    <row r="289" spans="2:40" x14ac:dyDescent="0.25">
      <c r="B289" s="255">
        <v>230</v>
      </c>
      <c r="C289" s="16">
        <v>20200616</v>
      </c>
      <c r="D289" s="16" t="s">
        <v>2</v>
      </c>
      <c r="E289" s="141" t="s">
        <v>871</v>
      </c>
      <c r="F289" s="98" t="s">
        <v>1783</v>
      </c>
      <c r="G289" s="52"/>
      <c r="H289" s="16" t="s">
        <v>1814</v>
      </c>
      <c r="I289" s="16" t="s">
        <v>1767</v>
      </c>
      <c r="J289" s="16" t="s">
        <v>835</v>
      </c>
      <c r="K289" s="52"/>
      <c r="L289" s="98" t="s">
        <v>61</v>
      </c>
      <c r="M289" s="52"/>
      <c r="N289" s="16" t="s">
        <v>1824</v>
      </c>
      <c r="O289" s="98" t="s">
        <v>942</v>
      </c>
      <c r="P289" s="98" t="s">
        <v>1792</v>
      </c>
      <c r="Q289" s="18"/>
      <c r="R289" s="256" t="s">
        <v>1833</v>
      </c>
      <c r="S289" s="16" t="s">
        <v>141</v>
      </c>
      <c r="T289" s="16"/>
      <c r="U289" s="16"/>
      <c r="V289" s="16"/>
      <c r="W289" s="16">
        <f>ROUND(IF(D289=Table!$C$3,Y289*Table!$C$4/8,Y289*Table!$D$4/8),3)</f>
        <v>31.2</v>
      </c>
      <c r="X289" s="16">
        <v>31.2</v>
      </c>
      <c r="Y289" s="16">
        <v>1.92</v>
      </c>
      <c r="Z289" s="16">
        <v>1.5</v>
      </c>
      <c r="AA289" s="16" t="s">
        <v>21</v>
      </c>
      <c r="AB289" s="99">
        <v>44000</v>
      </c>
      <c r="AC289" s="99">
        <v>43999</v>
      </c>
      <c r="AD289" s="99">
        <v>44000</v>
      </c>
      <c r="AE289" s="99">
        <v>44000</v>
      </c>
      <c r="AF289" s="99">
        <v>44000</v>
      </c>
      <c r="AG289" s="99" t="s">
        <v>176</v>
      </c>
      <c r="AH289" s="100">
        <v>1</v>
      </c>
      <c r="AI289" s="100">
        <v>1</v>
      </c>
      <c r="AJ289" s="100">
        <v>0.55600000000000005</v>
      </c>
      <c r="AK289" s="157" t="s">
        <v>150</v>
      </c>
      <c r="AL289" s="134"/>
      <c r="AM289" s="15"/>
      <c r="AN289" s="15"/>
    </row>
    <row r="290" spans="2:40" x14ac:dyDescent="0.25">
      <c r="B290" s="255">
        <v>231</v>
      </c>
      <c r="C290" s="16">
        <v>20200616</v>
      </c>
      <c r="D290" s="16" t="s">
        <v>2</v>
      </c>
      <c r="E290" s="141" t="s">
        <v>871</v>
      </c>
      <c r="F290" s="98" t="s">
        <v>1783</v>
      </c>
      <c r="G290" s="52"/>
      <c r="H290" s="16" t="s">
        <v>1815</v>
      </c>
      <c r="I290" s="16" t="s">
        <v>1768</v>
      </c>
      <c r="J290" s="16" t="s">
        <v>835</v>
      </c>
      <c r="K290" s="52"/>
      <c r="L290" s="98" t="s">
        <v>61</v>
      </c>
      <c r="M290" s="52"/>
      <c r="N290" s="16" t="s">
        <v>1824</v>
      </c>
      <c r="O290" s="98" t="s">
        <v>1829</v>
      </c>
      <c r="P290" s="98" t="s">
        <v>1792</v>
      </c>
      <c r="Q290" s="18"/>
      <c r="R290" s="256" t="s">
        <v>1833</v>
      </c>
      <c r="S290" s="16" t="s">
        <v>141</v>
      </c>
      <c r="T290" s="16"/>
      <c r="U290" s="16"/>
      <c r="V290" s="16"/>
      <c r="W290" s="16">
        <f>ROUND(IF(D290=Table!$C$3,Y290*Table!$C$4/8,Y290*Table!$D$4/8),3)</f>
        <v>31.2</v>
      </c>
      <c r="X290" s="16">
        <v>31.2</v>
      </c>
      <c r="Y290" s="16">
        <v>1.92</v>
      </c>
      <c r="Z290" s="16">
        <v>1.5</v>
      </c>
      <c r="AA290" s="16" t="s">
        <v>21</v>
      </c>
      <c r="AB290" s="99">
        <v>44000</v>
      </c>
      <c r="AC290" s="99">
        <v>43999</v>
      </c>
      <c r="AD290" s="99">
        <v>44000</v>
      </c>
      <c r="AE290" s="99">
        <v>44000</v>
      </c>
      <c r="AF290" s="99">
        <v>44000</v>
      </c>
      <c r="AG290" s="99" t="s">
        <v>176</v>
      </c>
      <c r="AH290" s="100">
        <v>1</v>
      </c>
      <c r="AI290" s="100">
        <v>1</v>
      </c>
      <c r="AJ290" s="100" t="s">
        <v>1423</v>
      </c>
      <c r="AK290" s="157" t="s">
        <v>150</v>
      </c>
      <c r="AL290" s="134"/>
      <c r="AM290" s="15"/>
      <c r="AN290" s="15"/>
    </row>
    <row r="291" spans="2:40" x14ac:dyDescent="0.25">
      <c r="B291" s="255">
        <v>232</v>
      </c>
      <c r="C291" s="16">
        <v>20200616</v>
      </c>
      <c r="D291" s="16" t="s">
        <v>2</v>
      </c>
      <c r="E291" s="141" t="s">
        <v>871</v>
      </c>
      <c r="F291" s="98" t="s">
        <v>1783</v>
      </c>
      <c r="G291" s="52"/>
      <c r="H291" s="16" t="s">
        <v>1816</v>
      </c>
      <c r="I291" s="16" t="s">
        <v>1769</v>
      </c>
      <c r="J291" s="16" t="s">
        <v>835</v>
      </c>
      <c r="K291" s="52"/>
      <c r="L291" s="98" t="s">
        <v>61</v>
      </c>
      <c r="M291" s="52"/>
      <c r="N291" s="16" t="s">
        <v>1824</v>
      </c>
      <c r="O291" s="98" t="s">
        <v>1830</v>
      </c>
      <c r="P291" s="98" t="s">
        <v>1792</v>
      </c>
      <c r="Q291" s="18"/>
      <c r="R291" s="256" t="s">
        <v>1833</v>
      </c>
      <c r="S291" s="16" t="s">
        <v>141</v>
      </c>
      <c r="T291" s="16"/>
      <c r="U291" s="16"/>
      <c r="V291" s="16"/>
      <c r="W291" s="16">
        <f>ROUND(IF(D291=Table!$C$3,Y291*Table!$C$4/8,Y291*Table!$D$4/8),3)</f>
        <v>31.2</v>
      </c>
      <c r="X291" s="16">
        <v>31.2</v>
      </c>
      <c r="Y291" s="16">
        <v>1.92</v>
      </c>
      <c r="Z291" s="16">
        <v>1.5</v>
      </c>
      <c r="AA291" s="16" t="s">
        <v>21</v>
      </c>
      <c r="AB291" s="99">
        <v>44000</v>
      </c>
      <c r="AC291" s="99">
        <v>43999</v>
      </c>
      <c r="AD291" s="99">
        <v>44000</v>
      </c>
      <c r="AE291" s="99">
        <v>44000</v>
      </c>
      <c r="AF291" s="99">
        <v>44000</v>
      </c>
      <c r="AG291" s="99" t="s">
        <v>176</v>
      </c>
      <c r="AH291" s="100">
        <v>0.91700000000000004</v>
      </c>
      <c r="AI291" s="100">
        <v>0.92300000000000004</v>
      </c>
      <c r="AJ291" s="100" t="s">
        <v>1423</v>
      </c>
      <c r="AK291" s="157" t="s">
        <v>150</v>
      </c>
      <c r="AL291" s="134" t="s">
        <v>1843</v>
      </c>
      <c r="AM291" s="15"/>
      <c r="AN291" s="15"/>
    </row>
    <row r="292" spans="2:40" x14ac:dyDescent="0.25">
      <c r="B292" s="255">
        <v>233</v>
      </c>
      <c r="C292" s="16">
        <v>20200616</v>
      </c>
      <c r="D292" s="16" t="s">
        <v>2</v>
      </c>
      <c r="E292" s="141" t="s">
        <v>871</v>
      </c>
      <c r="F292" s="98" t="s">
        <v>1783</v>
      </c>
      <c r="G292" s="52"/>
      <c r="H292" s="16" t="s">
        <v>1817</v>
      </c>
      <c r="I292" s="16" t="s">
        <v>1770</v>
      </c>
      <c r="J292" s="16" t="s">
        <v>835</v>
      </c>
      <c r="K292" s="52"/>
      <c r="L292" s="98" t="s">
        <v>61</v>
      </c>
      <c r="M292" s="52"/>
      <c r="N292" s="16" t="s">
        <v>1824</v>
      </c>
      <c r="O292" s="98" t="s">
        <v>1829</v>
      </c>
      <c r="P292" s="98" t="s">
        <v>1792</v>
      </c>
      <c r="Q292" s="18"/>
      <c r="R292" s="256" t="s">
        <v>1834</v>
      </c>
      <c r="S292" s="16" t="s">
        <v>65</v>
      </c>
      <c r="T292" s="16"/>
      <c r="U292" s="16"/>
      <c r="V292" s="16"/>
      <c r="W292" s="16">
        <f>ROUND(IF(D292=Table!$C$3,Y292*Table!$C$4/8,Y292*Table!$D$4/8),3)</f>
        <v>31.2</v>
      </c>
      <c r="X292" s="16">
        <f t="shared" ref="X292:X298" si="29">W292</f>
        <v>31.2</v>
      </c>
      <c r="Y292" s="16">
        <v>1.92</v>
      </c>
      <c r="Z292" s="16">
        <v>2</v>
      </c>
      <c r="AA292" s="16" t="s">
        <v>21</v>
      </c>
      <c r="AB292" s="99">
        <v>44000</v>
      </c>
      <c r="AC292" s="99">
        <v>43999</v>
      </c>
      <c r="AD292" s="99">
        <v>44000</v>
      </c>
      <c r="AE292" s="99">
        <v>43999</v>
      </c>
      <c r="AF292" s="99">
        <v>43999</v>
      </c>
      <c r="AG292" s="99" t="s">
        <v>176</v>
      </c>
      <c r="AH292" s="100">
        <v>1</v>
      </c>
      <c r="AI292" s="100">
        <v>1</v>
      </c>
      <c r="AJ292" s="100" t="s">
        <v>1844</v>
      </c>
      <c r="AK292" s="157" t="s">
        <v>150</v>
      </c>
      <c r="AL292" s="134"/>
      <c r="AM292" s="15"/>
      <c r="AN292" s="15"/>
    </row>
    <row r="293" spans="2:40" x14ac:dyDescent="0.25">
      <c r="B293" s="255">
        <v>234</v>
      </c>
      <c r="C293" s="16">
        <v>20200616</v>
      </c>
      <c r="D293" s="16" t="s">
        <v>2</v>
      </c>
      <c r="E293" s="141" t="s">
        <v>871</v>
      </c>
      <c r="F293" s="98" t="s">
        <v>1783</v>
      </c>
      <c r="G293" s="52"/>
      <c r="H293" s="16" t="s">
        <v>1818</v>
      </c>
      <c r="I293" s="16" t="s">
        <v>1771</v>
      </c>
      <c r="J293" s="16" t="s">
        <v>835</v>
      </c>
      <c r="K293" s="52"/>
      <c r="L293" s="98" t="s">
        <v>61</v>
      </c>
      <c r="M293" s="52"/>
      <c r="N293" s="16" t="s">
        <v>1824</v>
      </c>
      <c r="O293" s="98" t="s">
        <v>1829</v>
      </c>
      <c r="P293" s="98" t="s">
        <v>1792</v>
      </c>
      <c r="Q293" s="18"/>
      <c r="R293" s="256" t="s">
        <v>1834</v>
      </c>
      <c r="S293" s="16" t="s">
        <v>65</v>
      </c>
      <c r="T293" s="16"/>
      <c r="U293" s="16"/>
      <c r="V293" s="16"/>
      <c r="W293" s="16">
        <f>ROUND(IF(D293=Table!$C$3,Y293*Table!$C$4/8,Y293*Table!$D$4/8),3)</f>
        <v>31.2</v>
      </c>
      <c r="X293" s="16">
        <f t="shared" si="29"/>
        <v>31.2</v>
      </c>
      <c r="Y293" s="16">
        <v>1.92</v>
      </c>
      <c r="Z293" s="16">
        <v>2</v>
      </c>
      <c r="AA293" s="16" t="s">
        <v>21</v>
      </c>
      <c r="AB293" s="99">
        <v>44000</v>
      </c>
      <c r="AC293" s="99">
        <v>43999</v>
      </c>
      <c r="AD293" s="99">
        <v>44000</v>
      </c>
      <c r="AE293" s="99">
        <v>43999</v>
      </c>
      <c r="AF293" s="99">
        <v>43999</v>
      </c>
      <c r="AG293" s="99" t="s">
        <v>176</v>
      </c>
      <c r="AH293" s="100">
        <v>1</v>
      </c>
      <c r="AI293" s="100">
        <v>1</v>
      </c>
      <c r="AJ293" s="100" t="s">
        <v>1844</v>
      </c>
      <c r="AK293" s="157" t="s">
        <v>150</v>
      </c>
      <c r="AL293" s="134"/>
      <c r="AM293" s="15"/>
      <c r="AN293" s="15"/>
    </row>
    <row r="294" spans="2:40" x14ac:dyDescent="0.25">
      <c r="B294" s="255">
        <v>235</v>
      </c>
      <c r="C294" s="16">
        <v>20200616</v>
      </c>
      <c r="D294" s="16" t="s">
        <v>2</v>
      </c>
      <c r="E294" s="141" t="s">
        <v>871</v>
      </c>
      <c r="F294" s="98" t="s">
        <v>1784</v>
      </c>
      <c r="G294" s="52"/>
      <c r="H294" s="16" t="s">
        <v>1819</v>
      </c>
      <c r="I294" s="16" t="s">
        <v>1772</v>
      </c>
      <c r="J294" s="16" t="s">
        <v>835</v>
      </c>
      <c r="K294" s="52"/>
      <c r="L294" s="98" t="s">
        <v>61</v>
      </c>
      <c r="M294" s="52"/>
      <c r="N294" s="16" t="s">
        <v>1824</v>
      </c>
      <c r="O294" s="98" t="s">
        <v>942</v>
      </c>
      <c r="P294" s="98" t="s">
        <v>1793</v>
      </c>
      <c r="Q294" s="18"/>
      <c r="R294" s="256" t="s">
        <v>1834</v>
      </c>
      <c r="S294" s="16" t="s">
        <v>65</v>
      </c>
      <c r="T294" s="16"/>
      <c r="U294" s="16"/>
      <c r="V294" s="16"/>
      <c r="W294" s="16">
        <f>ROUND(IF(D294=Table!$C$3,Y294*Table!$C$4/8,Y294*Table!$D$4/8),3)</f>
        <v>31.2</v>
      </c>
      <c r="X294" s="16">
        <f t="shared" si="29"/>
        <v>31.2</v>
      </c>
      <c r="Y294" s="16">
        <v>1.92</v>
      </c>
      <c r="Z294" s="16">
        <v>2</v>
      </c>
      <c r="AA294" s="16" t="s">
        <v>21</v>
      </c>
      <c r="AB294" s="99">
        <v>44000</v>
      </c>
      <c r="AC294" s="99">
        <v>43999</v>
      </c>
      <c r="AD294" s="99">
        <v>44000</v>
      </c>
      <c r="AE294" s="99">
        <v>43999</v>
      </c>
      <c r="AF294" s="99">
        <v>43999</v>
      </c>
      <c r="AG294" s="99" t="s">
        <v>176</v>
      </c>
      <c r="AH294" s="100">
        <v>1</v>
      </c>
      <c r="AI294" s="100">
        <v>1</v>
      </c>
      <c r="AJ294" s="100" t="s">
        <v>1844</v>
      </c>
      <c r="AK294" s="157" t="s">
        <v>150</v>
      </c>
      <c r="AL294" s="134"/>
      <c r="AM294" s="15"/>
      <c r="AN294" s="15"/>
    </row>
    <row r="295" spans="2:40" x14ac:dyDescent="0.25">
      <c r="B295" s="255">
        <v>236</v>
      </c>
      <c r="C295" s="16">
        <v>20200616</v>
      </c>
      <c r="D295" s="16" t="s">
        <v>2</v>
      </c>
      <c r="E295" s="141" t="s">
        <v>871</v>
      </c>
      <c r="F295" s="98" t="s">
        <v>1784</v>
      </c>
      <c r="G295" s="52"/>
      <c r="H295" s="16" t="s">
        <v>1820</v>
      </c>
      <c r="I295" s="16" t="s">
        <v>1773</v>
      </c>
      <c r="J295" s="16" t="s">
        <v>835</v>
      </c>
      <c r="K295" s="52"/>
      <c r="L295" s="98" t="s">
        <v>61</v>
      </c>
      <c r="M295" s="52"/>
      <c r="N295" s="16" t="s">
        <v>1824</v>
      </c>
      <c r="O295" s="98" t="s">
        <v>942</v>
      </c>
      <c r="P295" s="98" t="s">
        <v>1793</v>
      </c>
      <c r="Q295" s="18"/>
      <c r="R295" s="256" t="s">
        <v>1834</v>
      </c>
      <c r="S295" s="16" t="s">
        <v>65</v>
      </c>
      <c r="T295" s="16"/>
      <c r="U295" s="16"/>
      <c r="V295" s="16"/>
      <c r="W295" s="16">
        <f>ROUND(IF(D295=Table!$C$3,Y295*Table!$C$4/8,Y295*Table!$D$4/8),3)</f>
        <v>36.4</v>
      </c>
      <c r="X295" s="16">
        <f t="shared" si="29"/>
        <v>36.4</v>
      </c>
      <c r="Y295" s="16">
        <v>2.2399999999999998</v>
      </c>
      <c r="Z295" s="16">
        <v>2</v>
      </c>
      <c r="AA295" s="16" t="s">
        <v>21</v>
      </c>
      <c r="AB295" s="99">
        <v>44000</v>
      </c>
      <c r="AC295" s="99">
        <v>43999</v>
      </c>
      <c r="AD295" s="99">
        <v>44000</v>
      </c>
      <c r="AE295" s="99">
        <v>43999</v>
      </c>
      <c r="AF295" s="99">
        <v>43999</v>
      </c>
      <c r="AG295" s="99" t="s">
        <v>176</v>
      </c>
      <c r="AH295" s="100">
        <v>1</v>
      </c>
      <c r="AI295" s="100">
        <v>1</v>
      </c>
      <c r="AJ295" s="100" t="s">
        <v>1844</v>
      </c>
      <c r="AK295" s="157" t="s">
        <v>150</v>
      </c>
      <c r="AL295" s="134"/>
      <c r="AM295" s="15"/>
      <c r="AN295" s="15"/>
    </row>
    <row r="296" spans="2:40" x14ac:dyDescent="0.25">
      <c r="B296" s="255">
        <v>237</v>
      </c>
      <c r="C296" s="16">
        <v>20200616</v>
      </c>
      <c r="D296" s="16" t="s">
        <v>2</v>
      </c>
      <c r="E296" s="141" t="s">
        <v>871</v>
      </c>
      <c r="F296" s="98" t="s">
        <v>1784</v>
      </c>
      <c r="G296" s="52"/>
      <c r="H296" s="16" t="s">
        <v>1821</v>
      </c>
      <c r="I296" s="16" t="s">
        <v>1774</v>
      </c>
      <c r="J296" s="16" t="s">
        <v>835</v>
      </c>
      <c r="K296" s="52"/>
      <c r="L296" s="98" t="s">
        <v>61</v>
      </c>
      <c r="M296" s="52"/>
      <c r="N296" s="16" t="s">
        <v>1824</v>
      </c>
      <c r="O296" s="98" t="s">
        <v>942</v>
      </c>
      <c r="P296" s="98" t="s">
        <v>1793</v>
      </c>
      <c r="Q296" s="18"/>
      <c r="R296" s="256" t="s">
        <v>1834</v>
      </c>
      <c r="S296" s="16" t="s">
        <v>65</v>
      </c>
      <c r="T296" s="16"/>
      <c r="U296" s="16"/>
      <c r="V296" s="16"/>
      <c r="W296" s="16">
        <f>ROUND(IF(D296=Table!$C$3,Y296*Table!$C$4/8,Y296*Table!$D$4/8),3)</f>
        <v>32.530999999999999</v>
      </c>
      <c r="X296" s="16">
        <f t="shared" si="29"/>
        <v>32.530999999999999</v>
      </c>
      <c r="Y296" s="16">
        <v>2.0019199999999997</v>
      </c>
      <c r="Z296" s="16">
        <v>2</v>
      </c>
      <c r="AA296" s="16" t="s">
        <v>21</v>
      </c>
      <c r="AB296" s="99">
        <v>44000</v>
      </c>
      <c r="AC296" s="99">
        <v>43999</v>
      </c>
      <c r="AD296" s="99">
        <v>44000</v>
      </c>
      <c r="AE296" s="99">
        <v>44000</v>
      </c>
      <c r="AF296" s="99">
        <v>44000</v>
      </c>
      <c r="AG296" s="99" t="s">
        <v>176</v>
      </c>
      <c r="AH296" s="100">
        <v>1</v>
      </c>
      <c r="AI296" s="100">
        <v>1</v>
      </c>
      <c r="AJ296" s="100" t="s">
        <v>1844</v>
      </c>
      <c r="AK296" s="157" t="s">
        <v>150</v>
      </c>
      <c r="AL296" s="134"/>
      <c r="AM296" s="15"/>
      <c r="AN296" s="15"/>
    </row>
    <row r="297" spans="2:40" x14ac:dyDescent="0.25">
      <c r="B297" s="255">
        <v>238</v>
      </c>
      <c r="C297" s="16">
        <v>20200616</v>
      </c>
      <c r="D297" s="16" t="s">
        <v>2</v>
      </c>
      <c r="E297" s="141" t="s">
        <v>871</v>
      </c>
      <c r="F297" s="98" t="s">
        <v>1785</v>
      </c>
      <c r="G297" s="52"/>
      <c r="H297" s="16" t="s">
        <v>1822</v>
      </c>
      <c r="I297" s="16" t="s">
        <v>1775</v>
      </c>
      <c r="J297" s="16" t="s">
        <v>908</v>
      </c>
      <c r="K297" s="52"/>
      <c r="L297" s="98" t="s">
        <v>61</v>
      </c>
      <c r="M297" s="52"/>
      <c r="N297" s="16" t="s">
        <v>1824</v>
      </c>
      <c r="O297" s="98" t="s">
        <v>1825</v>
      </c>
      <c r="P297" s="98" t="s">
        <v>1794</v>
      </c>
      <c r="Q297" s="18"/>
      <c r="R297" s="256" t="s">
        <v>1834</v>
      </c>
      <c r="S297" s="16" t="s">
        <v>65</v>
      </c>
      <c r="T297" s="16"/>
      <c r="U297" s="16"/>
      <c r="V297" s="16"/>
      <c r="W297" s="16">
        <f>ROUND(IF(D297=Table!$C$3,Y297*Table!$C$4/8,Y297*Table!$D$4/8),3)</f>
        <v>31.2</v>
      </c>
      <c r="X297" s="16">
        <f t="shared" si="29"/>
        <v>31.2</v>
      </c>
      <c r="Y297" s="16">
        <v>1.92</v>
      </c>
      <c r="Z297" s="16">
        <v>2</v>
      </c>
      <c r="AA297" s="16" t="s">
        <v>21</v>
      </c>
      <c r="AB297" s="99">
        <v>44000</v>
      </c>
      <c r="AC297" s="99">
        <v>43999</v>
      </c>
      <c r="AD297" s="99">
        <v>44000</v>
      </c>
      <c r="AE297" s="99">
        <v>44000</v>
      </c>
      <c r="AF297" s="99">
        <v>44000</v>
      </c>
      <c r="AG297" s="99" t="s">
        <v>176</v>
      </c>
      <c r="AH297" s="100">
        <v>1</v>
      </c>
      <c r="AI297" s="100">
        <v>1</v>
      </c>
      <c r="AJ297" s="100" t="s">
        <v>1844</v>
      </c>
      <c r="AK297" s="157" t="s">
        <v>150</v>
      </c>
      <c r="AL297" s="134"/>
      <c r="AM297" s="15"/>
      <c r="AN297" s="15"/>
    </row>
    <row r="298" spans="2:40" x14ac:dyDescent="0.25">
      <c r="B298" s="255">
        <v>239</v>
      </c>
      <c r="C298" s="16">
        <v>20200616</v>
      </c>
      <c r="D298" s="16" t="s">
        <v>2</v>
      </c>
      <c r="E298" s="141" t="s">
        <v>871</v>
      </c>
      <c r="F298" s="98" t="s">
        <v>1785</v>
      </c>
      <c r="G298" s="52"/>
      <c r="H298" s="16" t="s">
        <v>1823</v>
      </c>
      <c r="I298" s="16" t="s">
        <v>1776</v>
      </c>
      <c r="J298" s="16" t="s">
        <v>835</v>
      </c>
      <c r="K298" s="52"/>
      <c r="L298" s="98" t="s">
        <v>61</v>
      </c>
      <c r="M298" s="52"/>
      <c r="N298" s="16" t="s">
        <v>1824</v>
      </c>
      <c r="O298" s="98" t="s">
        <v>1828</v>
      </c>
      <c r="P298" s="98" t="s">
        <v>1794</v>
      </c>
      <c r="Q298" s="18"/>
      <c r="R298" s="256" t="s">
        <v>1834</v>
      </c>
      <c r="S298" s="16" t="s">
        <v>65</v>
      </c>
      <c r="T298" s="16"/>
      <c r="U298" s="16"/>
      <c r="V298" s="16"/>
      <c r="W298" s="16">
        <f>ROUND(IF(D298=Table!$C$3,Y298*Table!$C$4/8,Y298*Table!$D$4/8),3)</f>
        <v>52</v>
      </c>
      <c r="X298" s="16">
        <f t="shared" si="29"/>
        <v>52</v>
      </c>
      <c r="Y298" s="16">
        <v>3.2</v>
      </c>
      <c r="Z298" s="16">
        <v>2</v>
      </c>
      <c r="AA298" s="16" t="s">
        <v>21</v>
      </c>
      <c r="AB298" s="99">
        <v>44000</v>
      </c>
      <c r="AC298" s="99">
        <v>43999</v>
      </c>
      <c r="AD298" s="99">
        <v>44000</v>
      </c>
      <c r="AE298" s="99">
        <v>44000</v>
      </c>
      <c r="AF298" s="99">
        <v>44000</v>
      </c>
      <c r="AG298" s="99" t="s">
        <v>176</v>
      </c>
      <c r="AH298" s="100">
        <v>0.93799999999999994</v>
      </c>
      <c r="AI298" s="100">
        <v>0.93799999999999994</v>
      </c>
      <c r="AJ298" s="100" t="s">
        <v>1844</v>
      </c>
      <c r="AK298" s="157" t="s">
        <v>150</v>
      </c>
      <c r="AL298" s="134" t="s">
        <v>1845</v>
      </c>
      <c r="AM298" s="15"/>
      <c r="AN298" s="15"/>
    </row>
    <row r="299" spans="2:40" x14ac:dyDescent="0.25">
      <c r="B299" s="20"/>
      <c r="C299" s="16"/>
      <c r="D299" s="16"/>
      <c r="E299" s="141"/>
      <c r="F299" s="98"/>
      <c r="G299" s="52"/>
      <c r="H299" s="16"/>
      <c r="I299" s="16"/>
      <c r="J299" s="16"/>
      <c r="K299" s="52"/>
      <c r="L299" s="98"/>
      <c r="M299" s="52"/>
      <c r="N299" s="16"/>
      <c r="O299" s="98"/>
      <c r="P299" s="98"/>
      <c r="Q299" s="18"/>
      <c r="R299" s="106"/>
      <c r="S299" s="16"/>
      <c r="T299" s="16"/>
      <c r="U299" s="16"/>
      <c r="V299" s="16"/>
      <c r="W299" s="16"/>
      <c r="X299" s="16"/>
      <c r="Y299" s="16"/>
      <c r="Z299" s="16"/>
      <c r="AA299" s="16"/>
      <c r="AB299" s="99"/>
      <c r="AC299" s="99"/>
      <c r="AD299" s="99"/>
      <c r="AE299" s="99"/>
      <c r="AF299" s="99"/>
      <c r="AG299" s="99"/>
      <c r="AH299" s="100"/>
      <c r="AI299" s="100"/>
      <c r="AJ299" s="100"/>
      <c r="AK299" s="157"/>
      <c r="AL299" s="134"/>
      <c r="AM299" s="15"/>
      <c r="AN299" s="15"/>
    </row>
    <row r="300" spans="2:40" x14ac:dyDescent="0.25">
      <c r="B300" s="20"/>
      <c r="C300" s="16"/>
      <c r="D300" s="16"/>
      <c r="E300" s="141"/>
      <c r="F300" s="98"/>
      <c r="G300" s="52"/>
      <c r="H300" s="16"/>
      <c r="I300" s="16"/>
      <c r="J300" s="16"/>
      <c r="K300" s="52"/>
      <c r="L300" s="98"/>
      <c r="M300" s="52"/>
      <c r="N300" s="16"/>
      <c r="O300" s="98"/>
      <c r="P300" s="98"/>
      <c r="Q300" s="18"/>
      <c r="R300" s="106"/>
      <c r="S300" s="16"/>
      <c r="T300" s="16"/>
      <c r="U300" s="16"/>
      <c r="V300" s="16"/>
      <c r="W300" s="16"/>
      <c r="X300" s="16"/>
      <c r="Y300" s="16"/>
      <c r="Z300" s="16"/>
      <c r="AA300" s="16"/>
      <c r="AB300" s="99"/>
      <c r="AC300" s="99"/>
      <c r="AD300" s="99"/>
      <c r="AE300" s="99"/>
      <c r="AF300" s="99"/>
      <c r="AG300" s="99"/>
      <c r="AH300" s="100"/>
      <c r="AI300" s="100"/>
      <c r="AJ300" s="100"/>
      <c r="AK300" s="157"/>
      <c r="AL300" s="134"/>
      <c r="AM300" s="15"/>
      <c r="AN300" s="15"/>
    </row>
    <row r="301" spans="2:40" x14ac:dyDescent="0.25">
      <c r="B301" s="20"/>
      <c r="C301" s="16"/>
      <c r="D301" s="16"/>
      <c r="E301" s="141"/>
      <c r="F301" s="98"/>
      <c r="G301" s="52"/>
      <c r="H301" s="16"/>
      <c r="I301" s="16"/>
      <c r="J301" s="16"/>
      <c r="K301" s="52"/>
      <c r="L301" s="98"/>
      <c r="M301" s="52"/>
      <c r="N301" s="16"/>
      <c r="O301" s="98"/>
      <c r="P301" s="98"/>
      <c r="Q301" s="18"/>
      <c r="R301" s="106"/>
      <c r="S301" s="16"/>
      <c r="T301" s="16"/>
      <c r="U301" s="16"/>
      <c r="V301" s="16"/>
      <c r="W301" s="16"/>
      <c r="X301" s="16"/>
      <c r="Y301" s="16"/>
      <c r="Z301" s="16"/>
      <c r="AA301" s="16"/>
      <c r="AB301" s="99"/>
      <c r="AC301" s="99"/>
      <c r="AD301" s="99"/>
      <c r="AE301" s="99"/>
      <c r="AF301" s="99"/>
      <c r="AG301" s="99"/>
      <c r="AH301" s="100"/>
      <c r="AI301" s="100"/>
      <c r="AJ301" s="100"/>
      <c r="AK301" s="157"/>
      <c r="AL301" s="134"/>
      <c r="AM301" s="15"/>
      <c r="AN301" s="15"/>
    </row>
    <row r="302" spans="2:40" x14ac:dyDescent="0.25">
      <c r="B302" s="20"/>
      <c r="C302" s="16"/>
      <c r="D302" s="16"/>
      <c r="E302" s="141"/>
      <c r="F302" s="98"/>
      <c r="G302" s="52"/>
      <c r="H302" s="16"/>
      <c r="I302" s="16"/>
      <c r="J302" s="16"/>
      <c r="K302" s="52"/>
      <c r="L302" s="98"/>
      <c r="M302" s="52"/>
      <c r="N302" s="16"/>
      <c r="O302" s="98"/>
      <c r="P302" s="98"/>
      <c r="Q302" s="18"/>
      <c r="R302" s="106"/>
      <c r="S302" s="16"/>
      <c r="T302" s="16"/>
      <c r="U302" s="16"/>
      <c r="V302" s="16"/>
      <c r="W302" s="16"/>
      <c r="X302" s="16"/>
      <c r="Y302" s="16"/>
      <c r="Z302" s="16"/>
      <c r="AA302" s="16"/>
      <c r="AB302" s="99"/>
      <c r="AC302" s="99"/>
      <c r="AD302" s="99"/>
      <c r="AE302" s="99"/>
      <c r="AF302" s="99"/>
      <c r="AG302" s="99"/>
      <c r="AH302" s="100"/>
      <c r="AI302" s="100"/>
      <c r="AJ302" s="100"/>
      <c r="AK302" s="157"/>
      <c r="AL302" s="134"/>
      <c r="AM302" s="15"/>
      <c r="AN302" s="15"/>
    </row>
    <row r="303" spans="2:40" x14ac:dyDescent="0.25">
      <c r="B303" s="20"/>
      <c r="C303" s="16"/>
      <c r="D303" s="16"/>
      <c r="E303" s="141"/>
      <c r="F303" s="98"/>
      <c r="G303" s="52"/>
      <c r="H303" s="16"/>
      <c r="I303" s="16"/>
      <c r="J303" s="16"/>
      <c r="K303" s="52"/>
      <c r="L303" s="98"/>
      <c r="M303" s="52"/>
      <c r="N303" s="16"/>
      <c r="O303" s="98"/>
      <c r="P303" s="98"/>
      <c r="Q303" s="18"/>
      <c r="R303" s="106"/>
      <c r="S303" s="16"/>
      <c r="T303" s="16"/>
      <c r="U303" s="16"/>
      <c r="V303" s="16"/>
      <c r="W303" s="16"/>
      <c r="X303" s="16"/>
      <c r="Y303" s="16"/>
      <c r="Z303" s="16"/>
      <c r="AA303" s="16"/>
      <c r="AB303" s="99"/>
      <c r="AC303" s="99"/>
      <c r="AD303" s="99"/>
      <c r="AE303" s="99"/>
      <c r="AF303" s="99"/>
      <c r="AG303" s="99"/>
      <c r="AH303" s="100"/>
      <c r="AI303" s="100"/>
      <c r="AJ303" s="100"/>
      <c r="AK303" s="157"/>
      <c r="AL303" s="134"/>
      <c r="AM303" s="15"/>
      <c r="AN303" s="15"/>
    </row>
    <row r="304" spans="2:40" x14ac:dyDescent="0.25">
      <c r="B304" s="20"/>
      <c r="C304" s="16"/>
      <c r="D304" s="16"/>
      <c r="E304" s="141"/>
      <c r="F304" s="98"/>
      <c r="G304" s="52"/>
      <c r="H304" s="16"/>
      <c r="I304" s="16"/>
      <c r="J304" s="16"/>
      <c r="K304" s="52"/>
      <c r="L304" s="98"/>
      <c r="M304" s="52"/>
      <c r="N304" s="16"/>
      <c r="O304" s="98"/>
      <c r="P304" s="98"/>
      <c r="Q304" s="18"/>
      <c r="R304" s="106"/>
      <c r="S304" s="16"/>
      <c r="T304" s="16"/>
      <c r="U304" s="16"/>
      <c r="V304" s="16"/>
      <c r="W304" s="16"/>
      <c r="X304" s="16"/>
      <c r="Y304" s="16"/>
      <c r="Z304" s="16"/>
      <c r="AA304" s="16"/>
      <c r="AB304" s="99"/>
      <c r="AC304" s="99"/>
      <c r="AD304" s="99"/>
      <c r="AE304" s="99"/>
      <c r="AF304" s="99"/>
      <c r="AG304" s="99"/>
      <c r="AH304" s="100"/>
      <c r="AI304" s="100"/>
      <c r="AJ304" s="100"/>
      <c r="AK304" s="157"/>
      <c r="AL304" s="134"/>
      <c r="AM304" s="15"/>
      <c r="AN304" s="15"/>
    </row>
    <row r="305" spans="2:40" x14ac:dyDescent="0.25">
      <c r="B305" s="20"/>
      <c r="C305" s="16"/>
      <c r="D305" s="16"/>
      <c r="E305" s="141"/>
      <c r="F305" s="98"/>
      <c r="G305" s="52"/>
      <c r="H305" s="16"/>
      <c r="I305" s="16"/>
      <c r="J305" s="16"/>
      <c r="K305" s="52"/>
      <c r="L305" s="98"/>
      <c r="M305" s="52"/>
      <c r="N305" s="16"/>
      <c r="O305" s="98"/>
      <c r="P305" s="98"/>
      <c r="Q305" s="18"/>
      <c r="R305" s="106"/>
      <c r="S305" s="16"/>
      <c r="T305" s="16"/>
      <c r="U305" s="16"/>
      <c r="V305" s="16"/>
      <c r="W305" s="16"/>
      <c r="X305" s="16"/>
      <c r="Y305" s="16"/>
      <c r="Z305" s="16"/>
      <c r="AA305" s="16"/>
      <c r="AB305" s="99"/>
      <c r="AC305" s="99"/>
      <c r="AD305" s="99"/>
      <c r="AE305" s="99"/>
      <c r="AF305" s="99"/>
      <c r="AG305" s="99"/>
      <c r="AH305" s="100"/>
      <c r="AI305" s="100"/>
      <c r="AJ305" s="100"/>
      <c r="AK305" s="157"/>
      <c r="AL305" s="134"/>
      <c r="AM305" s="15"/>
      <c r="AN305" s="15"/>
    </row>
    <row r="306" spans="2:40" x14ac:dyDescent="0.25">
      <c r="B306" s="20"/>
      <c r="C306" s="16"/>
      <c r="D306" s="16"/>
      <c r="E306" s="141"/>
      <c r="F306" s="98"/>
      <c r="G306" s="52"/>
      <c r="H306" s="16"/>
      <c r="I306" s="16"/>
      <c r="J306" s="16"/>
      <c r="K306" s="52"/>
      <c r="L306" s="98"/>
      <c r="M306" s="52"/>
      <c r="N306" s="16"/>
      <c r="O306" s="98"/>
      <c r="P306" s="98"/>
      <c r="Q306" s="18"/>
      <c r="R306" s="106"/>
      <c r="S306" s="16"/>
      <c r="T306" s="16"/>
      <c r="U306" s="16"/>
      <c r="V306" s="16"/>
      <c r="W306" s="16"/>
      <c r="X306" s="16"/>
      <c r="Y306" s="16"/>
      <c r="Z306" s="16"/>
      <c r="AA306" s="16"/>
      <c r="AB306" s="99"/>
      <c r="AC306" s="99"/>
      <c r="AD306" s="99"/>
      <c r="AE306" s="99"/>
      <c r="AF306" s="99"/>
      <c r="AG306" s="99"/>
      <c r="AH306" s="100"/>
      <c r="AI306" s="100"/>
      <c r="AJ306" s="100"/>
      <c r="AK306" s="157"/>
      <c r="AL306" s="134"/>
      <c r="AM306" s="15"/>
      <c r="AN306" s="15"/>
    </row>
    <row r="307" spans="2:40" x14ac:dyDescent="0.25">
      <c r="B307" s="20"/>
      <c r="C307" s="16"/>
      <c r="D307" s="16"/>
      <c r="E307" s="141"/>
      <c r="F307" s="98"/>
      <c r="G307" s="52"/>
      <c r="H307" s="16"/>
      <c r="I307" s="16"/>
      <c r="J307" s="16"/>
      <c r="K307" s="52"/>
      <c r="L307" s="98"/>
      <c r="M307" s="52"/>
      <c r="N307" s="16"/>
      <c r="O307" s="98"/>
      <c r="P307" s="98"/>
      <c r="Q307" s="18"/>
      <c r="R307" s="106"/>
      <c r="S307" s="16"/>
      <c r="T307" s="16"/>
      <c r="U307" s="16"/>
      <c r="V307" s="16"/>
      <c r="W307" s="16"/>
      <c r="X307" s="16"/>
      <c r="Y307" s="16"/>
      <c r="Z307" s="16"/>
      <c r="AA307" s="16"/>
      <c r="AB307" s="99"/>
      <c r="AC307" s="99"/>
      <c r="AD307" s="99"/>
      <c r="AE307" s="99"/>
      <c r="AF307" s="99"/>
      <c r="AG307" s="99"/>
      <c r="AH307" s="100"/>
      <c r="AI307" s="100"/>
      <c r="AJ307" s="100"/>
      <c r="AK307" s="157"/>
      <c r="AL307" s="134"/>
      <c r="AM307" s="15"/>
      <c r="AN307" s="15"/>
    </row>
    <row r="308" spans="2:40" x14ac:dyDescent="0.25">
      <c r="B308" s="20"/>
      <c r="C308" s="16"/>
      <c r="D308" s="16"/>
      <c r="E308" s="141"/>
      <c r="F308" s="98"/>
      <c r="G308" s="52"/>
      <c r="H308" s="16"/>
      <c r="I308" s="16"/>
      <c r="J308" s="16"/>
      <c r="K308" s="52"/>
      <c r="L308" s="98"/>
      <c r="M308" s="52"/>
      <c r="N308" s="16"/>
      <c r="O308" s="98"/>
      <c r="P308" s="98"/>
      <c r="Q308" s="18"/>
      <c r="R308" s="106"/>
      <c r="S308" s="16"/>
      <c r="T308" s="16"/>
      <c r="U308" s="16"/>
      <c r="V308" s="16"/>
      <c r="W308" s="16"/>
      <c r="X308" s="16"/>
      <c r="Y308" s="16"/>
      <c r="Z308" s="16"/>
      <c r="AA308" s="16"/>
      <c r="AB308" s="99"/>
      <c r="AC308" s="99"/>
      <c r="AD308" s="99"/>
      <c r="AE308" s="99"/>
      <c r="AF308" s="99"/>
      <c r="AG308" s="99"/>
      <c r="AH308" s="100"/>
      <c r="AI308" s="100"/>
      <c r="AJ308" s="100"/>
      <c r="AK308" s="157"/>
      <c r="AL308" s="134"/>
      <c r="AM308" s="15"/>
      <c r="AN308" s="15"/>
    </row>
    <row r="309" spans="2:40" x14ac:dyDescent="0.25">
      <c r="B309" s="20"/>
      <c r="C309" s="16"/>
      <c r="D309" s="16"/>
      <c r="E309" s="141"/>
      <c r="F309" s="98"/>
      <c r="G309" s="52"/>
      <c r="H309" s="16"/>
      <c r="I309" s="16"/>
      <c r="J309" s="16"/>
      <c r="K309" s="52"/>
      <c r="L309" s="98"/>
      <c r="M309" s="52"/>
      <c r="N309" s="16"/>
      <c r="O309" s="98"/>
      <c r="P309" s="98"/>
      <c r="Q309" s="18"/>
      <c r="R309" s="106"/>
      <c r="S309" s="16"/>
      <c r="T309" s="16"/>
      <c r="U309" s="16"/>
      <c r="V309" s="16"/>
      <c r="W309" s="16"/>
      <c r="X309" s="16"/>
      <c r="Y309" s="16"/>
      <c r="Z309" s="16"/>
      <c r="AA309" s="16"/>
      <c r="AB309" s="99"/>
      <c r="AC309" s="99"/>
      <c r="AD309" s="99"/>
      <c r="AE309" s="99"/>
      <c r="AF309" s="99"/>
      <c r="AG309" s="99"/>
      <c r="AH309" s="100"/>
      <c r="AI309" s="100"/>
      <c r="AJ309" s="100"/>
      <c r="AK309" s="157"/>
      <c r="AL309" s="134"/>
      <c r="AM309" s="15"/>
      <c r="AN309" s="15"/>
    </row>
    <row r="310" spans="2:40" x14ac:dyDescent="0.25">
      <c r="B310" s="20"/>
      <c r="C310" s="16"/>
      <c r="D310" s="16"/>
      <c r="E310" s="141"/>
      <c r="F310" s="98"/>
      <c r="G310" s="52"/>
      <c r="H310" s="16"/>
      <c r="I310" s="16"/>
      <c r="J310" s="16"/>
      <c r="K310" s="52"/>
      <c r="L310" s="98"/>
      <c r="M310" s="52"/>
      <c r="N310" s="16"/>
      <c r="O310" s="98"/>
      <c r="P310" s="98"/>
      <c r="Q310" s="18"/>
      <c r="R310" s="106"/>
      <c r="S310" s="16"/>
      <c r="T310" s="16"/>
      <c r="U310" s="16"/>
      <c r="V310" s="16"/>
      <c r="W310" s="16"/>
      <c r="X310" s="16"/>
      <c r="Y310" s="16"/>
      <c r="Z310" s="16"/>
      <c r="AA310" s="16"/>
      <c r="AB310" s="99"/>
      <c r="AC310" s="99"/>
      <c r="AD310" s="99"/>
      <c r="AE310" s="99"/>
      <c r="AF310" s="99"/>
      <c r="AG310" s="99"/>
      <c r="AH310" s="100"/>
      <c r="AI310" s="100"/>
      <c r="AJ310" s="100"/>
      <c r="AK310" s="157"/>
      <c r="AL310" s="134"/>
      <c r="AM310" s="15"/>
      <c r="AN310" s="15"/>
    </row>
    <row r="311" spans="2:40" x14ac:dyDescent="0.25">
      <c r="B311" s="20"/>
      <c r="C311" s="16"/>
      <c r="D311" s="16"/>
      <c r="E311" s="141"/>
      <c r="F311" s="98"/>
      <c r="G311" s="52"/>
      <c r="H311" s="16"/>
      <c r="I311" s="16"/>
      <c r="J311" s="16"/>
      <c r="K311" s="52"/>
      <c r="L311" s="98"/>
      <c r="M311" s="52"/>
      <c r="N311" s="16"/>
      <c r="O311" s="98"/>
      <c r="P311" s="98"/>
      <c r="Q311" s="18"/>
      <c r="R311" s="106"/>
      <c r="S311" s="16"/>
      <c r="T311" s="16"/>
      <c r="U311" s="16"/>
      <c r="V311" s="16"/>
      <c r="W311" s="16"/>
      <c r="X311" s="16"/>
      <c r="Y311" s="16"/>
      <c r="Z311" s="16"/>
      <c r="AA311" s="16"/>
      <c r="AB311" s="99"/>
      <c r="AC311" s="99"/>
      <c r="AD311" s="99"/>
      <c r="AE311" s="99"/>
      <c r="AF311" s="99"/>
      <c r="AG311" s="99"/>
      <c r="AH311" s="100"/>
      <c r="AI311" s="100"/>
      <c r="AJ311" s="100"/>
      <c r="AK311" s="157"/>
      <c r="AL311" s="134"/>
      <c r="AM311" s="15"/>
      <c r="AN311" s="15"/>
    </row>
    <row r="312" spans="2:40" x14ac:dyDescent="0.25">
      <c r="B312" s="20"/>
      <c r="C312" s="16"/>
      <c r="D312" s="16"/>
      <c r="E312" s="141"/>
      <c r="F312" s="98"/>
      <c r="G312" s="52"/>
      <c r="H312" s="16"/>
      <c r="I312" s="16"/>
      <c r="J312" s="16"/>
      <c r="K312" s="52"/>
      <c r="L312" s="98"/>
      <c r="M312" s="52"/>
      <c r="N312" s="16"/>
      <c r="O312" s="98"/>
      <c r="P312" s="98"/>
      <c r="Q312" s="18"/>
      <c r="R312" s="106"/>
      <c r="S312" s="16"/>
      <c r="T312" s="16"/>
      <c r="U312" s="16"/>
      <c r="V312" s="16"/>
      <c r="W312" s="16"/>
      <c r="X312" s="16"/>
      <c r="Y312" s="16"/>
      <c r="Z312" s="16"/>
      <c r="AA312" s="16"/>
      <c r="AB312" s="99"/>
      <c r="AC312" s="99"/>
      <c r="AD312" s="99"/>
      <c r="AE312" s="99"/>
      <c r="AF312" s="99"/>
      <c r="AG312" s="99"/>
      <c r="AH312" s="100"/>
      <c r="AI312" s="100"/>
      <c r="AJ312" s="100"/>
      <c r="AK312" s="157"/>
      <c r="AL312" s="134"/>
      <c r="AM312" s="15"/>
      <c r="AN312" s="15"/>
    </row>
    <row r="313" spans="2:40" x14ac:dyDescent="0.25">
      <c r="B313" s="20"/>
      <c r="C313" s="16"/>
      <c r="D313" s="16"/>
      <c r="E313" s="141"/>
      <c r="F313" s="98"/>
      <c r="G313" s="52"/>
      <c r="H313" s="16"/>
      <c r="I313" s="16"/>
      <c r="J313" s="16"/>
      <c r="K313" s="52"/>
      <c r="L313" s="98"/>
      <c r="M313" s="52"/>
      <c r="N313" s="16"/>
      <c r="O313" s="98"/>
      <c r="P313" s="98"/>
      <c r="Q313" s="18"/>
      <c r="R313" s="106"/>
      <c r="S313" s="16"/>
      <c r="T313" s="16"/>
      <c r="U313" s="16"/>
      <c r="V313" s="16"/>
      <c r="W313" s="16"/>
      <c r="X313" s="16"/>
      <c r="Y313" s="16"/>
      <c r="Z313" s="16"/>
      <c r="AA313" s="16"/>
      <c r="AB313" s="99"/>
      <c r="AC313" s="99"/>
      <c r="AD313" s="99"/>
      <c r="AE313" s="99"/>
      <c r="AF313" s="99"/>
      <c r="AG313" s="99"/>
      <c r="AH313" s="100"/>
      <c r="AI313" s="100"/>
      <c r="AJ313" s="100"/>
      <c r="AK313" s="157"/>
      <c r="AL313" s="134"/>
      <c r="AM313" s="15"/>
      <c r="AN313" s="15"/>
    </row>
    <row r="314" spans="2:40" x14ac:dyDescent="0.25">
      <c r="B314" s="20"/>
      <c r="C314" s="16"/>
      <c r="D314" s="16"/>
      <c r="E314" s="141"/>
      <c r="F314" s="98"/>
      <c r="G314" s="52"/>
      <c r="H314" s="16"/>
      <c r="I314" s="16"/>
      <c r="J314" s="16"/>
      <c r="K314" s="52"/>
      <c r="L314" s="98"/>
      <c r="M314" s="52"/>
      <c r="N314" s="16"/>
      <c r="O314" s="98"/>
      <c r="P314" s="98"/>
      <c r="Q314" s="18"/>
      <c r="R314" s="106"/>
      <c r="S314" s="16"/>
      <c r="T314" s="16"/>
      <c r="U314" s="16"/>
      <c r="V314" s="16"/>
      <c r="W314" s="16"/>
      <c r="X314" s="16"/>
      <c r="Y314" s="16"/>
      <c r="Z314" s="16"/>
      <c r="AA314" s="16"/>
      <c r="AB314" s="99"/>
      <c r="AC314" s="99"/>
      <c r="AD314" s="99"/>
      <c r="AE314" s="99"/>
      <c r="AF314" s="99"/>
      <c r="AG314" s="99"/>
      <c r="AH314" s="100"/>
      <c r="AI314" s="100"/>
      <c r="AJ314" s="100"/>
      <c r="AK314" s="157"/>
      <c r="AL314" s="134"/>
      <c r="AM314" s="15"/>
      <c r="AN314" s="15"/>
    </row>
    <row r="315" spans="2:40" x14ac:dyDescent="0.25">
      <c r="B315" s="20"/>
      <c r="C315" s="16"/>
      <c r="D315" s="16"/>
      <c r="E315" s="141"/>
      <c r="F315" s="98"/>
      <c r="G315" s="52"/>
      <c r="H315" s="16"/>
      <c r="I315" s="16"/>
      <c r="J315" s="16"/>
      <c r="K315" s="52"/>
      <c r="L315" s="98"/>
      <c r="M315" s="52"/>
      <c r="N315" s="16"/>
      <c r="O315" s="98"/>
      <c r="P315" s="98"/>
      <c r="Q315" s="18"/>
      <c r="R315" s="106"/>
      <c r="S315" s="16"/>
      <c r="T315" s="16"/>
      <c r="U315" s="16"/>
      <c r="V315" s="16"/>
      <c r="W315" s="16"/>
      <c r="X315" s="16"/>
      <c r="Y315" s="16"/>
      <c r="Z315" s="16"/>
      <c r="AA315" s="16"/>
      <c r="AB315" s="99"/>
      <c r="AC315" s="99"/>
      <c r="AD315" s="99"/>
      <c r="AE315" s="99"/>
      <c r="AF315" s="99"/>
      <c r="AG315" s="99"/>
      <c r="AH315" s="100"/>
      <c r="AI315" s="100"/>
      <c r="AJ315" s="100"/>
      <c r="AK315" s="157"/>
      <c r="AL315" s="134"/>
      <c r="AM315" s="15"/>
      <c r="AN315" s="15"/>
    </row>
    <row r="316" spans="2:40" x14ac:dyDescent="0.25">
      <c r="B316" s="20"/>
      <c r="C316" s="16"/>
      <c r="D316" s="16"/>
      <c r="E316" s="141"/>
      <c r="F316" s="98"/>
      <c r="G316" s="52"/>
      <c r="H316" s="16"/>
      <c r="I316" s="16"/>
      <c r="J316" s="16"/>
      <c r="K316" s="52"/>
      <c r="L316" s="98"/>
      <c r="M316" s="52"/>
      <c r="N316" s="16"/>
      <c r="O316" s="98"/>
      <c r="P316" s="98"/>
      <c r="Q316" s="18"/>
      <c r="R316" s="106"/>
      <c r="S316" s="16"/>
      <c r="T316" s="16"/>
      <c r="U316" s="16"/>
      <c r="V316" s="16"/>
      <c r="W316" s="16"/>
      <c r="X316" s="16"/>
      <c r="Y316" s="16"/>
      <c r="Z316" s="16"/>
      <c r="AA316" s="16"/>
      <c r="AB316" s="99"/>
      <c r="AC316" s="99"/>
      <c r="AD316" s="99"/>
      <c r="AE316" s="99"/>
      <c r="AF316" s="99"/>
      <c r="AG316" s="99"/>
      <c r="AH316" s="100"/>
      <c r="AI316" s="100"/>
      <c r="AJ316" s="100"/>
      <c r="AK316" s="157"/>
      <c r="AL316" s="134"/>
      <c r="AM316" s="15"/>
      <c r="AN316" s="15"/>
    </row>
    <row r="317" spans="2:40" x14ac:dyDescent="0.25">
      <c r="B317" s="20"/>
      <c r="C317" s="16"/>
      <c r="D317" s="16"/>
      <c r="E317" s="141"/>
      <c r="F317" s="98"/>
      <c r="G317" s="52"/>
      <c r="H317" s="16"/>
      <c r="I317" s="16"/>
      <c r="J317" s="16"/>
      <c r="K317" s="52"/>
      <c r="L317" s="98"/>
      <c r="M317" s="52"/>
      <c r="N317" s="16"/>
      <c r="O317" s="98"/>
      <c r="P317" s="98"/>
      <c r="Q317" s="18"/>
      <c r="R317" s="106"/>
      <c r="S317" s="16"/>
      <c r="T317" s="16"/>
      <c r="U317" s="16"/>
      <c r="V317" s="16"/>
      <c r="W317" s="16"/>
      <c r="X317" s="16"/>
      <c r="Y317" s="16"/>
      <c r="Z317" s="16"/>
      <c r="AA317" s="16"/>
      <c r="AB317" s="99"/>
      <c r="AC317" s="99"/>
      <c r="AD317" s="99"/>
      <c r="AE317" s="99"/>
      <c r="AF317" s="99"/>
      <c r="AG317" s="99"/>
      <c r="AH317" s="100"/>
      <c r="AI317" s="100"/>
      <c r="AJ317" s="100"/>
      <c r="AK317" s="157"/>
      <c r="AL317" s="134"/>
      <c r="AM317" s="15"/>
      <c r="AN317" s="15"/>
    </row>
    <row r="318" spans="2:40" x14ac:dyDescent="0.25">
      <c r="B318" s="20"/>
      <c r="C318" s="16"/>
      <c r="D318" s="16"/>
      <c r="E318" s="141"/>
      <c r="F318" s="98"/>
      <c r="G318" s="52"/>
      <c r="H318" s="16"/>
      <c r="I318" s="16"/>
      <c r="J318" s="16"/>
      <c r="K318" s="52"/>
      <c r="L318" s="98"/>
      <c r="M318" s="52"/>
      <c r="N318" s="16"/>
      <c r="O318" s="98"/>
      <c r="P318" s="98"/>
      <c r="Q318" s="18"/>
      <c r="R318" s="106"/>
      <c r="S318" s="16"/>
      <c r="T318" s="16"/>
      <c r="U318" s="16"/>
      <c r="V318" s="16"/>
      <c r="W318" s="16"/>
      <c r="X318" s="16"/>
      <c r="Y318" s="16"/>
      <c r="Z318" s="16"/>
      <c r="AA318" s="16"/>
      <c r="AB318" s="99"/>
      <c r="AC318" s="99"/>
      <c r="AD318" s="99"/>
      <c r="AE318" s="99"/>
      <c r="AF318" s="99"/>
      <c r="AG318" s="99"/>
      <c r="AH318" s="100"/>
      <c r="AI318" s="100"/>
      <c r="AJ318" s="100"/>
      <c r="AK318" s="157"/>
      <c r="AL318" s="134"/>
      <c r="AM318" s="15"/>
      <c r="AN318" s="15"/>
    </row>
    <row r="319" spans="2:40" x14ac:dyDescent="0.25">
      <c r="B319" s="20"/>
      <c r="C319" s="16"/>
      <c r="D319" s="16"/>
      <c r="E319" s="141"/>
      <c r="F319" s="98"/>
      <c r="G319" s="52" t="s">
        <v>61</v>
      </c>
      <c r="H319" s="16"/>
      <c r="I319" s="16"/>
      <c r="J319" s="16"/>
      <c r="K319" s="52" t="s">
        <v>61</v>
      </c>
      <c r="L319" s="98" t="s">
        <v>61</v>
      </c>
      <c r="M319" s="52" t="s">
        <v>61</v>
      </c>
      <c r="N319" s="16"/>
      <c r="O319" s="98"/>
      <c r="P319" s="98"/>
      <c r="Q319" s="18"/>
      <c r="R319" s="106"/>
      <c r="S319" s="16"/>
      <c r="T319" s="16"/>
      <c r="U319" s="16"/>
      <c r="V319" s="16"/>
      <c r="W319" s="16"/>
      <c r="X319" s="16"/>
      <c r="Y319" s="16"/>
      <c r="Z319" s="16"/>
      <c r="AA319" s="16"/>
      <c r="AB319" s="99"/>
      <c r="AC319" s="99"/>
      <c r="AD319" s="99"/>
      <c r="AE319" s="99"/>
      <c r="AF319" s="99"/>
      <c r="AG319" s="99"/>
      <c r="AH319" s="100"/>
      <c r="AI319" s="100"/>
      <c r="AJ319" s="100"/>
      <c r="AK319" s="157"/>
      <c r="AL319" s="157"/>
      <c r="AM319" s="16"/>
      <c r="AN319" s="16"/>
    </row>
    <row r="320" spans="2:40" x14ac:dyDescent="0.25">
      <c r="B320" s="20"/>
      <c r="C320" s="16"/>
      <c r="D320" s="16"/>
      <c r="E320" s="141"/>
      <c r="F320" s="98"/>
      <c r="G320" s="52" t="s">
        <v>61</v>
      </c>
      <c r="H320" s="16"/>
      <c r="I320" s="16"/>
      <c r="J320" s="16"/>
      <c r="K320" s="52" t="s">
        <v>61</v>
      </c>
      <c r="L320" s="98" t="s">
        <v>61</v>
      </c>
      <c r="M320" s="52" t="s">
        <v>61</v>
      </c>
      <c r="N320" s="16"/>
      <c r="O320" s="98"/>
      <c r="P320" s="98"/>
      <c r="Q320" s="18"/>
      <c r="R320" s="106"/>
      <c r="S320" s="16"/>
      <c r="T320" s="16"/>
      <c r="U320" s="16"/>
      <c r="V320" s="16"/>
      <c r="W320" s="16"/>
      <c r="X320" s="16"/>
      <c r="Y320" s="16"/>
      <c r="Z320" s="16"/>
      <c r="AA320" s="16"/>
      <c r="AB320" s="99"/>
      <c r="AC320" s="99"/>
      <c r="AD320" s="99"/>
      <c r="AE320" s="99"/>
      <c r="AF320" s="99"/>
      <c r="AG320" s="99"/>
      <c r="AH320" s="100"/>
      <c r="AI320" s="100"/>
      <c r="AJ320" s="100"/>
      <c r="AK320" s="157"/>
      <c r="AL320" s="157"/>
      <c r="AM320" s="16"/>
      <c r="AN320" s="16"/>
    </row>
    <row r="321" spans="2:40" x14ac:dyDescent="0.25">
      <c r="B321" s="20"/>
      <c r="C321" s="16"/>
      <c r="D321" s="16"/>
      <c r="E321" s="141"/>
      <c r="F321" s="98"/>
      <c r="G321" s="52" t="s">
        <v>61</v>
      </c>
      <c r="H321" s="16"/>
      <c r="I321" s="16"/>
      <c r="J321" s="16"/>
      <c r="K321" s="52" t="s">
        <v>61</v>
      </c>
      <c r="L321" s="98" t="s">
        <v>61</v>
      </c>
      <c r="M321" s="52" t="s">
        <v>61</v>
      </c>
      <c r="N321" s="16"/>
      <c r="O321" s="98"/>
      <c r="P321" s="98"/>
      <c r="Q321" s="18"/>
      <c r="R321" s="106"/>
      <c r="S321" s="16"/>
      <c r="T321" s="16"/>
      <c r="U321" s="16"/>
      <c r="V321" s="16"/>
      <c r="W321" s="16"/>
      <c r="X321" s="16"/>
      <c r="Y321" s="16"/>
      <c r="Z321" s="16"/>
      <c r="AA321" s="16"/>
      <c r="AB321" s="99"/>
      <c r="AC321" s="99"/>
      <c r="AD321" s="99"/>
      <c r="AE321" s="99"/>
      <c r="AF321" s="99"/>
      <c r="AG321" s="99"/>
      <c r="AH321" s="100"/>
      <c r="AI321" s="100"/>
      <c r="AJ321" s="100"/>
      <c r="AK321" s="157"/>
      <c r="AL321" s="157"/>
      <c r="AM321" s="16"/>
      <c r="AN321" s="16"/>
    </row>
    <row r="322" spans="2:40" x14ac:dyDescent="0.25">
      <c r="B322" s="20"/>
      <c r="C322" s="16"/>
      <c r="D322" s="16"/>
      <c r="E322" s="141"/>
      <c r="F322" s="98"/>
      <c r="G322" s="52" t="s">
        <v>61</v>
      </c>
      <c r="H322" s="16"/>
      <c r="I322" s="16"/>
      <c r="J322" s="16"/>
      <c r="K322" s="52" t="s">
        <v>61</v>
      </c>
      <c r="L322" s="98" t="s">
        <v>61</v>
      </c>
      <c r="M322" s="52" t="s">
        <v>61</v>
      </c>
      <c r="N322" s="16"/>
      <c r="O322" s="98"/>
      <c r="P322" s="98"/>
      <c r="Q322" s="18"/>
      <c r="R322" s="106"/>
      <c r="S322" s="16"/>
      <c r="T322" s="16"/>
      <c r="U322" s="16"/>
      <c r="V322" s="16"/>
      <c r="W322" s="16"/>
      <c r="X322" s="16"/>
      <c r="Y322" s="16"/>
      <c r="Z322" s="16"/>
      <c r="AA322" s="16"/>
      <c r="AB322" s="99"/>
      <c r="AC322" s="99"/>
      <c r="AD322" s="99"/>
      <c r="AE322" s="99"/>
      <c r="AF322" s="99"/>
      <c r="AG322" s="99"/>
      <c r="AH322" s="100"/>
      <c r="AI322" s="100"/>
      <c r="AJ322" s="100"/>
      <c r="AK322" s="157"/>
      <c r="AL322" s="157"/>
      <c r="AM322" s="16"/>
      <c r="AN322" s="16"/>
    </row>
    <row r="323" spans="2:40" x14ac:dyDescent="0.25">
      <c r="B323" s="20"/>
      <c r="C323" s="16"/>
      <c r="D323" s="16"/>
      <c r="E323" s="141"/>
      <c r="F323" s="98"/>
      <c r="G323" s="52" t="s">
        <v>61</v>
      </c>
      <c r="H323" s="16"/>
      <c r="I323" s="16"/>
      <c r="J323" s="16"/>
      <c r="K323" s="52" t="s">
        <v>61</v>
      </c>
      <c r="L323" s="98" t="s">
        <v>61</v>
      </c>
      <c r="M323" s="52" t="s">
        <v>61</v>
      </c>
      <c r="N323" s="16"/>
      <c r="O323" s="98"/>
      <c r="P323" s="98"/>
      <c r="Q323" s="18"/>
      <c r="R323" s="106"/>
      <c r="S323" s="16"/>
      <c r="T323" s="16"/>
      <c r="U323" s="16"/>
      <c r="V323" s="16"/>
      <c r="W323" s="16"/>
      <c r="X323" s="16"/>
      <c r="Y323" s="16"/>
      <c r="Z323" s="16"/>
      <c r="AA323" s="16"/>
      <c r="AB323" s="99"/>
      <c r="AC323" s="99"/>
      <c r="AD323" s="99"/>
      <c r="AE323" s="99"/>
      <c r="AF323" s="99"/>
      <c r="AG323" s="99"/>
      <c r="AH323" s="100"/>
      <c r="AI323" s="100"/>
      <c r="AJ323" s="100"/>
      <c r="AK323" s="157"/>
      <c r="AL323" s="157"/>
      <c r="AM323" s="16"/>
      <c r="AN323" s="16"/>
    </row>
    <row r="324" spans="2:40" x14ac:dyDescent="0.25">
      <c r="B324" s="20"/>
      <c r="C324" s="16"/>
      <c r="D324" s="16"/>
      <c r="E324" s="141"/>
      <c r="F324" s="98"/>
      <c r="G324" s="52" t="s">
        <v>61</v>
      </c>
      <c r="H324" s="16"/>
      <c r="I324" s="16"/>
      <c r="J324" s="16"/>
      <c r="K324" s="52" t="s">
        <v>61</v>
      </c>
      <c r="L324" s="98" t="s">
        <v>61</v>
      </c>
      <c r="M324" s="52" t="s">
        <v>61</v>
      </c>
      <c r="N324" s="16"/>
      <c r="O324" s="98"/>
      <c r="P324" s="98"/>
      <c r="Q324" s="18"/>
      <c r="R324" s="106"/>
      <c r="S324" s="16"/>
      <c r="T324" s="16"/>
      <c r="U324" s="16"/>
      <c r="V324" s="16"/>
      <c r="W324" s="16"/>
      <c r="X324" s="16"/>
      <c r="Y324" s="16"/>
      <c r="Z324" s="16"/>
      <c r="AA324" s="16"/>
      <c r="AB324" s="99"/>
      <c r="AC324" s="99"/>
      <c r="AD324" s="99"/>
      <c r="AE324" s="99"/>
      <c r="AF324" s="99"/>
      <c r="AG324" s="99"/>
      <c r="AH324" s="100"/>
      <c r="AI324" s="100"/>
      <c r="AJ324" s="100"/>
      <c r="AK324" s="157"/>
      <c r="AL324" s="157"/>
      <c r="AM324" s="16"/>
      <c r="AN324" s="16"/>
    </row>
  </sheetData>
  <autoFilter ref="B59:AN298"/>
  <customSheetViews>
    <customSheetView guid="{FECB4C41-27E8-4A22-AFB3-4F54CDD4960E}" scale="85" filter="1" showAutoFilter="1" topLeftCell="A10">
      <selection activeCell="A319" sqref="A319:XFD319"/>
      <pageMargins left="0.7" right="0.7" top="0.75" bottom="0.75" header="0.3" footer="0.3"/>
      <pageSetup orientation="portrait" horizontalDpi="300" verticalDpi="0" r:id="rId1"/>
      <autoFilter ref="B59:AN324">
        <filterColumn colId="17">
          <filters>
            <filter val="dac.luu-cong"/>
          </filters>
        </filterColumn>
      </autoFilter>
    </customSheetView>
    <customSheetView guid="{3B3E6719-EACB-4D2C-89C1-05FFAB6020FD}" scale="70">
      <selection activeCell="A319" sqref="A319:XFD319"/>
      <pageMargins left="0.7" right="0.7" top="0.75" bottom="0.75" header="0.3" footer="0.3"/>
    </customSheetView>
    <customSheetView guid="{4E06BDBF-2CED-473B-850B-2A6C7311FF41}" scale="70" topLeftCell="A49">
      <selection activeCell="A319" sqref="A319:XFD319"/>
      <pageMargins left="0.7" right="0.7" top="0.75" bottom="0.75" header="0.3" footer="0.3"/>
      <pageSetup paperSize="9" orientation="portrait" r:id="rId2"/>
    </customSheetView>
    <customSheetView guid="{99BC1C51-34DC-4BF2-906C-1E31B6171D71}" topLeftCell="A79">
      <selection activeCell="A298" sqref="A298:XFD298"/>
      <pageMargins left="0.7" right="0.7" top="0.75" bottom="0.75" header="0.3" footer="0.3"/>
    </customSheetView>
    <customSheetView guid="{C94451EF-7A3E-4D72-B5A4-3D1B193192CC}" scale="70" showAutoFilter="1" topLeftCell="A10">
      <selection activeCell="A85" sqref="A85:XFD85"/>
      <pageMargins left="0.7" right="0.7" top="0.75" bottom="0.75" header="0.3" footer="0.3"/>
      <autoFilter ref="B59:AN298"/>
    </customSheetView>
    <customSheetView guid="{7ECC2B8E-6A82-42F5-8AB0-4A51C54EA5EC}" scale="85" showAutoFilter="1" topLeftCell="J275">
      <selection activeCell="W305" sqref="W305"/>
      <pageMargins left="0.7" right="0.7" top="0.75" bottom="0.75" header="0.3" footer="0.3"/>
      <pageSetup paperSize="9" orientation="portrait" r:id="rId3"/>
      <autoFilter ref="B59:AN298"/>
    </customSheetView>
    <customSheetView guid="{A2C66332-A809-458E-971B-FDB6D62C74C3}" filter="1" showAutoFilter="1" topLeftCell="A257">
      <selection activeCell="I309" sqref="I309"/>
      <pageMargins left="0.7" right="0.7" top="0.75" bottom="0.75" header="0.3" footer="0.3"/>
      <autoFilter ref="B59:AN298">
        <filterColumn colId="17">
          <filters>
            <filter val="bang.nguyen-duy"/>
          </filters>
        </filterColumn>
      </autoFilter>
    </customSheetView>
    <customSheetView guid="{89C03E1E-B6A8-49A1-B29C-5DC4FAB2FBC6}" scale="85" filter="1" showAutoFilter="1" topLeftCell="A55">
      <selection activeCell="A153" sqref="A153:XFD153"/>
      <pageMargins left="0.7" right="0.7" top="0.75" bottom="0.75" header="0.3" footer="0.3"/>
      <pageSetup orientation="portrait" horizontalDpi="300" verticalDpi="0" r:id="rId4"/>
      <autoFilter ref="B59:AN324">
        <filterColumn colId="17">
          <filters>
            <filter val="dac.luu-cong"/>
          </filters>
        </filterColumn>
      </autoFilter>
    </customSheetView>
    <customSheetView guid="{60D2C030-4E31-4E07-8E1C-44D2EE84B177}" topLeftCell="A79">
      <selection activeCell="A319" sqref="A319:XFD319"/>
      <pageMargins left="0.7" right="0.7" top="0.75" bottom="0.75" header="0.3" footer="0.3"/>
    </customSheetView>
    <customSheetView guid="{D33AC7AF-C8AB-4CE9-94C7-9237011A5FC3}" scale="70" filter="1" showAutoFilter="1" topLeftCell="C103">
      <pane xSplit="1" topLeftCell="K1" activePane="topRight" state="frozen"/>
      <selection pane="topRight" activeCell="AC305" sqref="AC305"/>
      <pageMargins left="0.7" right="0.7" top="0.75" bottom="0.75" header="0.3" footer="0.3"/>
      <autoFilter ref="B59:AN298">
        <filterColumn colId="17">
          <filters>
            <filter val="huy.do-anh"/>
          </filters>
        </filterColumn>
      </autoFilter>
    </customSheetView>
    <customSheetView guid="{336B6883-2145-4B58-921E-CEC7185A847E}" filter="1" showAutoFilter="1" topLeftCell="G225">
      <selection activeCell="I235" sqref="I235"/>
      <pageMargins left="0.7" right="0.7" top="0.75" bottom="0.75" header="0.3" footer="0.3"/>
      <autoFilter ref="S60:S324">
        <filterColumn colId="0">
          <filters>
            <filter val="dac.luu-cong"/>
          </filters>
        </filterColumn>
      </autoFilter>
    </customSheetView>
    <customSheetView guid="{970EE037-F5E5-47AF-896A-0F6222879EBC}" scale="85" topLeftCell="N272">
      <selection activeCell="AA101" sqref="AA101:AA195"/>
      <pageMargins left="0.7" right="0.7" top="0.75" bottom="0.75" header="0.3" footer="0.3"/>
      <pageSetup orientation="portrait" horizontalDpi="300" r:id="rId5"/>
    </customSheetView>
    <customSheetView guid="{F96FC7D9-4F89-4FE0-8D00-C0083DEB0472}" scale="85" filter="1" showAutoFilter="1" topLeftCell="O50">
      <selection activeCell="Z78" sqref="Z78"/>
      <pageMargins left="0.7" right="0.7" top="0.75" bottom="0.75" header="0.3" footer="0.3"/>
      <pageSetup orientation="portrait" horizontalDpi="300" verticalDpi="0" r:id="rId6"/>
      <autoFilter ref="B59:AN326">
        <filterColumn colId="17">
          <filters>
            <filter val="phuc.le-hong"/>
          </filters>
        </filterColumn>
      </autoFilter>
    </customSheetView>
    <customSheetView guid="{7E0EA425-A420-4443-B9E0-CDF0AA9E5D09}" scale="85" topLeftCell="A222">
      <selection activeCell="A319" sqref="A319:XFD319"/>
      <pageMargins left="0.7" right="0.7" top="0.75" bottom="0.75" header="0.3" footer="0.3"/>
      <pageSetup orientation="portrait" horizontalDpi="300" verticalDpi="0" r:id="rId7"/>
    </customSheetView>
  </customSheetViews>
  <conditionalFormatting sqref="H4:H17 H23:H37 H43:H55">
    <cfRule type="cellIs" dxfId="39" priority="57" operator="equal">
      <formula>1</formula>
    </cfRule>
    <cfRule type="cellIs" dxfId="38" priority="58" operator="lessThan">
      <formula>1</formula>
    </cfRule>
  </conditionalFormatting>
  <conditionalFormatting sqref="AG60:AG324 AK60:AK324">
    <cfRule type="cellIs" dxfId="37" priority="55" operator="equal">
      <formula>"OK"</formula>
    </cfRule>
    <cfRule type="cellIs" dxfId="36" priority="56" operator="equal">
      <formula>"NG"</formula>
    </cfRule>
  </conditionalFormatting>
  <conditionalFormatting sqref="O60:P324">
    <cfRule type="cellIs" dxfId="35" priority="54" operator="equal">
      <formula>"PUT_VERSION"</formula>
    </cfRule>
  </conditionalFormatting>
  <conditionalFormatting sqref="D18">
    <cfRule type="expression" dxfId="34" priority="53">
      <formula>$D$18=SUM($D$4:$D$17)</formula>
    </cfRule>
  </conditionalFormatting>
  <conditionalFormatting sqref="E18">
    <cfRule type="expression" dxfId="33" priority="52">
      <formula>$E$18=SUM($E$4:$E$17)</formula>
    </cfRule>
  </conditionalFormatting>
  <conditionalFormatting sqref="F18">
    <cfRule type="expression" dxfId="32" priority="51">
      <formula>$F$18=SUM($F$4:$F$17)</formula>
    </cfRule>
  </conditionalFormatting>
  <conditionalFormatting sqref="D37">
    <cfRule type="expression" dxfId="31" priority="50">
      <formula>$D$37=SUM($D$23:$D$36)</formula>
    </cfRule>
  </conditionalFormatting>
  <conditionalFormatting sqref="E37">
    <cfRule type="expression" dxfId="30" priority="49">
      <formula>$E$37=SUM($E$23:$E$36)</formula>
    </cfRule>
  </conditionalFormatting>
  <conditionalFormatting sqref="H42">
    <cfRule type="cellIs" dxfId="29" priority="39" operator="equal">
      <formula>1</formula>
    </cfRule>
    <cfRule type="cellIs" dxfId="28" priority="40" operator="lessThan">
      <formula>1</formula>
    </cfRule>
  </conditionalFormatting>
  <conditionalFormatting sqref="H56">
    <cfRule type="cellIs" dxfId="27" priority="35" operator="equal">
      <formula>1</formula>
    </cfRule>
    <cfRule type="cellIs" dxfId="26" priority="36" operator="lessThan">
      <formula>1</formula>
    </cfRule>
  </conditionalFormatting>
  <conditionalFormatting sqref="F37">
    <cfRule type="expression" dxfId="25" priority="63">
      <formula>$F$37=SUM($F$23:$F$36)</formula>
    </cfRule>
  </conditionalFormatting>
  <dataValidations disablePrompts="1" count="1">
    <dataValidation type="list" allowBlank="1" showInputMessage="1" showErrorMessage="1" sqref="U60:U324">
      <formula1>"Yes,No"</formula1>
    </dataValidation>
  </dataValidations>
  <pageMargins left="0.7" right="0.7" top="0.75" bottom="0.75" header="0.3" footer="0.3"/>
  <pageSetup orientation="portrait" horizontalDpi="300" verticalDpi="0" r:id="rId8"/>
  <extLst>
    <ext xmlns:x14="http://schemas.microsoft.com/office/spreadsheetml/2009/9/main" uri="{78C0D931-6437-407d-A8EE-F0AAD7539E65}">
      <x14:conditionalFormattings>
        <x14:conditionalFormatting xmlns:xm="http://schemas.microsoft.com/office/excel/2006/main">
          <x14:cfRule type="cellIs" priority="59" operator="greaterThanOrEqual" id="{0E75E3B3-EDB5-45F5-833F-9302836CD5B4}">
            <xm:f>Table!$C$4</xm:f>
            <x14:dxf>
              <font>
                <color rgb="FF006100"/>
              </font>
              <fill>
                <patternFill>
                  <bgColor rgb="FFC6EFCE"/>
                </patternFill>
              </fill>
            </x14:dxf>
          </x14:cfRule>
          <x14:cfRule type="cellIs" priority="60" operator="lessThan" id="{5EDCB94B-7F83-46C9-97C1-081A0B02B98A}">
            <xm:f>Table!$C$4</xm:f>
            <x14:dxf>
              <font>
                <color rgb="FF9C0006"/>
              </font>
              <fill>
                <patternFill>
                  <bgColor rgb="FFFFC7CE"/>
                </patternFill>
              </fill>
            </x14:dxf>
          </x14:cfRule>
          <xm:sqref>G23:G37</xm:sqref>
        </x14:conditionalFormatting>
        <x14:conditionalFormatting xmlns:xm="http://schemas.microsoft.com/office/excel/2006/main">
          <x14:cfRule type="cellIs" priority="61" operator="greaterThanOrEqual" id="{A9231A75-2EB5-402E-97C4-323D56C068D8}">
            <xm:f>Table!$D$4</xm:f>
            <x14:dxf>
              <font>
                <color rgb="FF006100"/>
              </font>
              <fill>
                <patternFill>
                  <bgColor rgb="FFC6EFCE"/>
                </patternFill>
              </fill>
            </x14:dxf>
          </x14:cfRule>
          <x14:cfRule type="cellIs" priority="62" operator="lessThan" id="{A35A63F4-C373-4CDB-9228-9F67841E418C}">
            <xm:f>Table!$D$4</xm:f>
            <x14:dxf>
              <font>
                <color rgb="FF9C0006"/>
              </font>
              <fill>
                <patternFill>
                  <bgColor rgb="FFFFC7CE"/>
                </patternFill>
              </fill>
            </x14:dxf>
          </x14:cfRule>
          <xm:sqref>G4:G17 G43:G55</xm:sqref>
        </x14:conditionalFormatting>
        <x14:conditionalFormatting xmlns:xm="http://schemas.microsoft.com/office/excel/2006/main">
          <x14:cfRule type="cellIs" priority="47" operator="greaterThanOrEqual" id="{8F20301B-8681-44B2-92CC-21C4975A5416}">
            <xm:f>Table!$D$4</xm:f>
            <x14:dxf>
              <font>
                <color rgb="FF006100"/>
              </font>
              <fill>
                <patternFill>
                  <bgColor rgb="FFC6EFCE"/>
                </patternFill>
              </fill>
            </x14:dxf>
          </x14:cfRule>
          <x14:cfRule type="cellIs" priority="48" operator="lessThan" id="{2C7E4EDD-E31B-41EE-A2B8-F67241C142BF}">
            <xm:f>Table!$D$4</xm:f>
            <x14:dxf>
              <font>
                <color rgb="FF9C0006"/>
              </font>
              <fill>
                <patternFill>
                  <bgColor rgb="FFFFC7CE"/>
                </patternFill>
              </fill>
            </x14:dxf>
          </x14:cfRule>
          <xm:sqref>G18</xm:sqref>
        </x14:conditionalFormatting>
        <x14:conditionalFormatting xmlns:xm="http://schemas.microsoft.com/office/excel/2006/main">
          <x14:cfRule type="cellIs" priority="45" operator="greaterThanOrEqual" id="{204839CC-E17E-4053-9244-2AE05B7C201E}">
            <xm:f>Table!$D$4</xm:f>
            <x14:dxf>
              <font>
                <color rgb="FF006100"/>
              </font>
              <fill>
                <patternFill>
                  <bgColor rgb="FFC6EFCE"/>
                </patternFill>
              </fill>
            </x14:dxf>
          </x14:cfRule>
          <x14:cfRule type="cellIs" priority="46" operator="lessThan" id="{73361177-A4E2-41C7-AA2E-23A98DE24BE9}">
            <xm:f>Table!$D$4</xm:f>
            <x14:dxf>
              <font>
                <color rgb="FF9C0006"/>
              </font>
              <fill>
                <patternFill>
                  <bgColor rgb="FFFFC7CE"/>
                </patternFill>
              </fill>
            </x14:dxf>
          </x14:cfRule>
          <xm:sqref>G56</xm:sqref>
        </x14:conditionalFormatting>
        <x14:conditionalFormatting xmlns:xm="http://schemas.microsoft.com/office/excel/2006/main">
          <x14:cfRule type="cellIs" priority="43" operator="greaterThanOrEqual" id="{5955973F-691E-4017-996D-C9584C4AAF3E}">
            <xm:f>Table!$D$4</xm:f>
            <x14:dxf>
              <font>
                <color rgb="FF006100"/>
              </font>
              <fill>
                <patternFill>
                  <bgColor rgb="FFC6EFCE"/>
                </patternFill>
              </fill>
            </x14:dxf>
          </x14:cfRule>
          <x14:cfRule type="cellIs" priority="44" operator="lessThan" id="{AA433256-96E5-4BC8-B426-6A146C35C3CB}">
            <xm:f>Table!$D$4</xm:f>
            <x14:dxf>
              <font>
                <color rgb="FF9C0006"/>
              </font>
              <fill>
                <patternFill>
                  <bgColor rgb="FFFFC7CE"/>
                </patternFill>
              </fill>
            </x14:dxf>
          </x14:cfRule>
          <xm:sqref>G42</xm:sqref>
        </x14:conditionalFormatting>
        <x14:conditionalFormatting xmlns:xm="http://schemas.microsoft.com/office/excel/2006/main">
          <x14:cfRule type="expression" priority="32" id="{8014DC86-9045-4B22-9DB2-C6E76B610B95}">
            <xm:f>OR(AK60=Table!$C$41,AK60=Table!$C$42)</xm:f>
            <x14:dxf>
              <font>
                <color rgb="FF9C0006"/>
              </font>
              <fill>
                <patternFill>
                  <bgColor rgb="FFFFC7CE"/>
                </patternFill>
              </fill>
            </x14:dxf>
          </x14:cfRule>
          <xm:sqref>AK60:AK324</xm:sqref>
        </x14:conditionalFormatting>
        <x14:conditionalFormatting xmlns:xm="http://schemas.microsoft.com/office/excel/2006/main">
          <x14:cfRule type="cellIs" priority="11" operator="equal" id="{ADDC4DDA-5440-4D4C-8617-D143AC21CCE0}">
            <xm:f>Table!$C$3</xm:f>
            <x14:dxf>
              <fill>
                <patternFill>
                  <bgColor rgb="FF0066FF"/>
                </patternFill>
              </fill>
            </x14:dxf>
          </x14:cfRule>
          <x14:cfRule type="cellIs" priority="12" operator="equal" id="{D4667330-B974-40CE-84A6-3B1F1298C5FC}">
            <xm:f>Table!$D$3</xm:f>
            <x14:dxf>
              <fill>
                <patternFill>
                  <bgColor rgb="FF92D050"/>
                </patternFill>
              </fill>
            </x14:dxf>
          </x14:cfRule>
          <xm:sqref>D60:D324</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14:formula1>
            <xm:f>Table!$C$41:$C$43</xm:f>
          </x14:formula1>
          <xm:sqref>AK60:AK324</xm:sqref>
        </x14:dataValidation>
        <x14:dataValidation type="list" allowBlank="1" showInputMessage="1" showErrorMessage="1">
          <x14:formula1>
            <xm:f>Table!$C$31:$C$37</xm:f>
          </x14:formula1>
          <xm:sqref>AA60:AA324</xm:sqref>
        </x14:dataValidation>
        <x14:dataValidation type="list" allowBlank="1" showInputMessage="1" showErrorMessage="1">
          <x14:formula1>
            <xm:f>Table!$C$8:$C$9</xm:f>
          </x14:formula1>
          <xm:sqref>D60:D324</xm:sqref>
        </x14:dataValidation>
        <x14:dataValidation type="list" allowBlank="1" showInputMessage="1" showErrorMessage="1">
          <x14:formula1>
            <xm:f>Table!$C$47:$C$48</xm:f>
          </x14:formula1>
          <xm:sqref>AG60:AG324</xm:sqref>
        </x14:dataValidation>
        <x14:dataValidation type="list" allowBlank="1" showInputMessage="1" showErrorMessage="1">
          <x14:formula1>
            <xm:f>Table!$C$13:$C$27</xm:f>
          </x14:formula1>
          <xm:sqref>S60:T324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FECB4C41-27E8-4A22-AFB3-4F54CDD4960E}">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4E06BDBF-2CED-473B-850B-2A6C7311FF41}">
      <selection activeCell="J38" sqref="J38"/>
      <pageMargins left="0.7" right="0.7" top="0.75" bottom="0.75" header="0.3" footer="0.3"/>
    </customSheetView>
    <customSheetView guid="{99BC1C51-34DC-4BF2-906C-1E31B6171D71}">
      <selection activeCell="C39" sqref="C39"/>
      <pageMargins left="0.7" right="0.7" top="0.75" bottom="0.75" header="0.3" footer="0.3"/>
    </customSheetView>
    <customSheetView guid="{C94451EF-7A3E-4D72-B5A4-3D1B193192CC}">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89C03E1E-B6A8-49A1-B29C-5DC4FAB2FBC6}">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970EE037-F5E5-47AF-896A-0F6222879EBC}">
      <selection activeCell="J38" sqref="J38"/>
      <pageMargins left="0.7" right="0.7" top="0.75" bottom="0.75" header="0.3" footer="0.3"/>
    </customSheetView>
    <customSheetView guid="{F96FC7D9-4F89-4FE0-8D00-C0083DEB0472}">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235"/>
  <sheetViews>
    <sheetView zoomScale="85" zoomScaleNormal="85" workbookViewId="0">
      <selection activeCell="A225" sqref="A225"/>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102">
        <v>1</v>
      </c>
      <c r="B2" s="102" t="s">
        <v>56</v>
      </c>
      <c r="C2" s="102">
        <v>20200518</v>
      </c>
      <c r="N2" s="42"/>
      <c r="O2" s="42" t="s">
        <v>56</v>
      </c>
      <c r="P2" s="1" t="s">
        <v>283</v>
      </c>
    </row>
    <row r="3" spans="1:24" x14ac:dyDescent="0.25">
      <c r="B3" s="102" t="s">
        <v>119</v>
      </c>
      <c r="C3">
        <f>SUM(G9:G10)</f>
        <v>11.375000000000002</v>
      </c>
      <c r="D3" t="s">
        <v>120</v>
      </c>
      <c r="O3" s="42" t="s">
        <v>119</v>
      </c>
      <c r="P3">
        <f>SUM(T9:T10)</f>
        <v>2.6112499999999996</v>
      </c>
      <c r="Q3" t="s">
        <v>120</v>
      </c>
    </row>
    <row r="4" spans="1:24" x14ac:dyDescent="0.25">
      <c r="B4" s="102" t="s">
        <v>127</v>
      </c>
      <c r="C4">
        <f>SUM(INT((WEEKDAY(F4-{2,3,4,5,6})+H4-F4)/7))</f>
        <v>8</v>
      </c>
      <c r="D4" t="s">
        <v>120</v>
      </c>
      <c r="E4" t="s">
        <v>151</v>
      </c>
      <c r="F4" s="6">
        <v>43969</v>
      </c>
      <c r="G4" s="6" t="s">
        <v>118</v>
      </c>
      <c r="H4" s="6">
        <v>43978</v>
      </c>
      <c r="O4" s="42" t="s">
        <v>127</v>
      </c>
      <c r="P4">
        <f>SUM(INT((WEEKDAY(S4-{2,3,4,5,6})+U4-S4)/7))</f>
        <v>4</v>
      </c>
      <c r="Q4" t="s">
        <v>120</v>
      </c>
      <c r="R4" t="s">
        <v>151</v>
      </c>
      <c r="S4" s="6">
        <v>43935</v>
      </c>
      <c r="T4" s="6" t="s">
        <v>118</v>
      </c>
      <c r="U4" s="6">
        <v>43938</v>
      </c>
    </row>
    <row r="5" spans="1:24" x14ac:dyDescent="0.25">
      <c r="B5" s="102" t="s">
        <v>128</v>
      </c>
      <c r="C5">
        <f>SUM(INT((WEEKDAY(F5-{2,3,4,5,6})+H5-F5)/7))</f>
        <v>8</v>
      </c>
      <c r="D5" t="s">
        <v>120</v>
      </c>
      <c r="E5" t="s">
        <v>151</v>
      </c>
      <c r="F5" s="6">
        <v>43969</v>
      </c>
      <c r="G5" s="6" t="s">
        <v>118</v>
      </c>
      <c r="H5" s="6">
        <v>43978</v>
      </c>
      <c r="O5" s="42" t="s">
        <v>128</v>
      </c>
      <c r="P5">
        <f>SUM(INT((WEEKDAY(S5-{2,3,4,5,6})+U5-S5)/7))</f>
        <v>4</v>
      </c>
      <c r="Q5" t="s">
        <v>120</v>
      </c>
      <c r="R5" t="s">
        <v>126</v>
      </c>
      <c r="S5" s="6">
        <v>43935</v>
      </c>
      <c r="T5" s="6" t="s">
        <v>118</v>
      </c>
      <c r="U5" s="6">
        <v>43938</v>
      </c>
    </row>
    <row r="6" spans="1:24" x14ac:dyDescent="0.25">
      <c r="B6" s="102" t="s">
        <v>17</v>
      </c>
      <c r="C6" t="str">
        <f>IF(AND(F9=E9,F10=E10),IF(SUM(H9:H10)&gt;SUM(G9:G10),"Delayed",IF(SUM(H9:H10)&lt;SUM(G9:G10),"InAdvanced","Ontime")),"N/A")</f>
        <v>InAdvanced</v>
      </c>
      <c r="F6" s="6"/>
      <c r="G6" s="6"/>
      <c r="H6" s="6"/>
      <c r="O6" s="42" t="s">
        <v>17</v>
      </c>
      <c r="S6" s="6"/>
      <c r="T6" s="6"/>
      <c r="U6" s="6"/>
    </row>
    <row r="8" spans="1:24" ht="75" x14ac:dyDescent="0.25">
      <c r="C8" s="103" t="s">
        <v>25</v>
      </c>
      <c r="D8" s="103" t="s">
        <v>26</v>
      </c>
      <c r="E8" s="104" t="s">
        <v>121</v>
      </c>
      <c r="F8" s="104" t="s">
        <v>122</v>
      </c>
      <c r="G8" s="104" t="s">
        <v>123</v>
      </c>
      <c r="H8" s="104" t="s">
        <v>124</v>
      </c>
      <c r="I8" s="104" t="s">
        <v>29</v>
      </c>
      <c r="J8" s="125" t="str">
        <f>Table!$C$41</f>
        <v>OPL</v>
      </c>
      <c r="K8" s="125" t="str">
        <f>Table!$C$42</f>
        <v>Defect</v>
      </c>
      <c r="P8" s="43" t="s">
        <v>25</v>
      </c>
      <c r="Q8" s="43" t="s">
        <v>26</v>
      </c>
      <c r="R8" s="44" t="s">
        <v>121</v>
      </c>
      <c r="S8" s="44" t="s">
        <v>122</v>
      </c>
      <c r="T8" s="44" t="s">
        <v>123</v>
      </c>
      <c r="U8" s="44" t="s">
        <v>124</v>
      </c>
      <c r="V8" s="44" t="s">
        <v>29</v>
      </c>
      <c r="W8" s="125" t="str">
        <f>Table!$C$41</f>
        <v>OPL</v>
      </c>
      <c r="X8" s="125" t="str">
        <f>Table!$C$42</f>
        <v>Defect</v>
      </c>
    </row>
    <row r="9" spans="1:24" x14ac:dyDescent="0.25">
      <c r="C9" s="45">
        <v>1</v>
      </c>
      <c r="D9" s="39" t="str">
        <f>Table!$D$3</f>
        <v>PSW</v>
      </c>
      <c r="E9" s="39">
        <f>SUMIFS(Merged_COEM!$W$60:$W$538,Merged_COEM!$D$60:$D$538,D9, Merged_COEM!$C$60:$C$538,C2)</f>
        <v>5127</v>
      </c>
      <c r="F9" s="39">
        <f>SUMIFS(Merged_COEM!$X$60:$X$538,Merged_COEM!$D$60:$D$538,D9, Merged_COEM!$C$60:$C$538,C2)-SUM(SUMIFS(Merged_COEM!$X$60:$X$538,Merged_COEM!$D$60:$D$538,Table!$D$3,Merged_COEM!$AA$60:$AA$538,{"Ongoing","N/A",""},Merged_COEM!$C$60:$C$538,C2))</f>
        <v>5127</v>
      </c>
      <c r="G9" s="39">
        <f>1/8*(SUMIFS(Merged_COEM!$Y$60:$Y$538,Merged_COEM!$D$60:$D$538,D9, Merged_COEM!$C$60:$C$538,C2))</f>
        <v>11.375000000000002</v>
      </c>
      <c r="H9" s="39">
        <f>1/8*(SUMIFS(Merged_COEM!$Z$60:$Z$538,Merged_COEM!$D$60:$D$538,D9, Merged_COEM!$C$60:$C$538,C2)-SUM(SUMIFS(Merged_COEM!$Z$60:$Z$538,Merged_COEM!$D$60:$D$538,D9,Merged_COEM!$AA$60:$AA$538,{"Ongoing","N/A",""},Merged_COEM!$C$60:$C$538,C2)))</f>
        <v>6.4249999999999998</v>
      </c>
      <c r="I9" s="40">
        <f>IFERROR(F9/E9,"N/A")</f>
        <v>1</v>
      </c>
      <c r="J9" s="3">
        <f>COUNTIFS(Merged_COEM!$AK$60:$AK$538,J8,Merged_COEM!$D$60:$D$538,D9,Merged_COEM!$C$60:$C$538,C2)</f>
        <v>3</v>
      </c>
      <c r="K9" s="3">
        <f>COUNTIFS(Merged_COEM!$AK$60:$AK$538,K8,Merged_COEM!$D$60:$D$538,D9,Merged_COEM!$C$60:$C$538,C2)</f>
        <v>0</v>
      </c>
      <c r="P9" s="45">
        <v>1</v>
      </c>
      <c r="Q9" s="39" t="str">
        <f>Table!$D$3</f>
        <v>PSW</v>
      </c>
      <c r="R9" s="39">
        <f>SUMIFS(Merged_COEM!$W$60:$W$538,Merged_COEM!$D$60:$D$538,Q9, Merged_COEM!$E$60:$E$538,P2)</f>
        <v>1177</v>
      </c>
      <c r="S9" s="39">
        <f>SUMIFS(Merged_COEM!$X$60:$X$538,Merged_COEM!$D$60:$D$538,Q9, Merged_COEM!$E$60:$E$538,P2)-SUM(SUMIFS(Merged_COEM!$X$60:$X$538,Merged_COEM!$D$60:$D$538,Table!$D$3,Merged_COEM!$AA$60:$AA$538,{"Ongoing","N/A",""},Merged_COEM!$E$60:$E$538,P2))</f>
        <v>1177</v>
      </c>
      <c r="T9" s="39">
        <f>1/8*(SUMIFS(Merged_COEM!$Y$60:$Y$538,Merged_COEM!$D$60:$D$538,Q9, Merged_COEM!$E$60:$E$538,P2))</f>
        <v>2.6112499999999996</v>
      </c>
      <c r="U9" s="59">
        <f>1/8*(SUMIFS(Merged_COEM!$Z$60:$Z$538,Merged_COEM!$D$60:$D$538,Q9, Merged_COEM!$E$60:$E$538,P2)-SUM(SUMIFS(Merged_COEM!$Z$60:$Z$538,Merged_COEM!$D$60:$D$538,Q9,Merged_COEM!$AA$60:$AA$538,{"Ongoing","N/A",""},Merged_COEM!$E$60:$E$538,P2)))</f>
        <v>1.8374999999999999</v>
      </c>
      <c r="V9" s="40">
        <f>IFERROR(S9/R9,"N/A")</f>
        <v>1</v>
      </c>
      <c r="W9" s="3">
        <f>COUNTIFS(Merged_COEM!$AK$60:$AK$538,W8,Merged_COEM!$D$60:$D$538,Q9,Merged_COEM!$E$60:$E$538,P2)</f>
        <v>5</v>
      </c>
      <c r="X9" s="3">
        <f>COUNTIFS(Merged_COEM!$AK$60:$AK$538,X8,Merged_COEM!$D$60:$D$538,Q9,Merged_COEM!$E$60:$E$538,P2)</f>
        <v>0</v>
      </c>
    </row>
    <row r="10" spans="1:24" x14ac:dyDescent="0.25">
      <c r="C10" s="45">
        <v>2</v>
      </c>
      <c r="D10" s="39" t="str">
        <f>Table!$C$3</f>
        <v>ASW</v>
      </c>
      <c r="E10" s="39">
        <f>SUMIFS(Merged_COEM!$W$60:$W$538,Merged_COEM!$D$60:$D$538,D10, Merged_COEM!$C$60:$C$538,C2)</f>
        <v>0</v>
      </c>
      <c r="F10" s="39">
        <f>SUMIFS(Merged_COEM!$X$60:$X$538,Merged_COEM!$D$60:$D$538,D10, Merged_COEM!$C$60:$C$538,C2)-SUM(SUMIFS(Merged_COEM!$X$60:$X$538,Merged_COEM!$D$60:$D$538,D10,Merged_COEM!$AA$60:$AA$538,{"Ongoing","N/A",""},Merged_COEM!$C$60:$C$538,C2))</f>
        <v>0</v>
      </c>
      <c r="G10" s="39">
        <f>1/8*(SUMIFS(Merged_COEM!$Y$60:$Y$538,Merged_COEM!$D$60:$D$538,D10, Merged_COEM!$C$60:$C$538,C2))</f>
        <v>0</v>
      </c>
      <c r="H10" s="39">
        <f>1/8*(SUMIFS(Merged_COEM!$Z$60:$Z$538,Merged_COEM!$D$60:$D$538,D10, Merged_COEM!$C$60:$C$538,C2)-SUM(SUMIFS(Merged_COEM!$Z$60:$Z$538,Merged_COEM!$D$60:$D$538,D10,Merged_COEM!$AA$60:$AA$538,{"Ongoing","N/A",""},Merged_COEM!$C$60:$C$538,C2)))</f>
        <v>0</v>
      </c>
      <c r="I10" s="40" t="str">
        <f>IFERROR(F10/E10,"N/A")</f>
        <v>N/A</v>
      </c>
      <c r="J10" s="3">
        <f>COUNTIFS(Merged_COEM!$AK$60:$AK$538,J8,Merged_COEM!$D$60:$D$538,D10,Merged_COEM!$C$60:$C$538,C2)</f>
        <v>0</v>
      </c>
      <c r="K10" s="3">
        <f>COUNTIFS(Merged_COEM!$AK$60:$AK$538,K8,Merged_COEM!$D$60:$D$538,D10,Merged_COEM!$C$60:$C$538,C2)</f>
        <v>0</v>
      </c>
      <c r="P10" s="45">
        <v>2</v>
      </c>
      <c r="Q10" s="39" t="str">
        <f>Table!$C$3</f>
        <v>ASW</v>
      </c>
      <c r="R10" s="39">
        <f>SUMIFS(Merged_COEM!$W$60:$W$538,Merged_COEM!$D$60:$D$538,Q10, Merged_COEM!$E$60:$E$538,P2)</f>
        <v>0</v>
      </c>
      <c r="S10" s="39">
        <f>SUMIFS(Merged_COEM!$X$60:$X$538,Merged_COEM!$D$60:$D$538,Q10, Merged_COEM!$E$60:$E$538,P2)-SUM(SUMIFS(Merged_COEM!$X$60:$X$538,Merged_COEM!$D$60:$D$538,Table!$D$3,Merged_COEM!$AA$60:$AA$538,{"Ongoing","N/A",""},Merged_COEM!$E$60:$E$538,P2))</f>
        <v>0</v>
      </c>
      <c r="T10" s="39">
        <f>1/8*(SUMIFS(Merged_COEM!$Y$60:$Y$538,Merged_COEM!$D$60:$D$538,Q10, Merged_COEM!$E$60:$E$538,P2))</f>
        <v>0</v>
      </c>
      <c r="U10" s="59">
        <f>1/8*(SUMIFS(Merged_COEM!$Z$60:$Z$538,Merged_COEM!$D$60:$D$538,Q10, Merged_COEM!$E$60:$E$538,P2)-SUM(SUMIFS(Merged_COEM!$Z$60:$Z$538,Merged_COEM!$D$60:$D$538,Q10,Merged_COEM!$AA$60:$AA$538,{"Ongoing","N/A",""},Merged_COEM!$E$60:$E$538,P2)))</f>
        <v>0</v>
      </c>
      <c r="V10" s="40" t="str">
        <f>IFERROR(S10/R10,"N/A")</f>
        <v>N/A</v>
      </c>
      <c r="W10" s="3">
        <f>COUNTIFS(Merged_COEM!$AK$60:$AK$538,W8,Merged_COEM!$D$60:$D$538,Q10,Merged_COEM!$E$60:$E$538,P2)</f>
        <v>0</v>
      </c>
      <c r="X10" s="3">
        <f>COUNTIFS(Merged_COEM!$AK$60:$AK$538,X8,Merged_COEM!$D$60:$D$538,Q10,Merged_COEM!$E$60:$E$538,P2)</f>
        <v>0</v>
      </c>
    </row>
    <row r="12" spans="1:24" x14ac:dyDescent="0.25">
      <c r="C12" t="s">
        <v>125</v>
      </c>
      <c r="P12" t="s">
        <v>125</v>
      </c>
    </row>
    <row r="13" spans="1:24" x14ac:dyDescent="0.25">
      <c r="D13" s="105" t="s">
        <v>129</v>
      </c>
    </row>
    <row r="15" spans="1:24" x14ac:dyDescent="0.25">
      <c r="A15" s="102">
        <v>2</v>
      </c>
      <c r="B15" s="102" t="s">
        <v>56</v>
      </c>
      <c r="C15" s="102">
        <v>20200519</v>
      </c>
    </row>
    <row r="16" spans="1:24" x14ac:dyDescent="0.25">
      <c r="B16" s="102" t="s">
        <v>119</v>
      </c>
      <c r="C16">
        <f>SUM(G22:G23)</f>
        <v>6.7625000000000002</v>
      </c>
      <c r="D16" t="s">
        <v>120</v>
      </c>
    </row>
    <row r="17" spans="1:11" x14ac:dyDescent="0.25">
      <c r="B17" s="102" t="s">
        <v>127</v>
      </c>
      <c r="C17">
        <f>SUM(INT((WEEKDAY(F17-{2,3,4,5,6})+H17-F17)/7))</f>
        <v>6</v>
      </c>
      <c r="D17" t="s">
        <v>120</v>
      </c>
      <c r="E17" t="s">
        <v>151</v>
      </c>
      <c r="F17" s="6">
        <v>43970</v>
      </c>
      <c r="G17" s="6" t="s">
        <v>118</v>
      </c>
      <c r="H17" s="6">
        <v>43977</v>
      </c>
    </row>
    <row r="18" spans="1:11" x14ac:dyDescent="0.25">
      <c r="B18" s="102" t="s">
        <v>128</v>
      </c>
      <c r="C18">
        <f>SUM(INT((WEEKDAY(F18-{2,3,4,5,6})+H18-F18)/7))</f>
        <v>6</v>
      </c>
      <c r="D18" t="s">
        <v>120</v>
      </c>
      <c r="E18" t="s">
        <v>151</v>
      </c>
      <c r="F18" s="6">
        <v>43970</v>
      </c>
      <c r="G18" s="6" t="s">
        <v>118</v>
      </c>
      <c r="H18" s="6">
        <v>43977</v>
      </c>
    </row>
    <row r="19" spans="1:11" x14ac:dyDescent="0.25">
      <c r="B19" s="102" t="s">
        <v>17</v>
      </c>
      <c r="C19" t="str">
        <f>IF(AND(F22=E22,F23=E23),IF(SUM(H22:H23)&gt;SUM(G22:G23),"Delayed",IF(SUM(H22:H23)&lt;SUM(G22:G23),"InAdvanced","Ontime")),"N/A")</f>
        <v>InAdvanced</v>
      </c>
      <c r="F19" s="6"/>
      <c r="G19" s="6"/>
      <c r="H19" s="6"/>
    </row>
    <row r="21" spans="1:11" ht="45" x14ac:dyDescent="0.25">
      <c r="C21" s="103" t="s">
        <v>25</v>
      </c>
      <c r="D21" s="103" t="s">
        <v>26</v>
      </c>
      <c r="E21" s="104" t="s">
        <v>121</v>
      </c>
      <c r="F21" s="104" t="s">
        <v>122</v>
      </c>
      <c r="G21" s="104" t="s">
        <v>123</v>
      </c>
      <c r="H21" s="104" t="s">
        <v>124</v>
      </c>
      <c r="I21" s="104" t="s">
        <v>29</v>
      </c>
      <c r="J21" s="125" t="str">
        <f>Table!$C$41</f>
        <v>OPL</v>
      </c>
      <c r="K21" s="125" t="str">
        <f>Table!$C$42</f>
        <v>Defect</v>
      </c>
    </row>
    <row r="22" spans="1:11" x14ac:dyDescent="0.25">
      <c r="C22" s="45">
        <v>1</v>
      </c>
      <c r="D22" s="39" t="str">
        <f>Table!$D$3</f>
        <v>PSW</v>
      </c>
      <c r="E22" s="39">
        <f>SUMIFS(Merged_COEM!$W$60:$W$538,Merged_COEM!$D$60:$D$538,D22, Merged_COEM!$C$60:$C$538,C15)</f>
        <v>2852</v>
      </c>
      <c r="F22" s="39">
        <f>SUMIFS(Merged_COEM!$X$60:$X$538,Merged_COEM!$D$60:$D$538,D22, Merged_COEM!$C$60:$C$538,C15)-SUM(SUMIFS(Merged_COEM!$X$60:$X$538,Merged_COEM!$D$60:$D$538,Table!$D$3,Merged_COEM!$AA$60:$AA$538,{"Ongoing","N/A",""},Merged_COEM!$C$60:$C$538,C15))</f>
        <v>2852</v>
      </c>
      <c r="G22" s="39">
        <f>1/8*(SUMIFS(Merged_COEM!$Y$60:$Y$538,Merged_COEM!$D$60:$D$538,D22, Merged_COEM!$C$60:$C$538,C15))</f>
        <v>6.3262499999999999</v>
      </c>
      <c r="H22" s="39">
        <f>1/8*(SUMIFS(Merged_COEM!$Z$60:$Z$538,Merged_COEM!$D$60:$D$538,D22, Merged_COEM!$C$60:$C$538,C15)-SUM(SUMIFS(Merged_COEM!$Z$60:$Z$538,Merged_COEM!$D$60:$D$538,D22,Merged_COEM!$AA$60:$AA$538,{"Ongoing","N/A",""},Merged_COEM!$C$60:$C$538,C15)))</f>
        <v>4.6500000000000004</v>
      </c>
      <c r="I22" s="40">
        <f>IFERROR(F22/E22,"N/A")</f>
        <v>1</v>
      </c>
      <c r="J22" s="3">
        <f>COUNTIFS(Merged_COEM!$AK$60:$AK$538,J21,Merged_COEM!$D$60:$D$538,D22,Merged_COEM!$C$60:$C$538,C15)</f>
        <v>5</v>
      </c>
      <c r="K22" s="3">
        <f>COUNTIFS(Merged_COEM!$AK$60:$AK$538,K21,Merged_COEM!$D$60:$D$538,D22,Merged_COEM!$C$60:$C$538,C15)</f>
        <v>0</v>
      </c>
    </row>
    <row r="23" spans="1:11" x14ac:dyDescent="0.25">
      <c r="C23" s="45">
        <v>2</v>
      </c>
      <c r="D23" s="39" t="str">
        <f>Table!$C$3</f>
        <v>ASW</v>
      </c>
      <c r="E23" s="39">
        <f>SUMIFS(Merged_COEM!$W$60:$W$538,Merged_COEM!$D$60:$D$538,D23, Merged_COEM!$C$60:$C$538,C15)</f>
        <v>57</v>
      </c>
      <c r="F23" s="39">
        <f>SUMIFS(Merged_COEM!$X$60:$X$538,Merged_COEM!$D$60:$D$538,D23, Merged_COEM!$C$60:$C$538,C15)-SUM(SUMIFS(Merged_COEM!$X$60:$X$538,Merged_COEM!$D$60:$D$538,D23,Merged_COEM!$AA$60:$AA$538,{"Ongoing","N/A",""},Merged_COEM!$C$60:$C$538,C15))</f>
        <v>57</v>
      </c>
      <c r="G23" s="39">
        <f>1/8*(SUMIFS(Merged_COEM!$Y$60:$Y$538,Merged_COEM!$D$60:$D$538,D23, Merged_COEM!$C$60:$C$538,C15))</f>
        <v>0.43624999999999997</v>
      </c>
      <c r="H23" s="39">
        <f>1/8*(SUMIFS(Merged_COEM!$Z$60:$Z$538,Merged_COEM!$D$60:$D$538,D23, Merged_COEM!$C$60:$C$538,C15)-SUM(SUMIFS(Merged_COEM!$Z$60:$Z$538,Merged_COEM!$D$60:$D$538,D23,Merged_COEM!$AA$60:$AA$538,{"Ongoing","N/A",""},Merged_COEM!$C$60:$C$538,C15)))</f>
        <v>0.375</v>
      </c>
      <c r="I23" s="40">
        <f>IFERROR(F23/E23,"N/A")</f>
        <v>1</v>
      </c>
      <c r="J23" s="3">
        <f>COUNTIFS(Merged_COEM!$AK$60:$AK$538,J21,Merged_COEM!$D$60:$D$538,D23,Merged_COEM!$C$60:$C$538,C15)</f>
        <v>1</v>
      </c>
      <c r="K23" s="3">
        <f>COUNTIFS(Merged_COEM!$AK$60:$AK$538,K21,Merged_COEM!$D$60:$D$538,D23,Merged_COEM!$C$60:$C$538,C15)</f>
        <v>0</v>
      </c>
    </row>
    <row r="25" spans="1:11" x14ac:dyDescent="0.25">
      <c r="C25" t="s">
        <v>125</v>
      </c>
    </row>
    <row r="26" spans="1:11" x14ac:dyDescent="0.25">
      <c r="D26" s="105" t="s">
        <v>129</v>
      </c>
    </row>
    <row r="28" spans="1:11" x14ac:dyDescent="0.25">
      <c r="A28" s="117">
        <v>3</v>
      </c>
      <c r="B28" s="117" t="s">
        <v>56</v>
      </c>
      <c r="C28" s="117">
        <v>20200520</v>
      </c>
    </row>
    <row r="29" spans="1:11" x14ac:dyDescent="0.25">
      <c r="B29" s="117" t="s">
        <v>119</v>
      </c>
      <c r="C29">
        <f>SUM(G35:G36)</f>
        <v>28.044999999999995</v>
      </c>
      <c r="D29" t="s">
        <v>120</v>
      </c>
    </row>
    <row r="30" spans="1:11" x14ac:dyDescent="0.25">
      <c r="B30" s="117" t="s">
        <v>127</v>
      </c>
      <c r="C30">
        <f>SUM(INT((WEEKDAY(F30-{2,3,4,5,6})+H30-F30)/7))</f>
        <v>11</v>
      </c>
      <c r="D30" t="s">
        <v>120</v>
      </c>
      <c r="E30" t="s">
        <v>151</v>
      </c>
      <c r="F30" s="6">
        <v>43971</v>
      </c>
      <c r="G30" s="6" t="s">
        <v>118</v>
      </c>
      <c r="H30" s="6">
        <v>43985</v>
      </c>
    </row>
    <row r="31" spans="1:11" x14ac:dyDescent="0.25">
      <c r="B31" s="117" t="s">
        <v>128</v>
      </c>
      <c r="C31">
        <f>SUM(INT((WEEKDAY(F31-{2,3,4,5,6})+H31-F31)/7))</f>
        <v>11</v>
      </c>
      <c r="D31" t="s">
        <v>120</v>
      </c>
      <c r="E31" t="s">
        <v>151</v>
      </c>
      <c r="F31" s="6">
        <v>43971</v>
      </c>
      <c r="G31" s="6" t="s">
        <v>118</v>
      </c>
      <c r="H31" s="6">
        <v>43985</v>
      </c>
    </row>
    <row r="32" spans="1:11" x14ac:dyDescent="0.25">
      <c r="B32" s="117" t="s">
        <v>17</v>
      </c>
      <c r="C32" t="str">
        <f>IF(AND(F35=E35,F36=E36),IF(SUM(H35:H36)&gt;SUM(G35:G36),"Delayed",IF(SUM(H35:H36)&lt;SUM(G35:G36),"InAdvanced","Ontime")),"N/A")</f>
        <v>InAdvanced</v>
      </c>
      <c r="F32" s="6"/>
      <c r="G32" s="6"/>
      <c r="H32" s="6"/>
    </row>
    <row r="34" spans="1:11" ht="45" x14ac:dyDescent="0.25">
      <c r="C34" s="118" t="s">
        <v>25</v>
      </c>
      <c r="D34" s="118" t="s">
        <v>26</v>
      </c>
      <c r="E34" s="119" t="s">
        <v>121</v>
      </c>
      <c r="F34" s="119" t="s">
        <v>122</v>
      </c>
      <c r="G34" s="119" t="s">
        <v>123</v>
      </c>
      <c r="H34" s="119" t="s">
        <v>124</v>
      </c>
      <c r="I34" s="119" t="s">
        <v>29</v>
      </c>
      <c r="J34" s="125" t="str">
        <f>Table!$C$41</f>
        <v>OPL</v>
      </c>
      <c r="K34" s="125" t="str">
        <f>Table!$C$42</f>
        <v>Defect</v>
      </c>
    </row>
    <row r="35" spans="1:11" x14ac:dyDescent="0.25">
      <c r="C35" s="45">
        <v>1</v>
      </c>
      <c r="D35" s="39" t="str">
        <f>Table!$D$3</f>
        <v>PSW</v>
      </c>
      <c r="E35" s="39">
        <f>SUMIFS(Merged_COEM!$W$60:$W$538,Merged_COEM!$D$60:$D$538,D35, Merged_COEM!$C$60:$C$538,C28)</f>
        <v>12626</v>
      </c>
      <c r="F35" s="39">
        <f>SUMIFS(Merged_COEM!$X$60:$X$538,Merged_COEM!$D$60:$D$538,D35, Merged_COEM!$C$60:$C$538,C28)-SUM(SUMIFS(Merged_COEM!$X$60:$X$538,Merged_COEM!$D$60:$D$538,Table!$D$3,Merged_COEM!$AA$60:$AA$538,{"Ongoing","N/A",""},Merged_COEM!$C$60:$C$538,C28))</f>
        <v>12626</v>
      </c>
      <c r="G35" s="39">
        <f>1/8*(SUMIFS(Merged_COEM!$Y$60:$Y$538,Merged_COEM!$D$60:$D$538,D35, Merged_COEM!$C$60:$C$538,C28))</f>
        <v>28.044999999999995</v>
      </c>
      <c r="H35" s="39">
        <f>1/8*(SUMIFS(Merged_COEM!$Z$60:$Z$538,Merged_COEM!$D$60:$D$538,D35, Merged_COEM!$C$60:$C$538,C28)-SUM(SUMIFS(Merged_COEM!$Z$60:$Z$538,Merged_COEM!$D$60:$D$538,D35,Merged_COEM!$AA$60:$AA$538,{"Ongoing","N/A",""},Merged_COEM!$C$60:$C$538,C28)))</f>
        <v>14.3375</v>
      </c>
      <c r="I35" s="40">
        <f>IFERROR(F35/E35,"N/A")</f>
        <v>1</v>
      </c>
      <c r="J35" s="3">
        <f>COUNTIFS(Merged_COEM!$AK$60:$AK$538,J34,Merged_COEM!$D$60:$D$538,D35,Merged_COEM!$C$60:$C$538,C28)</f>
        <v>0</v>
      </c>
      <c r="K35" s="3">
        <f>COUNTIFS(Merged_COEM!$AK$60:$AK$538,K34,Merged_COEM!$D$60:$D$538,D35,Merged_COEM!$C$60:$C$538,C28)</f>
        <v>0</v>
      </c>
    </row>
    <row r="36" spans="1:11" x14ac:dyDescent="0.25">
      <c r="C36" s="45">
        <v>2</v>
      </c>
      <c r="D36" s="39" t="str">
        <f>Table!$C$3</f>
        <v>ASW</v>
      </c>
      <c r="E36" s="39">
        <f>SUMIFS(Merged_COEM!$W$60:$W$538,Merged_COEM!$D$60:$D$538,D36, Merged_COEM!$C$60:$C$538,C28)</f>
        <v>0</v>
      </c>
      <c r="F36" s="39">
        <f>SUMIFS(Merged_COEM!$X$60:$X$538,Merged_COEM!$D$60:$D$538,D36, Merged_COEM!$C$60:$C$538,C28)-SUM(SUMIFS(Merged_COEM!$X$60:$X$538,Merged_COEM!$D$60:$D$538,D36,Merged_COEM!$AA$60:$AA$538,{"Ongoing","N/A",""},Merged_COEM!$C$60:$C$538,C28))</f>
        <v>0</v>
      </c>
      <c r="G36" s="39">
        <f>1/8*(SUMIFS(Merged_COEM!$Y$60:$Y$538,Merged_COEM!$D$60:$D$538,D36, Merged_COEM!$C$60:$C$538,C28))</f>
        <v>0</v>
      </c>
      <c r="H36" s="39">
        <f>1/8*(SUMIFS(Merged_COEM!$Z$60:$Z$538,Merged_COEM!$D$60:$D$538,D36, Merged_COEM!$C$60:$C$538,C28)-SUM(SUMIFS(Merged_COEM!$Z$60:$Z$538,Merged_COEM!$D$60:$D$538,D36,Merged_COEM!$AA$60:$AA$538,{"Ongoing","N/A",""},Merged_COEM!$C$60:$C$538,C28)))</f>
        <v>0</v>
      </c>
      <c r="I36" s="40" t="str">
        <f>IFERROR(F36/E36,"N/A")</f>
        <v>N/A</v>
      </c>
      <c r="J36" s="3">
        <f>COUNTIFS(Merged_COEM!$AK$60:$AK$538,J34,Merged_COEM!$D$60:$D$538,D36,Merged_COEM!$C$60:$C$538,C28)</f>
        <v>0</v>
      </c>
      <c r="K36" s="3">
        <f>COUNTIFS(Merged_COEM!$AK$60:$AK$538,K34,Merged_COEM!$D$60:$D$538,D36,Merged_COEM!$C$60:$C$538,C28)</f>
        <v>0</v>
      </c>
    </row>
    <row r="38" spans="1:11" x14ac:dyDescent="0.25">
      <c r="C38" t="s">
        <v>125</v>
      </c>
    </row>
    <row r="39" spans="1:11" x14ac:dyDescent="0.25">
      <c r="D39" s="120" t="s">
        <v>129</v>
      </c>
    </row>
    <row r="41" spans="1:11" x14ac:dyDescent="0.25">
      <c r="A41" s="117">
        <v>4</v>
      </c>
      <c r="B41" s="117" t="s">
        <v>56</v>
      </c>
      <c r="C41" s="117">
        <v>20200521</v>
      </c>
    </row>
    <row r="42" spans="1:11" x14ac:dyDescent="0.25">
      <c r="B42" s="117" t="s">
        <v>119</v>
      </c>
      <c r="C42">
        <f>SUM(G48:G49)</f>
        <v>2.3087499999999999</v>
      </c>
      <c r="D42" t="s">
        <v>120</v>
      </c>
    </row>
    <row r="43" spans="1:11" x14ac:dyDescent="0.25">
      <c r="B43" s="117" t="s">
        <v>127</v>
      </c>
      <c r="C43">
        <f>SUM(INT((WEEKDAY(F43-{2,3,4,5,6})+H43-F43)/7))</f>
        <v>2</v>
      </c>
      <c r="D43" t="s">
        <v>120</v>
      </c>
      <c r="E43" t="s">
        <v>151</v>
      </c>
      <c r="F43" s="6">
        <v>43972</v>
      </c>
      <c r="G43" s="6" t="s">
        <v>118</v>
      </c>
      <c r="H43" s="6">
        <v>43973</v>
      </c>
    </row>
    <row r="44" spans="1:11" x14ac:dyDescent="0.25">
      <c r="B44" s="117" t="s">
        <v>128</v>
      </c>
      <c r="C44">
        <f>SUM(INT((WEEKDAY(F44-{2,3,4,5,6})+H44-F44)/7))</f>
        <v>2</v>
      </c>
      <c r="D44" t="s">
        <v>120</v>
      </c>
      <c r="E44" t="s">
        <v>151</v>
      </c>
      <c r="F44" s="6">
        <v>43972</v>
      </c>
      <c r="G44" s="6" t="s">
        <v>118</v>
      </c>
      <c r="H44" s="6">
        <v>43973</v>
      </c>
    </row>
    <row r="45" spans="1:11" x14ac:dyDescent="0.25">
      <c r="B45" s="117" t="s">
        <v>17</v>
      </c>
      <c r="C45" t="str">
        <f>IF(AND(F48=E48,F49=E49),IF(SUM(H48:H49)&gt;SUM(G48:G49),"Delayed",IF(SUM(H48:H49)&lt;SUM(G48:G49),"InAdvanced","Ontime")),"N/A")</f>
        <v>InAdvanced</v>
      </c>
      <c r="F45" s="6"/>
      <c r="G45" s="6"/>
      <c r="H45" s="6"/>
    </row>
    <row r="47" spans="1:11" ht="45" x14ac:dyDescent="0.25">
      <c r="C47" s="118" t="s">
        <v>25</v>
      </c>
      <c r="D47" s="118" t="s">
        <v>26</v>
      </c>
      <c r="E47" s="119" t="s">
        <v>121</v>
      </c>
      <c r="F47" s="119" t="s">
        <v>122</v>
      </c>
      <c r="G47" s="119" t="s">
        <v>123</v>
      </c>
      <c r="H47" s="119" t="s">
        <v>124</v>
      </c>
      <c r="I47" s="119" t="s">
        <v>29</v>
      </c>
      <c r="J47" s="125" t="str">
        <f>Table!$C$41</f>
        <v>OPL</v>
      </c>
      <c r="K47" s="125" t="str">
        <f>Table!$C$42</f>
        <v>Defect</v>
      </c>
    </row>
    <row r="48" spans="1:11" x14ac:dyDescent="0.25">
      <c r="C48" s="45">
        <v>1</v>
      </c>
      <c r="D48" s="39" t="str">
        <f>Table!$D$3</f>
        <v>PSW</v>
      </c>
      <c r="E48" s="39">
        <f>SUMIFS(Merged_COEM!$W$60:$W$538,Merged_COEM!$D$60:$D$538,D48, Merged_COEM!$C$60:$C$538,C41)</f>
        <v>1040</v>
      </c>
      <c r="F48" s="39">
        <f>SUMIFS(Merged_COEM!$X$60:$X$538,Merged_COEM!$D$60:$D$538,D48, Merged_COEM!$C$60:$C$538,C41)-SUM(SUMIFS(Merged_COEM!$X$60:$X$538,Merged_COEM!$D$60:$D$538,Table!$D$3,Merged_COEM!$AA$60:$AA$538,{"Ongoing","N/A",""},Merged_COEM!$C$60:$C$538,C41))</f>
        <v>1040</v>
      </c>
      <c r="G48" s="39">
        <f>1/8*(SUMIFS(Merged_COEM!$Y$60:$Y$538,Merged_COEM!$D$60:$D$538,D48, Merged_COEM!$C$60:$C$538,C41))</f>
        <v>2.3087499999999999</v>
      </c>
      <c r="H48" s="39">
        <f>1/8*(SUMIFS(Merged_COEM!$Z$60:$Z$538,Merged_COEM!$D$60:$D$538,D48, Merged_COEM!$C$60:$C$538,C41)-SUM(SUMIFS(Merged_COEM!$Z$60:$Z$538,Merged_COEM!$D$60:$D$538,D48,Merged_COEM!$AA$60:$AA$538,{"Ongoing","N/A",""},Merged_COEM!$C$60:$C$538,C41)))</f>
        <v>0.5</v>
      </c>
      <c r="I48" s="40">
        <f>IFERROR(F48/E48,"N/A")</f>
        <v>1</v>
      </c>
      <c r="J48" s="3">
        <f>COUNTIFS(Merged_COEM!$AK$60:$AK$538,J47,Merged_COEM!$D$60:$D$538,D48,Merged_COEM!$C$60:$C$538,C41)</f>
        <v>0</v>
      </c>
      <c r="K48" s="3">
        <f>COUNTIFS(Merged_COEM!$AK$60:$AK$538,K47,Merged_COEM!$D$60:$D$538,D48,Merged_COEM!$C$60:$C$538,C41)</f>
        <v>0</v>
      </c>
    </row>
    <row r="49" spans="1:11" x14ac:dyDescent="0.25">
      <c r="C49" s="45">
        <v>2</v>
      </c>
      <c r="D49" s="39" t="str">
        <f>Table!$C$3</f>
        <v>ASW</v>
      </c>
      <c r="E49" s="39">
        <f>SUMIFS(Merged_COEM!$W$60:$W$538,Merged_COEM!$D$60:$D$538,D49, Merged_COEM!$C$60:$C$538,C41)</f>
        <v>0</v>
      </c>
      <c r="F49" s="39">
        <f>SUMIFS(Merged_COEM!$X$60:$X$538,Merged_COEM!$D$60:$D$538,D49, Merged_COEM!$C$60:$C$538,C41)-SUM(SUMIFS(Merged_COEM!$X$60:$X$538,Merged_COEM!$D$60:$D$538,D49,Merged_COEM!$AA$60:$AA$538,{"Ongoing","N/A",""},Merged_COEM!$C$60:$C$538,C41))</f>
        <v>0</v>
      </c>
      <c r="G49" s="39">
        <f>1/8*(SUMIFS(Merged_COEM!$Y$60:$Y$538,Merged_COEM!$D$60:$D$538,D49, Merged_COEM!$C$60:$C$538,C41))</f>
        <v>0</v>
      </c>
      <c r="H49" s="39">
        <f>1/8*(SUMIFS(Merged_COEM!$Z$60:$Z$538,Merged_COEM!$D$60:$D$538,D49, Merged_COEM!$C$60:$C$538,C41)-SUM(SUMIFS(Merged_COEM!$Z$60:$Z$538,Merged_COEM!$D$60:$D$538,D49,Merged_COEM!$AA$60:$AA$538,{"Ongoing","N/A",""},Merged_COEM!$C$60:$C$538,C41)))</f>
        <v>0</v>
      </c>
      <c r="I49" s="40" t="str">
        <f>IFERROR(F49/E49,"N/A")</f>
        <v>N/A</v>
      </c>
      <c r="J49" s="3">
        <f>COUNTIFS(Merged_COEM!$AK$60:$AK$538,J47,Merged_COEM!$D$60:$D$538,D49,Merged_COEM!$C$60:$C$538,C41)</f>
        <v>0</v>
      </c>
      <c r="K49" s="3">
        <f>COUNTIFS(Merged_COEM!$AK$60:$AK$538,K47,Merged_COEM!$D$60:$D$538,D49,Merged_COEM!$C$60:$C$538,C41)</f>
        <v>0</v>
      </c>
    </row>
    <row r="51" spans="1:11" x14ac:dyDescent="0.25">
      <c r="C51" t="s">
        <v>125</v>
      </c>
    </row>
    <row r="52" spans="1:11" x14ac:dyDescent="0.25">
      <c r="D52" s="120" t="s">
        <v>129</v>
      </c>
    </row>
    <row r="54" spans="1:11" x14ac:dyDescent="0.25">
      <c r="A54" s="117">
        <v>5</v>
      </c>
      <c r="B54" s="117" t="s">
        <v>56</v>
      </c>
      <c r="C54" s="117">
        <v>20200522</v>
      </c>
    </row>
    <row r="55" spans="1:11" x14ac:dyDescent="0.25">
      <c r="B55" s="117" t="s">
        <v>119</v>
      </c>
      <c r="C55">
        <f>SUM(G61:G62)</f>
        <v>8.754999999999999</v>
      </c>
      <c r="D55" t="s">
        <v>120</v>
      </c>
    </row>
    <row r="56" spans="1:11" x14ac:dyDescent="0.25">
      <c r="B56" s="117" t="s">
        <v>127</v>
      </c>
      <c r="C56">
        <f>SUM(INT((WEEKDAY(F56-{2,3,4,5,6})+H56-F56)/7))</f>
        <v>5</v>
      </c>
      <c r="D56" t="s">
        <v>120</v>
      </c>
      <c r="E56" t="s">
        <v>151</v>
      </c>
      <c r="F56" s="6">
        <v>43973</v>
      </c>
      <c r="G56" s="6" t="s">
        <v>118</v>
      </c>
      <c r="H56" s="6">
        <v>43979</v>
      </c>
    </row>
    <row r="57" spans="1:11" x14ac:dyDescent="0.25">
      <c r="B57" s="117" t="s">
        <v>128</v>
      </c>
      <c r="C57">
        <f>SUM(INT((WEEKDAY(F57-{2,3,4,5,6})+H57-F57)/7))</f>
        <v>5</v>
      </c>
      <c r="D57" t="s">
        <v>120</v>
      </c>
      <c r="E57" t="s">
        <v>151</v>
      </c>
      <c r="F57" s="6">
        <v>43973</v>
      </c>
      <c r="G57" s="6" t="s">
        <v>118</v>
      </c>
      <c r="H57" s="6">
        <v>43979</v>
      </c>
    </row>
    <row r="58" spans="1:11" x14ac:dyDescent="0.25">
      <c r="B58" s="117" t="s">
        <v>17</v>
      </c>
      <c r="C58" t="str">
        <f>IF(AND(F61=E61,F62=E62),IF(SUM(H61:H62)&gt;SUM(G61:G62),"Delayed",IF(SUM(H61:H62)&lt;SUM(G61:G62),"InAdvanced","Ontime")),"N/A")</f>
        <v>InAdvanced</v>
      </c>
      <c r="F58" s="6"/>
      <c r="G58" s="6"/>
      <c r="H58" s="6"/>
    </row>
    <row r="60" spans="1:11" ht="45" x14ac:dyDescent="0.25">
      <c r="C60" s="118" t="s">
        <v>25</v>
      </c>
      <c r="D60" s="118" t="s">
        <v>26</v>
      </c>
      <c r="E60" s="119" t="s">
        <v>121</v>
      </c>
      <c r="F60" s="119" t="s">
        <v>122</v>
      </c>
      <c r="G60" s="119" t="s">
        <v>123</v>
      </c>
      <c r="H60" s="119" t="s">
        <v>124</v>
      </c>
      <c r="I60" s="119" t="s">
        <v>29</v>
      </c>
      <c r="J60" s="125" t="str">
        <f>Table!$C$41</f>
        <v>OPL</v>
      </c>
      <c r="K60" s="125" t="str">
        <f>Table!$C$42</f>
        <v>Defect</v>
      </c>
    </row>
    <row r="61" spans="1:11" x14ac:dyDescent="0.25">
      <c r="C61" s="45">
        <v>1</v>
      </c>
      <c r="D61" s="39" t="str">
        <f>Table!$D$3</f>
        <v>PSW</v>
      </c>
      <c r="E61" s="39">
        <f>SUMIFS(Merged_COEM!$W$60:$W$538,Merged_COEM!$D$60:$D$538,D61, Merged_COEM!$C$60:$C$538,C54)</f>
        <v>3132</v>
      </c>
      <c r="F61" s="39">
        <f>SUMIFS(Merged_COEM!$X$60:$X$538,Merged_COEM!$D$60:$D$538,D61, Merged_COEM!$C$60:$C$538,C54)-SUM(SUMIFS(Merged_COEM!$X$60:$X$538,Merged_COEM!$D$60:$D$538,Table!$D$3,Merged_COEM!$AA$60:$AA$538,{"Ongoing","N/A",""},Merged_COEM!$C$60:$C$538,C54))</f>
        <v>3132</v>
      </c>
      <c r="G61" s="39">
        <f>1/8*(SUMIFS(Merged_COEM!$Y$60:$Y$538,Merged_COEM!$D$60:$D$538,D61, Merged_COEM!$C$60:$C$538,C54))</f>
        <v>6.9499999999999993</v>
      </c>
      <c r="H61" s="39">
        <f>1/8*(SUMIFS(Merged_COEM!$Z$60:$Z$538,Merged_COEM!$D$60:$D$538,D61, Merged_COEM!$C$60:$C$538,C54)-SUM(SUMIFS(Merged_COEM!$Z$60:$Z$538,Merged_COEM!$D$60:$D$538,D61,Merged_COEM!$AA$60:$AA$538,{"Ongoing","N/A",""},Merged_COEM!$C$60:$C$538,C54)))</f>
        <v>2.3624999999999998</v>
      </c>
      <c r="I61" s="40">
        <f>IFERROR(F61/E61,"N/A")</f>
        <v>1</v>
      </c>
      <c r="J61" s="3">
        <f>COUNTIFS(Merged_COEM!$AK$60:$AK$538,J60,Merged_COEM!$D$60:$D$538,D61,Merged_COEM!$C$60:$C$538,C54)</f>
        <v>3</v>
      </c>
      <c r="K61" s="3">
        <f>COUNTIFS(Merged_COEM!$AK$60:$AK$538,K60,Merged_COEM!$D$60:$D$538,D61,Merged_COEM!$C$60:$C$538,C54)</f>
        <v>0</v>
      </c>
    </row>
    <row r="62" spans="1:11" x14ac:dyDescent="0.25">
      <c r="C62" s="45">
        <v>2</v>
      </c>
      <c r="D62" s="39" t="str">
        <f>Table!$C$3</f>
        <v>ASW</v>
      </c>
      <c r="E62" s="39">
        <f>SUMIFS(Merged_COEM!$W$60:$W$538,Merged_COEM!$D$60:$D$538,D62, Merged_COEM!$C$60:$C$538,C54)</f>
        <v>235</v>
      </c>
      <c r="F62" s="39">
        <f>SUMIFS(Merged_COEM!$X$60:$X$538,Merged_COEM!$D$60:$D$538,D62, Merged_COEM!$C$60:$C$538,C54)-SUM(SUMIFS(Merged_COEM!$X$60:$X$538,Merged_COEM!$D$60:$D$538,D62,Merged_COEM!$AA$60:$AA$538,{"Ongoing","N/A",""},Merged_COEM!$C$60:$C$538,C54))</f>
        <v>235</v>
      </c>
      <c r="G62" s="39">
        <f>1/8*(SUMIFS(Merged_COEM!$Y$60:$Y$538,Merged_COEM!$D$60:$D$538,D62, Merged_COEM!$C$60:$C$538,C54))</f>
        <v>1.8050000000000002</v>
      </c>
      <c r="H62" s="39">
        <f>1/8*(SUMIFS(Merged_COEM!$Z$60:$Z$538,Merged_COEM!$D$60:$D$538,D62, Merged_COEM!$C$60:$C$538,C54)-SUM(SUMIFS(Merged_COEM!$Z$60:$Z$538,Merged_COEM!$D$60:$D$538,D62,Merged_COEM!$AA$60:$AA$538,{"Ongoing","N/A",""},Merged_COEM!$C$60:$C$538,C54)))</f>
        <v>1.6625000000000001</v>
      </c>
      <c r="I62" s="40">
        <f>IFERROR(F62/E62,"N/A")</f>
        <v>1</v>
      </c>
      <c r="J62" s="3">
        <f>COUNTIFS(Merged_COEM!$AK$60:$AK$538,J60,Merged_COEM!$D$60:$D$538,D62,Merged_COEM!$C$60:$C$538,C54)</f>
        <v>2</v>
      </c>
      <c r="K62" s="3">
        <f>COUNTIFS(Merged_COEM!$AK$60:$AK$538,K60,Merged_COEM!$D$60:$D$538,D62,Merged_COEM!$C$60:$C$538,C54)</f>
        <v>0</v>
      </c>
    </row>
    <row r="64" spans="1:11" x14ac:dyDescent="0.25">
      <c r="C64" t="s">
        <v>125</v>
      </c>
    </row>
    <row r="65" spans="1:11" x14ac:dyDescent="0.25">
      <c r="D65" s="120" t="s">
        <v>129</v>
      </c>
    </row>
    <row r="67" spans="1:11" x14ac:dyDescent="0.25">
      <c r="A67" s="138">
        <v>6</v>
      </c>
      <c r="B67" s="138" t="s">
        <v>56</v>
      </c>
      <c r="C67" s="138">
        <v>20200525</v>
      </c>
    </row>
    <row r="68" spans="1:11" x14ac:dyDescent="0.25">
      <c r="B68" s="138" t="s">
        <v>119</v>
      </c>
      <c r="C68">
        <f>SUM(G74:G75)</f>
        <v>13.762499999999999</v>
      </c>
      <c r="D68" t="s">
        <v>120</v>
      </c>
    </row>
    <row r="69" spans="1:11" x14ac:dyDescent="0.25">
      <c r="B69" s="138" t="s">
        <v>127</v>
      </c>
      <c r="C69">
        <f>SUM(INT((WEEKDAY(F69-{2,3,4,5,6})+H69-F69)/7))</f>
        <v>6</v>
      </c>
      <c r="D69" t="s">
        <v>120</v>
      </c>
      <c r="E69" t="s">
        <v>151</v>
      </c>
      <c r="F69" s="6">
        <v>43976</v>
      </c>
      <c r="G69" s="6" t="s">
        <v>118</v>
      </c>
      <c r="H69" s="6">
        <v>43983</v>
      </c>
    </row>
    <row r="70" spans="1:11" x14ac:dyDescent="0.25">
      <c r="B70" s="138" t="s">
        <v>128</v>
      </c>
      <c r="C70">
        <f>SUM(INT((WEEKDAY(F70-{2,3,4,5,6})+H70-F70)/7))</f>
        <v>6</v>
      </c>
      <c r="D70" t="s">
        <v>120</v>
      </c>
      <c r="E70" t="s">
        <v>151</v>
      </c>
      <c r="F70" s="6">
        <v>43976</v>
      </c>
      <c r="G70" s="6" t="s">
        <v>118</v>
      </c>
      <c r="H70" s="6">
        <v>43983</v>
      </c>
    </row>
    <row r="71" spans="1:11" x14ac:dyDescent="0.25">
      <c r="B71" s="138" t="s">
        <v>17</v>
      </c>
      <c r="C71" t="str">
        <f>IF(AND(F74=E74,F75=E75),IF(SUM(H74:H75)&gt;SUM(G74:G75),"Delayed",IF(SUM(H74:H75)&lt;SUM(G74:G75),"InAdvanced","Ontime")),"N/A")</f>
        <v>InAdvanced</v>
      </c>
      <c r="F71" s="6"/>
      <c r="G71" s="6"/>
      <c r="H71" s="6"/>
    </row>
    <row r="73" spans="1:11" ht="45" x14ac:dyDescent="0.25">
      <c r="C73" s="139" t="s">
        <v>25</v>
      </c>
      <c r="D73" s="139" t="s">
        <v>26</v>
      </c>
      <c r="E73" s="125" t="s">
        <v>121</v>
      </c>
      <c r="F73" s="125" t="s">
        <v>122</v>
      </c>
      <c r="G73" s="125" t="s">
        <v>123</v>
      </c>
      <c r="H73" s="125" t="s">
        <v>124</v>
      </c>
      <c r="I73" s="125" t="s">
        <v>29</v>
      </c>
      <c r="J73" s="125" t="str">
        <f>Table!$C$41</f>
        <v>OPL</v>
      </c>
      <c r="K73" s="125" t="str">
        <f>Table!$C$42</f>
        <v>Defect</v>
      </c>
    </row>
    <row r="74" spans="1:11" x14ac:dyDescent="0.25">
      <c r="C74" s="45">
        <v>1</v>
      </c>
      <c r="D74" s="39" t="str">
        <f>Table!$D$3</f>
        <v>PSW</v>
      </c>
      <c r="E74" s="39">
        <f>SUMIFS(Merged_COEM!$W$60:$W$538,Merged_COEM!$D$60:$D$538,D74, Merged_COEM!$C$60:$C$538,C67)</f>
        <v>6206</v>
      </c>
      <c r="F74" s="39">
        <f>SUMIFS(Merged_COEM!$X$60:$X$538,Merged_COEM!$D$60:$D$538,D74, Merged_COEM!$C$60:$C$538,C67)-SUM(SUMIFS(Merged_COEM!$X$60:$X$538,Merged_COEM!$D$60:$D$538,Table!$D$3,Merged_COEM!$AA$60:$AA$538,{"Ongoing","N/A",""},Merged_COEM!$C$60:$C$538,C67))</f>
        <v>6206</v>
      </c>
      <c r="G74" s="39">
        <f>1/8*(SUMIFS(Merged_COEM!$Y$60:$Y$538,Merged_COEM!$D$60:$D$538,D74, Merged_COEM!$C$60:$C$538,C67))</f>
        <v>13.762499999999999</v>
      </c>
      <c r="H74" s="39">
        <f>1/8*(SUMIFS(Merged_COEM!$Z$60:$Z$538,Merged_COEM!$D$60:$D$538,D74, Merged_COEM!$C$60:$C$538,C67)-SUM(SUMIFS(Merged_COEM!$Z$60:$Z$538,Merged_COEM!$D$60:$D$538,D74,Merged_COEM!$AA$60:$AA$538,{"Ongoing","N/A",""},Merged_COEM!$C$60:$C$538,C67)))</f>
        <v>7.7500000000000009</v>
      </c>
      <c r="I74" s="40">
        <f>IFERROR(F74/E74,"N/A")</f>
        <v>1</v>
      </c>
      <c r="J74" s="3">
        <f>COUNTIFS(Merged_COEM!$AK$60:$AK$538,J73,Merged_COEM!$D$60:$D$538,D74,Merged_COEM!$C$60:$C$538,C67)</f>
        <v>7</v>
      </c>
      <c r="K74" s="3">
        <f>COUNTIFS(Merged_COEM!$AK$60:$AK$538,K73,Merged_COEM!$D$60:$D$538,D74,Merged_COEM!$C$60:$C$538,C67)</f>
        <v>0</v>
      </c>
    </row>
    <row r="75" spans="1:11" x14ac:dyDescent="0.25">
      <c r="C75" s="45">
        <v>2</v>
      </c>
      <c r="D75" s="39" t="str">
        <f>Table!$C$3</f>
        <v>ASW</v>
      </c>
      <c r="E75" s="39">
        <f>SUMIFS(Merged_COEM!$W$60:$W$538,Merged_COEM!$D$60:$D$538,D75, Merged_COEM!$C$60:$C$538,C67)</f>
        <v>0</v>
      </c>
      <c r="F75" s="39">
        <f>SUMIFS(Merged_COEM!$X$60:$X$538,Merged_COEM!$D$60:$D$538,D75, Merged_COEM!$C$60:$C$538,C67)-SUM(SUMIFS(Merged_COEM!$X$60:$X$538,Merged_COEM!$D$60:$D$538,D75,Merged_COEM!$AA$60:$AA$538,{"Ongoing","N/A",""},Merged_COEM!$C$60:$C$538,C67))</f>
        <v>0</v>
      </c>
      <c r="G75" s="39">
        <f>1/8*(SUMIFS(Merged_COEM!$Y$60:$Y$538,Merged_COEM!$D$60:$D$538,D75, Merged_COEM!$C$60:$C$538,C67))</f>
        <v>0</v>
      </c>
      <c r="H75" s="39">
        <f>1/8*(SUMIFS(Merged_COEM!$Z$60:$Z$538,Merged_COEM!$D$60:$D$538,D75, Merged_COEM!$C$60:$C$538,C67)-SUM(SUMIFS(Merged_COEM!$Z$60:$Z$538,Merged_COEM!$D$60:$D$538,D75,Merged_COEM!$AA$60:$AA$538,{"Ongoing","N/A",""},Merged_COEM!$C$60:$C$538,C67)))</f>
        <v>0</v>
      </c>
      <c r="I75" s="40" t="str">
        <f>IFERROR(F75/E75,"N/A")</f>
        <v>N/A</v>
      </c>
      <c r="J75" s="3">
        <f>COUNTIFS(Merged_COEM!$AK$60:$AK$538,J73,Merged_COEM!$D$60:$D$538,D75,Merged_COEM!$C$60:$C$538,C67)</f>
        <v>0</v>
      </c>
      <c r="K75" s="3">
        <f>COUNTIFS(Merged_COEM!$AK$60:$AK$538,K73,Merged_COEM!$D$60:$D$538,D75,Merged_COEM!$C$60:$C$538,C67)</f>
        <v>0</v>
      </c>
    </row>
    <row r="77" spans="1:11" x14ac:dyDescent="0.25">
      <c r="C77" t="s">
        <v>125</v>
      </c>
    </row>
    <row r="78" spans="1:11" x14ac:dyDescent="0.25">
      <c r="D78" s="140" t="s">
        <v>129</v>
      </c>
    </row>
    <row r="80" spans="1:11" x14ac:dyDescent="0.25">
      <c r="A80" s="138">
        <v>7</v>
      </c>
      <c r="B80" s="138" t="s">
        <v>56</v>
      </c>
      <c r="C80" s="138">
        <v>20200526</v>
      </c>
    </row>
    <row r="81" spans="1:11" x14ac:dyDescent="0.25">
      <c r="B81" s="138" t="s">
        <v>119</v>
      </c>
      <c r="C81">
        <f>SUM(G87:G88)</f>
        <v>19.716250000000002</v>
      </c>
      <c r="D81" t="s">
        <v>120</v>
      </c>
    </row>
    <row r="82" spans="1:11" x14ac:dyDescent="0.25">
      <c r="B82" s="138" t="s">
        <v>127</v>
      </c>
      <c r="C82">
        <f>SUM(INT((WEEKDAY(F82-{2,3,4,5,6})+H82-F82)/7))</f>
        <v>5</v>
      </c>
      <c r="D82" t="s">
        <v>120</v>
      </c>
      <c r="E82" t="s">
        <v>151</v>
      </c>
      <c r="F82" s="6">
        <v>43978</v>
      </c>
      <c r="G82" s="6" t="s">
        <v>118</v>
      </c>
      <c r="H82" s="6">
        <v>43984</v>
      </c>
    </row>
    <row r="83" spans="1:11" x14ac:dyDescent="0.25">
      <c r="B83" s="138" t="s">
        <v>128</v>
      </c>
      <c r="C83">
        <f>SUM(INT((WEEKDAY(F83-{2,3,4,5,6})+H83-F83)/7))</f>
        <v>5</v>
      </c>
      <c r="D83" t="s">
        <v>120</v>
      </c>
      <c r="E83" t="s">
        <v>151</v>
      </c>
      <c r="F83" s="6">
        <v>43978</v>
      </c>
      <c r="G83" s="6" t="s">
        <v>118</v>
      </c>
      <c r="H83" s="6">
        <v>43984</v>
      </c>
    </row>
    <row r="84" spans="1:11" x14ac:dyDescent="0.25">
      <c r="B84" s="138" t="s">
        <v>17</v>
      </c>
      <c r="C84" t="str">
        <f>IF(AND(F87=E87,F88=E88),IF(SUM(H87:H88)&gt;SUM(G87:G88),"Delayed",IF(SUM(H87:H88)&lt;SUM(G87:G88),"InAdvanced","Ontime")),"N/A")</f>
        <v>InAdvanced</v>
      </c>
      <c r="F84" s="6"/>
      <c r="G84" s="6"/>
      <c r="H84" s="6"/>
    </row>
    <row r="86" spans="1:11" ht="45" x14ac:dyDescent="0.25">
      <c r="C86" s="139" t="s">
        <v>25</v>
      </c>
      <c r="D86" s="139" t="s">
        <v>26</v>
      </c>
      <c r="E86" s="125" t="s">
        <v>121</v>
      </c>
      <c r="F86" s="125" t="s">
        <v>122</v>
      </c>
      <c r="G86" s="125" t="s">
        <v>123</v>
      </c>
      <c r="H86" s="125" t="s">
        <v>124</v>
      </c>
      <c r="I86" s="125" t="s">
        <v>29</v>
      </c>
      <c r="J86" s="125" t="str">
        <f>Table!$C$41</f>
        <v>OPL</v>
      </c>
      <c r="K86" s="125" t="str">
        <f>Table!$C$42</f>
        <v>Defect</v>
      </c>
    </row>
    <row r="87" spans="1:11" x14ac:dyDescent="0.25">
      <c r="C87" s="45">
        <v>1</v>
      </c>
      <c r="D87" s="39" t="str">
        <f>Table!$D$3</f>
        <v>PSW</v>
      </c>
      <c r="E87" s="39">
        <f>SUMIFS(Merged_COEM!$W$60:$W$538,Merged_COEM!$D$60:$D$538,D87, Merged_COEM!$C$60:$C$538,C80)</f>
        <v>8786</v>
      </c>
      <c r="F87" s="39">
        <f>SUMIFS(Merged_COEM!$X$60:$X$538,Merged_COEM!$D$60:$D$538,D87, Merged_COEM!$C$60:$C$538,C80)-SUM(SUMIFS(Merged_COEM!$X$60:$X$538,Merged_COEM!$D$60:$D$538,Table!$D$3,Merged_COEM!$AA$60:$AA$538,{"Ongoing","N/A",""},Merged_COEM!$C$60:$C$538,C80))</f>
        <v>8786</v>
      </c>
      <c r="G87" s="39">
        <f>1/8*(SUMIFS(Merged_COEM!$Y$60:$Y$538,Merged_COEM!$D$60:$D$538,D87, Merged_COEM!$C$60:$C$538,C80))</f>
        <v>19.501250000000002</v>
      </c>
      <c r="H87" s="39">
        <f>1/8*(SUMIFS(Merged_COEM!$Z$60:$Z$538,Merged_COEM!$D$60:$D$538,D87, Merged_COEM!$C$60:$C$538,C80)-SUM(SUMIFS(Merged_COEM!$Z$60:$Z$538,Merged_COEM!$D$60:$D$538,D87,Merged_COEM!$AA$60:$AA$538,{"Ongoing","N/A",""},Merged_COEM!$C$60:$C$538,C80)))</f>
        <v>5.9262500000000014</v>
      </c>
      <c r="I87" s="40">
        <f>IFERROR(F87/E87,"N/A")</f>
        <v>1</v>
      </c>
      <c r="J87" s="3">
        <f>COUNTIFS(Merged_COEM!$AK$60:$AK$538,J86,Merged_COEM!$D$60:$D$538,D87,Merged_COEM!$C$60:$C$538,C80)</f>
        <v>4</v>
      </c>
      <c r="K87" s="3">
        <f>COUNTIFS(Merged_COEM!$AK$60:$AK$538,K86,Merged_COEM!$D$60:$D$538,D87,Merged_COEM!$C$60:$C$538,C80)</f>
        <v>0</v>
      </c>
    </row>
    <row r="88" spans="1:11" x14ac:dyDescent="0.25">
      <c r="C88" s="45">
        <v>2</v>
      </c>
      <c r="D88" s="39" t="str">
        <f>Table!$C$3</f>
        <v>ASW</v>
      </c>
      <c r="E88" s="39">
        <f>SUMIFS(Merged_COEM!$W$60:$W$538,Merged_COEM!$D$60:$D$538,D88, Merged_COEM!$C$60:$C$538,C80)</f>
        <v>28</v>
      </c>
      <c r="F88" s="39">
        <f>SUMIFS(Merged_COEM!$X$60:$X$538,Merged_COEM!$D$60:$D$538,D88, Merged_COEM!$C$60:$C$538,C80)-SUM(SUMIFS(Merged_COEM!$X$60:$X$538,Merged_COEM!$D$60:$D$538,D88,Merged_COEM!$AA$60:$AA$538,{"Ongoing","N/A",""},Merged_COEM!$C$60:$C$538,C80))</f>
        <v>28</v>
      </c>
      <c r="G88" s="39">
        <f>1/8*(SUMIFS(Merged_COEM!$Y$60:$Y$538,Merged_COEM!$D$60:$D$538,D88, Merged_COEM!$C$60:$C$538,C80))</f>
        <v>0.215</v>
      </c>
      <c r="H88" s="39">
        <f>1/8*(SUMIFS(Merged_COEM!$Z$60:$Z$538,Merged_COEM!$D$60:$D$538,D88, Merged_COEM!$C$60:$C$538,C80)-SUM(SUMIFS(Merged_COEM!$Z$60:$Z$538,Merged_COEM!$D$60:$D$538,D88,Merged_COEM!$AA$60:$AA$538,{"Ongoing","N/A",""},Merged_COEM!$C$60:$C$538,C80)))</f>
        <v>0.125</v>
      </c>
      <c r="I88" s="40">
        <f>IFERROR(F88/E88,"N/A")</f>
        <v>1</v>
      </c>
      <c r="J88" s="3">
        <f>COUNTIFS(Merged_COEM!$AK$60:$AK$538,J86,Merged_COEM!$D$60:$D$538,D88,Merged_COEM!$C$60:$C$538,C80)</f>
        <v>0</v>
      </c>
      <c r="K88" s="3">
        <f>COUNTIFS(Merged_COEM!$AK$60:$AK$538,K86,Merged_COEM!$D$60:$D$538,D88,Merged_COEM!$C$60:$C$538,C80)</f>
        <v>0</v>
      </c>
    </row>
    <row r="90" spans="1:11" x14ac:dyDescent="0.25">
      <c r="C90" t="s">
        <v>125</v>
      </c>
    </row>
    <row r="91" spans="1:11" x14ac:dyDescent="0.25">
      <c r="D91" s="140" t="s">
        <v>129</v>
      </c>
    </row>
    <row r="93" spans="1:11" x14ac:dyDescent="0.25">
      <c r="A93" s="138">
        <v>8</v>
      </c>
      <c r="B93" s="138" t="s">
        <v>56</v>
      </c>
      <c r="C93" s="138">
        <v>20200528</v>
      </c>
    </row>
    <row r="94" spans="1:11" x14ac:dyDescent="0.25">
      <c r="B94" s="138" t="s">
        <v>119</v>
      </c>
      <c r="C94">
        <f>SUM(G100:G101)</f>
        <v>1.3687499999999999</v>
      </c>
      <c r="D94" t="s">
        <v>120</v>
      </c>
    </row>
    <row r="95" spans="1:11" x14ac:dyDescent="0.25">
      <c r="B95" s="138" t="s">
        <v>127</v>
      </c>
      <c r="C95">
        <f>SUM(INT((WEEKDAY(F95-{2,3,4,5,6})+H95-F95)/7))</f>
        <v>5</v>
      </c>
      <c r="D95" t="s">
        <v>120</v>
      </c>
      <c r="E95" t="s">
        <v>151</v>
      </c>
      <c r="F95" s="6">
        <v>43978</v>
      </c>
      <c r="G95" s="6" t="s">
        <v>118</v>
      </c>
      <c r="H95" s="6">
        <v>43984</v>
      </c>
    </row>
    <row r="96" spans="1:11" x14ac:dyDescent="0.25">
      <c r="B96" s="138" t="s">
        <v>128</v>
      </c>
      <c r="C96">
        <f>SUM(INT((WEEKDAY(F96-{2,3,4,5,6})+H96-F96)/7))</f>
        <v>5</v>
      </c>
      <c r="D96" t="s">
        <v>120</v>
      </c>
      <c r="E96" t="s">
        <v>151</v>
      </c>
      <c r="F96" s="6">
        <v>43978</v>
      </c>
      <c r="G96" s="6" t="s">
        <v>118</v>
      </c>
      <c r="H96" s="6">
        <v>43984</v>
      </c>
    </row>
    <row r="97" spans="1:11" x14ac:dyDescent="0.25">
      <c r="B97" s="138" t="s">
        <v>17</v>
      </c>
      <c r="C97" t="str">
        <f>IF(AND(F100=E100,F101=E101),IF(SUM(H100:H101)&gt;SUM(G100:G101),"Delayed",IF(SUM(H100:H101)&lt;SUM(G100:G101),"InAdvanced","Ontime")),"N/A")</f>
        <v>InAdvanced</v>
      </c>
      <c r="F97" s="6"/>
      <c r="G97" s="6"/>
      <c r="H97" s="6"/>
    </row>
    <row r="99" spans="1:11" ht="45" x14ac:dyDescent="0.25">
      <c r="C99" s="139" t="s">
        <v>25</v>
      </c>
      <c r="D99" s="139" t="s">
        <v>26</v>
      </c>
      <c r="E99" s="125" t="s">
        <v>121</v>
      </c>
      <c r="F99" s="125" t="s">
        <v>122</v>
      </c>
      <c r="G99" s="125" t="s">
        <v>123</v>
      </c>
      <c r="H99" s="125" t="s">
        <v>124</v>
      </c>
      <c r="I99" s="125" t="s">
        <v>29</v>
      </c>
      <c r="J99" s="125" t="str">
        <f>Table!$C$41</f>
        <v>OPL</v>
      </c>
      <c r="K99" s="125" t="str">
        <f>Table!$C$42</f>
        <v>Defect</v>
      </c>
    </row>
    <row r="100" spans="1:11" x14ac:dyDescent="0.25">
      <c r="C100" s="45">
        <v>1</v>
      </c>
      <c r="D100" s="39" t="str">
        <f>Table!$D$3</f>
        <v>PSW</v>
      </c>
      <c r="E100" s="39">
        <f>SUMIFS(Merged_COEM!$W$60:$W$538,Merged_COEM!$D$60:$D$538,D100, Merged_COEM!$C$60:$C$538,C93)</f>
        <v>392</v>
      </c>
      <c r="F100" s="39">
        <f>SUMIFS(Merged_COEM!$X$60:$X$538,Merged_COEM!$D$60:$D$538,D100, Merged_COEM!$C$60:$C$538,C93)-SUM(SUMIFS(Merged_COEM!$X$60:$X$538,Merged_COEM!$D$60:$D$538,Table!$D$3,Merged_COEM!$AA$60:$AA$538,{"Ongoing","N/A",""},Merged_COEM!$C$60:$C$538,C93))</f>
        <v>392</v>
      </c>
      <c r="G100" s="39">
        <f>1/8*(SUMIFS(Merged_COEM!$Y$60:$Y$538,Merged_COEM!$D$60:$D$538,D100, Merged_COEM!$C$60:$C$538,C93))</f>
        <v>0.87</v>
      </c>
      <c r="H100" s="39">
        <f>1/8*(SUMIFS(Merged_COEM!$Z$60:$Z$538,Merged_COEM!$D$60:$D$538,D100, Merged_COEM!$C$60:$C$538,C93)-SUM(SUMIFS(Merged_COEM!$Z$60:$Z$538,Merged_COEM!$D$60:$D$538,D100,Merged_COEM!$AA$60:$AA$538,{"Ongoing","N/A",""},Merged_COEM!$C$60:$C$538,C93)))</f>
        <v>0.42500000000000004</v>
      </c>
      <c r="I100" s="40">
        <f>IFERROR(F100/E100,"N/A")</f>
        <v>1</v>
      </c>
      <c r="J100" s="3">
        <f>COUNTIFS(Merged_COEM!$AK$60:$AK$538,J99,Merged_COEM!$D$60:$D$538,D100,Merged_COEM!$C$60:$C$538,C93)</f>
        <v>0</v>
      </c>
      <c r="K100" s="3">
        <f>COUNTIFS(Merged_COEM!$AK$60:$AK$538,K99,Merged_COEM!$D$60:$D$538,D100,Merged_COEM!$C$60:$C$538,C93)</f>
        <v>0</v>
      </c>
    </row>
    <row r="101" spans="1:11" x14ac:dyDescent="0.25">
      <c r="C101" s="45">
        <v>2</v>
      </c>
      <c r="D101" s="39" t="str">
        <f>Table!$C$3</f>
        <v>ASW</v>
      </c>
      <c r="E101" s="39">
        <f>SUMIFS(Merged_COEM!$W$60:$W$538,Merged_COEM!$D$60:$D$538,D101, Merged_COEM!$C$60:$C$538,C93)</f>
        <v>65</v>
      </c>
      <c r="F101" s="39">
        <f>SUMIFS(Merged_COEM!$X$60:$X$538,Merged_COEM!$D$60:$D$538,D101, Merged_COEM!$C$60:$C$538,C93)-SUM(SUMIFS(Merged_COEM!$X$60:$X$538,Merged_COEM!$D$60:$D$538,D101,Merged_COEM!$AA$60:$AA$538,{"Ongoing","N/A",""},Merged_COEM!$C$60:$C$538,C93))</f>
        <v>65</v>
      </c>
      <c r="G101" s="39">
        <f>1/8*(SUMIFS(Merged_COEM!$Y$60:$Y$538,Merged_COEM!$D$60:$D$538,D101, Merged_COEM!$C$60:$C$538,C93))</f>
        <v>0.49874999999999997</v>
      </c>
      <c r="H101" s="39">
        <f>1/8*(SUMIFS(Merged_COEM!$Z$60:$Z$538,Merged_COEM!$D$60:$D$538,D101, Merged_COEM!$C$60:$C$538,C93)-SUM(SUMIFS(Merged_COEM!$Z$60:$Z$538,Merged_COEM!$D$60:$D$538,D101,Merged_COEM!$AA$60:$AA$538,{"Ongoing","N/A",""},Merged_COEM!$C$60:$C$538,C93)))</f>
        <v>0.5</v>
      </c>
      <c r="I101" s="40">
        <f>IFERROR(F101/E101,"N/A")</f>
        <v>1</v>
      </c>
      <c r="J101" s="3">
        <f>COUNTIFS(Merged_COEM!$AK$60:$AK$538,J99,Merged_COEM!$D$60:$D$538,D101,Merged_COEM!$C$60:$C$538,C93)</f>
        <v>1</v>
      </c>
      <c r="K101" s="3">
        <f>COUNTIFS(Merged_COEM!$AK$60:$AK$538,K99,Merged_COEM!$D$60:$D$538,D101,Merged_COEM!$C$60:$C$538,C93)</f>
        <v>0</v>
      </c>
    </row>
    <row r="103" spans="1:11" x14ac:dyDescent="0.25">
      <c r="C103" t="s">
        <v>125</v>
      </c>
    </row>
    <row r="104" spans="1:11" x14ac:dyDescent="0.25">
      <c r="D104" s="140" t="s">
        <v>129</v>
      </c>
    </row>
    <row r="106" spans="1:11" x14ac:dyDescent="0.25">
      <c r="A106" s="138">
        <v>9</v>
      </c>
      <c r="B106" s="138" t="s">
        <v>56</v>
      </c>
      <c r="C106" s="138">
        <v>20200529</v>
      </c>
    </row>
    <row r="107" spans="1:11" x14ac:dyDescent="0.25">
      <c r="B107" s="138" t="s">
        <v>119</v>
      </c>
      <c r="C107">
        <f>SUM(G113:G114)</f>
        <v>2.2375000000000003</v>
      </c>
      <c r="D107" t="s">
        <v>120</v>
      </c>
    </row>
    <row r="108" spans="1:11" x14ac:dyDescent="0.25">
      <c r="B108" s="138" t="s">
        <v>127</v>
      </c>
      <c r="C108">
        <f>SUM(INT((WEEKDAY(F108-{2,3,4,5,6})+H108-F108)/7))</f>
        <v>8</v>
      </c>
      <c r="D108" t="s">
        <v>120</v>
      </c>
      <c r="E108" t="s">
        <v>151</v>
      </c>
      <c r="F108" s="6">
        <v>43980</v>
      </c>
      <c r="G108" s="6" t="s">
        <v>118</v>
      </c>
      <c r="H108" s="6">
        <v>43991</v>
      </c>
    </row>
    <row r="109" spans="1:11" x14ac:dyDescent="0.25">
      <c r="B109" s="138" t="s">
        <v>128</v>
      </c>
      <c r="C109">
        <f>SUM(INT((WEEKDAY(F109-{2,3,4,5,6})+H109-F109)/7))</f>
        <v>3</v>
      </c>
      <c r="D109" t="s">
        <v>120</v>
      </c>
      <c r="E109" t="s">
        <v>151</v>
      </c>
      <c r="F109" s="6">
        <v>43980</v>
      </c>
      <c r="G109" s="6" t="s">
        <v>118</v>
      </c>
      <c r="H109" s="6">
        <v>43984</v>
      </c>
    </row>
    <row r="110" spans="1:11" x14ac:dyDescent="0.25">
      <c r="B110" s="138" t="s">
        <v>17</v>
      </c>
      <c r="C110" t="str">
        <f>IF(AND(F113=E113,F114=E114),IF(SUM(H113:H114)&gt;SUM(G113:G114),"Delayed",IF(SUM(H113:H114)&lt;SUM(G113:G114),"InAdvanced","Ontime")),"N/A")</f>
        <v>InAdvanced</v>
      </c>
      <c r="F110" s="6"/>
      <c r="G110" s="6"/>
      <c r="H110" s="6"/>
    </row>
    <row r="112" spans="1:11" ht="45" x14ac:dyDescent="0.25">
      <c r="C112" s="139" t="s">
        <v>25</v>
      </c>
      <c r="D112" s="139" t="s">
        <v>26</v>
      </c>
      <c r="E112" s="125" t="s">
        <v>121</v>
      </c>
      <c r="F112" s="125" t="s">
        <v>122</v>
      </c>
      <c r="G112" s="125" t="s">
        <v>123</v>
      </c>
      <c r="H112" s="125" t="s">
        <v>124</v>
      </c>
      <c r="I112" s="125" t="s">
        <v>29</v>
      </c>
      <c r="J112" s="125" t="str">
        <f>Table!$C$41</f>
        <v>OPL</v>
      </c>
      <c r="K112" s="125" t="str">
        <f>Table!$C$42</f>
        <v>Defect</v>
      </c>
    </row>
    <row r="113" spans="1:11" x14ac:dyDescent="0.25">
      <c r="C113" s="45">
        <v>1</v>
      </c>
      <c r="D113" s="39" t="str">
        <f>Table!$D$3</f>
        <v>PSW</v>
      </c>
      <c r="E113" s="39">
        <f>SUMIFS(Merged_COEM!$W$60:$W$538,Merged_COEM!$D$60:$D$538,D113, Merged_COEM!$C$60:$C$538,C106)</f>
        <v>260</v>
      </c>
      <c r="F113" s="39">
        <f>SUMIFS(Merged_COEM!$X$60:$X$538,Merged_COEM!$D$60:$D$538,D113, Merged_COEM!$C$60:$C$538,C106)-SUM(SUMIFS(Merged_COEM!$X$60:$X$538,Merged_COEM!$D$60:$D$538,Table!$D$3,Merged_COEM!$AA$60:$AA$538,{"Ongoing","N/A",""},Merged_COEM!$C$60:$C$538,C106))</f>
        <v>260</v>
      </c>
      <c r="G113" s="39">
        <f>1/8*(SUMIFS(Merged_COEM!$Y$60:$Y$538,Merged_COEM!$D$60:$D$538,D113, Merged_COEM!$C$60:$C$538,C106))</f>
        <v>0.57750000000000001</v>
      </c>
      <c r="H113" s="39">
        <f>1/8*(SUMIFS(Merged_COEM!$Z$60:$Z$538,Merged_COEM!$D$60:$D$538,D113, Merged_COEM!$C$60:$C$538,C106)-SUM(SUMIFS(Merged_COEM!$Z$60:$Z$538,Merged_COEM!$D$60:$D$538,D113,Merged_COEM!$AA$60:$AA$538,{"Ongoing","N/A",""},Merged_COEM!$C$60:$C$538,C106)))</f>
        <v>0.25</v>
      </c>
      <c r="I113" s="40">
        <f>IFERROR(F113/E113,"N/A")</f>
        <v>1</v>
      </c>
      <c r="J113" s="3">
        <f>COUNTIFS(Merged_COEM!$AK$60:$AK$538,J112,Merged_COEM!$D$60:$D$538,D113,Merged_COEM!$C$60:$C$538,C106)</f>
        <v>0</v>
      </c>
      <c r="K113" s="3">
        <f>COUNTIFS(Merged_COEM!$AK$60:$AK$538,K112,Merged_COEM!$D$60:$D$538,D113,Merged_COEM!$C$60:$C$538,C106)</f>
        <v>0</v>
      </c>
    </row>
    <row r="114" spans="1:11" x14ac:dyDescent="0.25">
      <c r="C114" s="45">
        <v>2</v>
      </c>
      <c r="D114" s="39" t="str">
        <f>Table!$C$3</f>
        <v>ASW</v>
      </c>
      <c r="E114" s="39">
        <f>SUMIFS(Merged_COEM!$W$60:$W$538,Merged_COEM!$D$60:$D$538,D114, Merged_COEM!$C$60:$C$538,C106)</f>
        <v>216</v>
      </c>
      <c r="F114" s="39">
        <f>SUMIFS(Merged_COEM!$X$60:$X$538,Merged_COEM!$D$60:$D$538,D114, Merged_COEM!$C$60:$C$538,C106)-SUM(SUMIFS(Merged_COEM!$X$60:$X$538,Merged_COEM!$D$60:$D$538,D114,Merged_COEM!$AA$60:$AA$538,{"Ongoing","N/A",""},Merged_COEM!$C$60:$C$538,C106))</f>
        <v>216</v>
      </c>
      <c r="G114" s="39">
        <f>1/8*(SUMIFS(Merged_COEM!$Y$60:$Y$538,Merged_COEM!$D$60:$D$538,D114, Merged_COEM!$C$60:$C$538,C106))</f>
        <v>1.6600000000000001</v>
      </c>
      <c r="H114" s="39">
        <f>1/8*(SUMIFS(Merged_COEM!$Z$60:$Z$538,Merged_COEM!$D$60:$D$538,D114, Merged_COEM!$C$60:$C$538,C106)-SUM(SUMIFS(Merged_COEM!$Z$60:$Z$538,Merged_COEM!$D$60:$D$538,D114,Merged_COEM!$AA$60:$AA$538,{"Ongoing","N/A",""},Merged_COEM!$C$60:$C$538,C106)))</f>
        <v>1.625</v>
      </c>
      <c r="I114" s="40">
        <f>IFERROR(F114/E114,"N/A")</f>
        <v>1</v>
      </c>
      <c r="J114" s="3">
        <f>COUNTIFS(Merged_COEM!$AK$60:$AK$538,J112,Merged_COEM!$D$60:$D$538,D114,Merged_COEM!$C$60:$C$538,C106)</f>
        <v>1</v>
      </c>
      <c r="K114" s="3">
        <f>COUNTIFS(Merged_COEM!$AK$60:$AK$538,K112,Merged_COEM!$D$60:$D$538,D114,Merged_COEM!$C$60:$C$538,C106)</f>
        <v>0</v>
      </c>
    </row>
    <row r="116" spans="1:11" x14ac:dyDescent="0.25">
      <c r="C116" t="s">
        <v>125</v>
      </c>
    </row>
    <row r="117" spans="1:11" x14ac:dyDescent="0.25">
      <c r="D117" s="140" t="s">
        <v>129</v>
      </c>
    </row>
    <row r="119" spans="1:11" x14ac:dyDescent="0.25">
      <c r="A119" s="179">
        <v>10</v>
      </c>
      <c r="B119" s="179" t="s">
        <v>56</v>
      </c>
      <c r="C119" s="179">
        <v>20200601</v>
      </c>
    </row>
    <row r="120" spans="1:11" x14ac:dyDescent="0.25">
      <c r="B120" s="179" t="s">
        <v>119</v>
      </c>
      <c r="C120">
        <f>SUM(G126:G127)</f>
        <v>28.28374999999998</v>
      </c>
      <c r="D120" t="s">
        <v>120</v>
      </c>
    </row>
    <row r="121" spans="1:11" x14ac:dyDescent="0.25">
      <c r="B121" s="179" t="s">
        <v>127</v>
      </c>
      <c r="C121">
        <f>SUM(INT((WEEKDAY(F121-{2,3,4,5,6})+H121-F121)/7))</f>
        <v>15</v>
      </c>
      <c r="D121" t="s">
        <v>120</v>
      </c>
      <c r="E121" t="s">
        <v>151</v>
      </c>
      <c r="F121" s="6">
        <v>43983</v>
      </c>
      <c r="G121" s="6" t="s">
        <v>118</v>
      </c>
      <c r="H121" s="6">
        <v>44001</v>
      </c>
    </row>
    <row r="122" spans="1:11" x14ac:dyDescent="0.25">
      <c r="B122" s="179" t="s">
        <v>128</v>
      </c>
      <c r="C122">
        <f>SUM(INT((WEEKDAY(F122-{2,3,4,5,6})+H122-F122)/7))</f>
        <v>15</v>
      </c>
      <c r="D122" t="s">
        <v>120</v>
      </c>
      <c r="E122" t="s">
        <v>151</v>
      </c>
      <c r="F122" s="6">
        <v>43983</v>
      </c>
      <c r="G122" s="6" t="s">
        <v>118</v>
      </c>
      <c r="H122" s="6">
        <v>44001</v>
      </c>
    </row>
    <row r="123" spans="1:11" x14ac:dyDescent="0.25">
      <c r="B123" s="179" t="s">
        <v>17</v>
      </c>
      <c r="C123" t="str">
        <f>IF(AND(F126=E126,F127=E127),IF(SUM(H126:H127)&gt;SUM(G126:G127),"Delayed",IF(SUM(H126:H127)&lt;SUM(G126:G127),"InAdvanced","Ontime")),"N/A")</f>
        <v>InAdvanced</v>
      </c>
      <c r="F123" s="6"/>
      <c r="G123" s="6"/>
      <c r="H123" s="6"/>
    </row>
    <row r="125" spans="1:11" ht="45" x14ac:dyDescent="0.25">
      <c r="C125" s="180" t="s">
        <v>25</v>
      </c>
      <c r="D125" s="180" t="s">
        <v>26</v>
      </c>
      <c r="E125" s="181" t="s">
        <v>121</v>
      </c>
      <c r="F125" s="181" t="s">
        <v>122</v>
      </c>
      <c r="G125" s="181" t="s">
        <v>123</v>
      </c>
      <c r="H125" s="181" t="s">
        <v>124</v>
      </c>
      <c r="I125" s="181" t="s">
        <v>29</v>
      </c>
      <c r="J125" s="181" t="str">
        <f>Table!$C$41</f>
        <v>OPL</v>
      </c>
      <c r="K125" s="181" t="str">
        <f>Table!$C$42</f>
        <v>Defect</v>
      </c>
    </row>
    <row r="126" spans="1:11" x14ac:dyDescent="0.25">
      <c r="C126" s="45">
        <v>1</v>
      </c>
      <c r="D126" s="39" t="str">
        <f>Table!$D$3</f>
        <v>PSW</v>
      </c>
      <c r="E126" s="39">
        <f>SUMIFS(Merged_COEM!$W$60:$W$538,Merged_COEM!$D$60:$D$538,D126, Merged_COEM!$C$60:$C$538,C119)</f>
        <v>12578</v>
      </c>
      <c r="F126" s="39">
        <f>SUMIFS(Merged_COEM!$X$60:$X$538,Merged_COEM!$D$60:$D$538,D126, Merged_COEM!$C$60:$C$538,C119)-SUM(SUMIFS(Merged_COEM!$X$60:$X$538,Merged_COEM!$D$60:$D$538,Table!$D$3,Merged_COEM!$AA$60:$AA$538,{"Ongoing","N/A",""},Merged_COEM!$C$60:$C$538,C119))</f>
        <v>12578</v>
      </c>
      <c r="G126" s="39">
        <f>1/8*(SUMIFS(Merged_COEM!$Y$60:$Y$538,Merged_COEM!$D$60:$D$538,D126, Merged_COEM!$C$60:$C$538,C119))</f>
        <v>27.923749999999981</v>
      </c>
      <c r="H126" s="39">
        <f>1/8*(SUMIFS(Merged_COEM!$Z$60:$Z$538,Merged_COEM!$D$60:$D$538,D126, Merged_COEM!$C$60:$C$538,C119)-SUM(SUMIFS(Merged_COEM!$Z$60:$Z$538,Merged_COEM!$D$60:$D$538,D126,Merged_COEM!$AA$60:$AA$538,{"Ongoing","N/A",""},Merged_COEM!$C$60:$C$538,C119)))</f>
        <v>12.326249999999998</v>
      </c>
      <c r="I126" s="40">
        <f>IFERROR(F126/E126,"N/A")</f>
        <v>1</v>
      </c>
      <c r="J126" s="3">
        <f>COUNTIFS(Merged_COEM!$AK$60:$AK$538,J125,Merged_COEM!$D$60:$D$538,D126,Merged_COEM!$C$60:$C$538,C119)</f>
        <v>3</v>
      </c>
      <c r="K126" s="3">
        <f>COUNTIFS(Merged_COEM!$AK$60:$AK$538,K125,Merged_COEM!$D$60:$D$538,D126,Merged_COEM!$C$60:$C$538,C119)</f>
        <v>0</v>
      </c>
    </row>
    <row r="127" spans="1:11" x14ac:dyDescent="0.25">
      <c r="C127" s="45">
        <v>2</v>
      </c>
      <c r="D127" s="39" t="str">
        <f>Table!$C$3</f>
        <v>ASW</v>
      </c>
      <c r="E127" s="39">
        <f>SUMIFS(Merged_COEM!$W$60:$W$538,Merged_COEM!$D$60:$D$538,D127, Merged_COEM!$C$60:$C$538,C119)</f>
        <v>47</v>
      </c>
      <c r="F127" s="39">
        <f>SUMIFS(Merged_COEM!$X$60:$X$538,Merged_COEM!$D$60:$D$538,D127, Merged_COEM!$C$60:$C$538,C119)-SUM(SUMIFS(Merged_COEM!$X$60:$X$538,Merged_COEM!$D$60:$D$538,D127,Merged_COEM!$AA$60:$AA$538,{"Ongoing","N/A",""},Merged_COEM!$C$60:$C$538,C119))</f>
        <v>47</v>
      </c>
      <c r="G127" s="39">
        <f>1/8*(SUMIFS(Merged_COEM!$Y$60:$Y$538,Merged_COEM!$D$60:$D$538,D127, Merged_COEM!$C$60:$C$538,C119))</f>
        <v>0.36</v>
      </c>
      <c r="H127" s="39">
        <f>1/8*(SUMIFS(Merged_COEM!$Z$60:$Z$538,Merged_COEM!$D$60:$D$538,D127, Merged_COEM!$C$60:$C$538,C119)-SUM(SUMIFS(Merged_COEM!$Z$60:$Z$538,Merged_COEM!$D$60:$D$538,D127,Merged_COEM!$AA$60:$AA$538,{"Ongoing","N/A",""},Merged_COEM!$C$60:$C$538,C119)))</f>
        <v>0.23749999999999999</v>
      </c>
      <c r="I127" s="40">
        <f>IFERROR(F127/E127,"N/A")</f>
        <v>1</v>
      </c>
      <c r="J127" s="3">
        <f>COUNTIFS(Merged_COEM!$AK$60:$AK$538,J125,Merged_COEM!$D$60:$D$538,D127,Merged_COEM!$C$60:$C$538,C119)</f>
        <v>1</v>
      </c>
      <c r="K127" s="3">
        <f>COUNTIFS(Merged_COEM!$AK$60:$AK$538,K125,Merged_COEM!$D$60:$D$538,D127,Merged_COEM!$C$60:$C$538,C119)</f>
        <v>0</v>
      </c>
    </row>
    <row r="129" spans="1:11" x14ac:dyDescent="0.25">
      <c r="C129" t="s">
        <v>125</v>
      </c>
    </row>
    <row r="130" spans="1:11" x14ac:dyDescent="0.25">
      <c r="D130" s="182" t="s">
        <v>129</v>
      </c>
    </row>
    <row r="132" spans="1:11" x14ac:dyDescent="0.25">
      <c r="A132" s="201">
        <v>11</v>
      </c>
      <c r="B132" s="201" t="s">
        <v>56</v>
      </c>
      <c r="C132" s="201">
        <v>20200602</v>
      </c>
    </row>
    <row r="133" spans="1:11" x14ac:dyDescent="0.25">
      <c r="B133" s="201" t="s">
        <v>119</v>
      </c>
      <c r="C133">
        <f>SUM(G139:G140)</f>
        <v>0.71250000000000002</v>
      </c>
      <c r="D133" t="s">
        <v>120</v>
      </c>
    </row>
    <row r="134" spans="1:11" x14ac:dyDescent="0.25">
      <c r="B134" s="201" t="s">
        <v>127</v>
      </c>
      <c r="C134">
        <f>SUM(INT((WEEKDAY(F134-{2,3,4,5,6})+H134-F134)/7))</f>
        <v>3</v>
      </c>
      <c r="D134" t="s">
        <v>120</v>
      </c>
      <c r="E134" t="s">
        <v>151</v>
      </c>
      <c r="F134" s="6">
        <v>43984</v>
      </c>
      <c r="G134" s="6" t="s">
        <v>118</v>
      </c>
      <c r="H134" s="6">
        <v>43986</v>
      </c>
    </row>
    <row r="135" spans="1:11" x14ac:dyDescent="0.25">
      <c r="B135" s="201" t="s">
        <v>128</v>
      </c>
      <c r="C135">
        <f>SUM(INT((WEEKDAY(F135-{2,3,4,5,6})+H135-F135)/7))</f>
        <v>3</v>
      </c>
      <c r="D135" t="s">
        <v>120</v>
      </c>
      <c r="E135" t="s">
        <v>151</v>
      </c>
      <c r="F135" s="6">
        <v>43984</v>
      </c>
      <c r="G135" s="6" t="s">
        <v>118</v>
      </c>
      <c r="H135" s="6">
        <v>43986</v>
      </c>
    </row>
    <row r="136" spans="1:11" x14ac:dyDescent="0.25">
      <c r="B136" s="201" t="s">
        <v>17</v>
      </c>
      <c r="C136" t="str">
        <f>IF(AND(F139=E139,F140=E140),IF(SUM(H139:H140)&gt;SUM(G139:G140),"Delayed",IF(SUM(H139:H140)&lt;SUM(G139:G140),"InAdvanced","Ontime")),"N/A")</f>
        <v>InAdvanced</v>
      </c>
      <c r="F136" s="6"/>
      <c r="G136" s="6"/>
      <c r="H136" s="6"/>
    </row>
    <row r="138" spans="1:11" ht="45" x14ac:dyDescent="0.25">
      <c r="C138" s="202" t="s">
        <v>25</v>
      </c>
      <c r="D138" s="202" t="s">
        <v>26</v>
      </c>
      <c r="E138" s="203" t="s">
        <v>121</v>
      </c>
      <c r="F138" s="203" t="s">
        <v>122</v>
      </c>
      <c r="G138" s="203" t="s">
        <v>123</v>
      </c>
      <c r="H138" s="203" t="s">
        <v>124</v>
      </c>
      <c r="I138" s="203" t="s">
        <v>29</v>
      </c>
      <c r="J138" s="203" t="str">
        <f>Table!$C$41</f>
        <v>OPL</v>
      </c>
      <c r="K138" s="203" t="str">
        <f>Table!$C$42</f>
        <v>Defect</v>
      </c>
    </row>
    <row r="139" spans="1:11" x14ac:dyDescent="0.25">
      <c r="C139" s="45">
        <v>1</v>
      </c>
      <c r="D139" s="39" t="str">
        <f>Table!$D$3</f>
        <v>PSW</v>
      </c>
      <c r="E139" s="39">
        <f>SUMIFS(Merged_COEM!$W$60:$W$538,Merged_COEM!$D$60:$D$538,D139, Merged_COEM!$C$60:$C$538,C132)</f>
        <v>0</v>
      </c>
      <c r="F139" s="39">
        <f>SUMIFS(Merged_COEM!$X$60:$X$538,Merged_COEM!$D$60:$D$538,D139, Merged_COEM!$C$60:$C$538,C132)-SUM(SUMIFS(Merged_COEM!$X$60:$X$538,Merged_COEM!$D$60:$D$538,Table!$D$3,Merged_COEM!$AA$60:$AA$538,{"Ongoing","N/A",""},Merged_COEM!$C$60:$C$538,C132))</f>
        <v>0</v>
      </c>
      <c r="G139" s="39">
        <f>1/8*(SUMIFS(Merged_COEM!$Y$60:$Y$538,Merged_COEM!$D$60:$D$538,D139, Merged_COEM!$C$60:$C$538,C132))</f>
        <v>0</v>
      </c>
      <c r="H139" s="39">
        <f>1/8*(SUMIFS(Merged_COEM!$Z$60:$Z$538,Merged_COEM!$D$60:$D$538,D139, Merged_COEM!$C$60:$C$538,C132)-SUM(SUMIFS(Merged_COEM!$Z$60:$Z$538,Merged_COEM!$D$60:$D$538,D139,Merged_COEM!$AA$60:$AA$538,{"Ongoing","N/A",""},Merged_COEM!$C$60:$C$538,C132)))</f>
        <v>0</v>
      </c>
      <c r="I139" s="40" t="str">
        <f>IFERROR(F139/E139,"N/A")</f>
        <v>N/A</v>
      </c>
      <c r="J139" s="3">
        <f>COUNTIFS(Merged_COEM!$AK$60:$AK$538,J138,Merged_COEM!$D$60:$D$538,D139,Merged_COEM!$C$60:$C$538,C132)</f>
        <v>0</v>
      </c>
      <c r="K139" s="3">
        <f>COUNTIFS(Merged_COEM!$AK$60:$AK$538,K138,Merged_COEM!$D$60:$D$538,D139,Merged_COEM!$C$60:$C$538,C132)</f>
        <v>0</v>
      </c>
    </row>
    <row r="140" spans="1:11" x14ac:dyDescent="0.25">
      <c r="C140" s="45">
        <v>2</v>
      </c>
      <c r="D140" s="39" t="str">
        <f>Table!$C$3</f>
        <v>ASW</v>
      </c>
      <c r="E140" s="39">
        <f>SUMIFS(Merged_COEM!$W$60:$W$538,Merged_COEM!$D$60:$D$538,D140, Merged_COEM!$C$60:$C$538,C132)</f>
        <v>93</v>
      </c>
      <c r="F140" s="39">
        <f>SUMIFS(Merged_COEM!$X$60:$X$538,Merged_COEM!$D$60:$D$538,D140, Merged_COEM!$C$60:$C$538,C132)-SUM(SUMIFS(Merged_COEM!$X$60:$X$538,Merged_COEM!$D$60:$D$538,D140,Merged_COEM!$AA$60:$AA$538,{"Ongoing","N/A",""},Merged_COEM!$C$60:$C$538,C132))</f>
        <v>93</v>
      </c>
      <c r="G140" s="39">
        <f>1/8*(SUMIFS(Merged_COEM!$Y$60:$Y$538,Merged_COEM!$D$60:$D$538,D140, Merged_COEM!$C$60:$C$538,C132))</f>
        <v>0.71250000000000002</v>
      </c>
      <c r="H140" s="39">
        <f>1/8*(SUMIFS(Merged_COEM!$Z$60:$Z$538,Merged_COEM!$D$60:$D$538,D140, Merged_COEM!$C$60:$C$538,C132)-SUM(SUMIFS(Merged_COEM!$Z$60:$Z$538,Merged_COEM!$D$60:$D$538,D140,Merged_COEM!$AA$60:$AA$538,{"Ongoing","N/A",""},Merged_COEM!$C$60:$C$538,C132)))</f>
        <v>0.625</v>
      </c>
      <c r="I140" s="40">
        <f>IFERROR(F140/E140,"N/A")</f>
        <v>1</v>
      </c>
      <c r="J140" s="3">
        <f>COUNTIFS(Merged_COEM!$AK$60:$AK$538,J138,Merged_COEM!$D$60:$D$538,D140,Merged_COEM!$C$60:$C$538,C132)</f>
        <v>0</v>
      </c>
      <c r="K140" s="3">
        <f>COUNTIFS(Merged_COEM!$AK$60:$AK$538,K138,Merged_COEM!$D$60:$D$538,D140,Merged_COEM!$C$60:$C$538,C132)</f>
        <v>0</v>
      </c>
    </row>
    <row r="142" spans="1:11" x14ac:dyDescent="0.25">
      <c r="C142" t="s">
        <v>125</v>
      </c>
    </row>
    <row r="143" spans="1:11" x14ac:dyDescent="0.25">
      <c r="D143" s="204" t="s">
        <v>129</v>
      </c>
    </row>
    <row r="145" spans="1:11" x14ac:dyDescent="0.25">
      <c r="A145" s="201">
        <v>12</v>
      </c>
      <c r="B145" s="201" t="s">
        <v>56</v>
      </c>
      <c r="C145" s="201">
        <v>20200603</v>
      </c>
    </row>
    <row r="146" spans="1:11" x14ac:dyDescent="0.25">
      <c r="B146" s="201" t="s">
        <v>119</v>
      </c>
      <c r="C146">
        <f>SUM(G152:G153)</f>
        <v>15.061250000000001</v>
      </c>
      <c r="D146" t="s">
        <v>120</v>
      </c>
    </row>
    <row r="147" spans="1:11" x14ac:dyDescent="0.25">
      <c r="B147" s="201" t="s">
        <v>127</v>
      </c>
      <c r="C147">
        <f>SUM(INT((WEEKDAY(F147-{2,3,4,5,6})+H147-F147)/7))</f>
        <v>13</v>
      </c>
      <c r="D147" t="s">
        <v>120</v>
      </c>
      <c r="E147" t="s">
        <v>151</v>
      </c>
      <c r="F147" s="6">
        <v>43985</v>
      </c>
      <c r="G147" s="6" t="s">
        <v>118</v>
      </c>
      <c r="H147" s="6">
        <v>44002</v>
      </c>
    </row>
    <row r="148" spans="1:11" x14ac:dyDescent="0.25">
      <c r="B148" s="201" t="s">
        <v>128</v>
      </c>
      <c r="C148">
        <f>SUM(INT((WEEKDAY(F148-{2,3,4,5,6})+H148-F148)/7))</f>
        <v>13</v>
      </c>
      <c r="D148" t="s">
        <v>120</v>
      </c>
      <c r="E148" t="s">
        <v>151</v>
      </c>
      <c r="F148" s="6">
        <v>43985</v>
      </c>
      <c r="G148" s="6" t="s">
        <v>118</v>
      </c>
      <c r="H148" s="6">
        <v>44002</v>
      </c>
    </row>
    <row r="149" spans="1:11" x14ac:dyDescent="0.25">
      <c r="B149" s="201" t="s">
        <v>17</v>
      </c>
      <c r="C149" t="str">
        <f>IF(AND(F152=E152,F153=E153),IF(SUM(H152:H153)&gt;SUM(G152:G153),"Delayed",IF(SUM(H152:H153)&lt;SUM(G152:G153),"InAdvanced","Ontime")),"N/A")</f>
        <v>InAdvanced</v>
      </c>
      <c r="F149" s="6"/>
      <c r="G149" s="6"/>
      <c r="H149" s="6"/>
    </row>
    <row r="151" spans="1:11" ht="45" x14ac:dyDescent="0.25">
      <c r="C151" s="202" t="s">
        <v>25</v>
      </c>
      <c r="D151" s="202" t="s">
        <v>26</v>
      </c>
      <c r="E151" s="203" t="s">
        <v>121</v>
      </c>
      <c r="F151" s="203" t="s">
        <v>122</v>
      </c>
      <c r="G151" s="203" t="s">
        <v>123</v>
      </c>
      <c r="H151" s="203" t="s">
        <v>124</v>
      </c>
      <c r="I151" s="203" t="s">
        <v>29</v>
      </c>
      <c r="J151" s="203" t="str">
        <f>Table!$C$41</f>
        <v>OPL</v>
      </c>
      <c r="K151" s="203" t="str">
        <f>Table!$C$42</f>
        <v>Defect</v>
      </c>
    </row>
    <row r="152" spans="1:11" x14ac:dyDescent="0.25">
      <c r="C152" s="45">
        <v>1</v>
      </c>
      <c r="D152" s="39" t="str">
        <f>Table!$D$3</f>
        <v>PSW</v>
      </c>
      <c r="E152" s="39">
        <f>SUMIFS(Merged_COEM!$W$60:$W$538,Merged_COEM!$D$60:$D$538,D152, Merged_COEM!$C$60:$C$538,C145)</f>
        <v>5375</v>
      </c>
      <c r="F152" s="39">
        <f>SUMIFS(Merged_COEM!$X$60:$X$538,Merged_COEM!$D$60:$D$538,D152, Merged_COEM!$C$60:$C$538,C145)-SUM(SUMIFS(Merged_COEM!$X$60:$X$538,Merged_COEM!$D$60:$D$538,Table!$D$3,Merged_COEM!$AA$60:$AA$538,{"Ongoing","N/A",""},Merged_COEM!$C$60:$C$538,C145))</f>
        <v>5375</v>
      </c>
      <c r="G152" s="39">
        <f>1/8*(SUMIFS(Merged_COEM!$Y$60:$Y$538,Merged_COEM!$D$60:$D$538,D152, Merged_COEM!$C$60:$C$538,C145))</f>
        <v>11.931250000000002</v>
      </c>
      <c r="H152" s="39">
        <f>1/8*(SUMIFS(Merged_COEM!$Z$60:$Z$538,Merged_COEM!$D$60:$D$538,D152, Merged_COEM!$C$60:$C$538,C145)-SUM(SUMIFS(Merged_COEM!$Z$60:$Z$538,Merged_COEM!$D$60:$D$538,D152,Merged_COEM!$AA$60:$AA$538,{"Ongoing","N/A",""},Merged_COEM!$C$60:$C$538,C145)))</f>
        <v>4.5250000000000004</v>
      </c>
      <c r="I152" s="40">
        <f>IFERROR(F152/E152,"N/A")</f>
        <v>1</v>
      </c>
      <c r="J152" s="3">
        <f>COUNTIFS(Merged_COEM!$AK$60:$AK$538,J151,Merged_COEM!$D$60:$D$538,D152,Merged_COEM!$C$60:$C$538,C145)</f>
        <v>4</v>
      </c>
      <c r="K152" s="3">
        <f>COUNTIFS(Merged_COEM!$AK$60:$AK$538,K151,Merged_COEM!$D$60:$D$538,D152,Merged_COEM!$C$60:$C$538,C145)</f>
        <v>0</v>
      </c>
    </row>
    <row r="153" spans="1:11" x14ac:dyDescent="0.25">
      <c r="C153" s="45">
        <v>2</v>
      </c>
      <c r="D153" s="39" t="str">
        <f>Table!$C$3</f>
        <v>ASW</v>
      </c>
      <c r="E153" s="39">
        <f>SUMIFS(Merged_COEM!$W$60:$W$538,Merged_COEM!$D$60:$D$538,D153, Merged_COEM!$C$60:$C$538,C145)</f>
        <v>407</v>
      </c>
      <c r="F153" s="39">
        <f>SUMIFS(Merged_COEM!$X$60:$X$538,Merged_COEM!$D$60:$D$538,D153, Merged_COEM!$C$60:$C$538,C145)-SUM(SUMIFS(Merged_COEM!$X$60:$X$538,Merged_COEM!$D$60:$D$538,D153,Merged_COEM!$AA$60:$AA$538,{"Ongoing","N/A",""},Merged_COEM!$C$60:$C$538,C145))</f>
        <v>407</v>
      </c>
      <c r="G153" s="39">
        <f>1/8*(SUMIFS(Merged_COEM!$Y$60:$Y$538,Merged_COEM!$D$60:$D$538,D153, Merged_COEM!$C$60:$C$538,C145))</f>
        <v>3.13</v>
      </c>
      <c r="H153" s="39">
        <f>1/8*(SUMIFS(Merged_COEM!$Z$60:$Z$538,Merged_COEM!$D$60:$D$538,D153, Merged_COEM!$C$60:$C$538,C145)-SUM(SUMIFS(Merged_COEM!$Z$60:$Z$538,Merged_COEM!$D$60:$D$538,D153,Merged_COEM!$AA$60:$AA$538,{"Ongoing","N/A",""},Merged_COEM!$C$60:$C$538,C145)))</f>
        <v>2.75</v>
      </c>
      <c r="I153" s="40">
        <f>IFERROR(F153/E153,"N/A")</f>
        <v>1</v>
      </c>
      <c r="J153" s="3">
        <f>COUNTIFS(Merged_COEM!$AK$60:$AK$538,J151,Merged_COEM!$D$60:$D$538,D153,Merged_COEM!$C$60:$C$538,C145)</f>
        <v>2</v>
      </c>
      <c r="K153" s="3">
        <f>COUNTIFS(Merged_COEM!$AK$60:$AK$538,K151,Merged_COEM!$D$60:$D$538,D153,Merged_COEM!$C$60:$C$538,C145)</f>
        <v>0</v>
      </c>
    </row>
    <row r="155" spans="1:11" x14ac:dyDescent="0.25">
      <c r="C155" t="s">
        <v>125</v>
      </c>
    </row>
    <row r="156" spans="1:11" x14ac:dyDescent="0.25">
      <c r="D156" s="204" t="s">
        <v>129</v>
      </c>
    </row>
    <row r="158" spans="1:11" x14ac:dyDescent="0.25">
      <c r="A158" s="227">
        <v>13</v>
      </c>
      <c r="B158" s="227" t="s">
        <v>56</v>
      </c>
      <c r="C158" s="227">
        <v>20200604</v>
      </c>
    </row>
    <row r="159" spans="1:11" x14ac:dyDescent="0.25">
      <c r="B159" s="227" t="s">
        <v>119</v>
      </c>
      <c r="C159">
        <f>SUM(G165:G166)</f>
        <v>4.7549999999999999</v>
      </c>
      <c r="D159" t="s">
        <v>120</v>
      </c>
    </row>
    <row r="160" spans="1:11" x14ac:dyDescent="0.25">
      <c r="B160" s="227" t="s">
        <v>127</v>
      </c>
      <c r="C160">
        <f>SUM(INT((WEEKDAY(F160-{2,3,4,5,6})+H160-F160)/7))</f>
        <v>7</v>
      </c>
      <c r="D160" t="s">
        <v>120</v>
      </c>
      <c r="E160" t="s">
        <v>151</v>
      </c>
      <c r="F160" s="6">
        <v>43986</v>
      </c>
      <c r="G160" s="6" t="s">
        <v>118</v>
      </c>
      <c r="H160" s="6">
        <v>43996</v>
      </c>
    </row>
    <row r="161" spans="1:11" x14ac:dyDescent="0.25">
      <c r="B161" s="227" t="s">
        <v>128</v>
      </c>
      <c r="C161">
        <f>SUM(INT((WEEKDAY(F161-{2,3,4,5,6})+H161-F161)/7))</f>
        <v>7</v>
      </c>
      <c r="D161" t="s">
        <v>120</v>
      </c>
      <c r="E161" t="s">
        <v>151</v>
      </c>
      <c r="F161" s="6">
        <v>43986</v>
      </c>
      <c r="G161" s="6" t="s">
        <v>118</v>
      </c>
      <c r="H161" s="6">
        <v>43996</v>
      </c>
    </row>
    <row r="162" spans="1:11" x14ac:dyDescent="0.25">
      <c r="B162" s="227" t="s">
        <v>17</v>
      </c>
      <c r="C162" t="str">
        <f>IF(AND(F165=E165,F166=E166),IF(SUM(H165:H166)&gt;SUM(G165:G166),"Delayed",IF(SUM(H165:H166)&lt;SUM(G165:G166),"InAdvanced","Ontime")),"N/A")</f>
        <v>Delayed</v>
      </c>
      <c r="F162" s="6"/>
      <c r="G162" s="6"/>
      <c r="H162" s="6"/>
    </row>
    <row r="164" spans="1:11" ht="45" x14ac:dyDescent="0.25">
      <c r="C164" s="228" t="s">
        <v>25</v>
      </c>
      <c r="D164" s="228" t="s">
        <v>26</v>
      </c>
      <c r="E164" s="229" t="s">
        <v>121</v>
      </c>
      <c r="F164" s="229" t="s">
        <v>122</v>
      </c>
      <c r="G164" s="229" t="s">
        <v>123</v>
      </c>
      <c r="H164" s="229" t="s">
        <v>124</v>
      </c>
      <c r="I164" s="229" t="s">
        <v>29</v>
      </c>
      <c r="J164" s="229" t="str">
        <f>Table!$C$41</f>
        <v>OPL</v>
      </c>
      <c r="K164" s="229" t="str">
        <f>Table!$C$42</f>
        <v>Defect</v>
      </c>
    </row>
    <row r="165" spans="1:11" x14ac:dyDescent="0.25">
      <c r="C165" s="45">
        <v>1</v>
      </c>
      <c r="D165" s="39" t="str">
        <f>Table!$D$3</f>
        <v>PSW</v>
      </c>
      <c r="E165" s="39">
        <f>SUMIFS(Merged_COEM!$W$60:$W$538,Merged_COEM!$D$60:$D$538,D165, Merged_COEM!$C$60:$C$538,C158)</f>
        <v>1556</v>
      </c>
      <c r="F165" s="39">
        <f>SUMIFS(Merged_COEM!$X$60:$X$538,Merged_COEM!$D$60:$D$538,D165, Merged_COEM!$C$60:$C$538,C158)-SUM(SUMIFS(Merged_COEM!$X$60:$X$538,Merged_COEM!$D$60:$D$538,Table!$D$3,Merged_COEM!$AA$60:$AA$538,{"Ongoing","N/A",""},Merged_COEM!$C$60:$C$538,C158))</f>
        <v>1556</v>
      </c>
      <c r="G165" s="39">
        <f>1/8*(SUMIFS(Merged_COEM!$Y$60:$Y$538,Merged_COEM!$D$60:$D$538,D165, Merged_COEM!$C$60:$C$538,C158))</f>
        <v>3.45</v>
      </c>
      <c r="H165" s="39">
        <f>1/8*(SUMIFS(Merged_COEM!$Z$60:$Z$538,Merged_COEM!$D$60:$D$538,D165, Merged_COEM!$C$60:$C$538,C158)-SUM(SUMIFS(Merged_COEM!$Z$60:$Z$538,Merged_COEM!$D$60:$D$538,D165,Merged_COEM!$AA$60:$AA$538,{"Ongoing","N/A",""},Merged_COEM!$C$60:$C$538,C158)))</f>
        <v>1.3499999999999992</v>
      </c>
      <c r="I165" s="40">
        <f>IFERROR(F165/E165,"N/A")</f>
        <v>1</v>
      </c>
      <c r="J165" s="3">
        <f>COUNTIFS(Merged_COEM!$AK$60:$AK$538,J164,Merged_COEM!$D$60:$D$538,D165,Merged_COEM!$C$60:$C$538,C158)</f>
        <v>0</v>
      </c>
      <c r="K165" s="3">
        <f>COUNTIFS(Merged_COEM!$AK$60:$AK$538,K164,Merged_COEM!$D$60:$D$538,D165,Merged_COEM!$C$60:$C$538,C158)</f>
        <v>0</v>
      </c>
    </row>
    <row r="166" spans="1:11" x14ac:dyDescent="0.25">
      <c r="C166" s="45">
        <v>2</v>
      </c>
      <c r="D166" s="39" t="str">
        <f>Table!$C$3</f>
        <v>ASW</v>
      </c>
      <c r="E166" s="39">
        <f>SUMIFS(Merged_COEM!$W$60:$W$538,Merged_COEM!$D$60:$D$538,D166, Merged_COEM!$C$60:$C$538,C158)</f>
        <v>170</v>
      </c>
      <c r="F166" s="39">
        <f>SUMIFS(Merged_COEM!$X$60:$X$538,Merged_COEM!$D$60:$D$538,D166, Merged_COEM!$C$60:$C$538,C158)-SUM(SUMIFS(Merged_COEM!$X$60:$X$538,Merged_COEM!$D$60:$D$538,D166,Merged_COEM!$AA$60:$AA$538,{"Ongoing","N/A",""},Merged_COEM!$C$60:$C$538,C158))</f>
        <v>170</v>
      </c>
      <c r="G166" s="39">
        <f>1/8*(SUMIFS(Merged_COEM!$Y$60:$Y$538,Merged_COEM!$D$60:$D$538,D166, Merged_COEM!$C$60:$C$538,C158))</f>
        <v>1.3049999999999999</v>
      </c>
      <c r="H166" s="39">
        <f>1/8*(SUMIFS(Merged_COEM!$Z$60:$Z$538,Merged_COEM!$D$60:$D$538,D166, Merged_COEM!$C$60:$C$538,C158)-SUM(SUMIFS(Merged_COEM!$Z$60:$Z$538,Merged_COEM!$D$60:$D$538,D166,Merged_COEM!$AA$60:$AA$538,{"Ongoing","N/A",""},Merged_COEM!$C$60:$C$538,C158)))</f>
        <v>11.774999999999999</v>
      </c>
      <c r="I166" s="40">
        <f>IFERROR(F166/E166,"N/A")</f>
        <v>1</v>
      </c>
      <c r="J166" s="3">
        <f>COUNTIFS(Merged_COEM!$AK$60:$AK$538,J164,Merged_COEM!$D$60:$D$538,D166,Merged_COEM!$C$60:$C$538,C158)</f>
        <v>0</v>
      </c>
      <c r="K166" s="3">
        <f>COUNTIFS(Merged_COEM!$AK$60:$AK$538,K164,Merged_COEM!$D$60:$D$538,D166,Merged_COEM!$C$60:$C$538,C158)</f>
        <v>0</v>
      </c>
    </row>
    <row r="168" spans="1:11" x14ac:dyDescent="0.25">
      <c r="C168" t="s">
        <v>125</v>
      </c>
    </row>
    <row r="169" spans="1:11" x14ac:dyDescent="0.25">
      <c r="D169" s="230" t="s">
        <v>129</v>
      </c>
    </row>
    <row r="171" spans="1:11" x14ac:dyDescent="0.25">
      <c r="A171" s="227">
        <v>14</v>
      </c>
      <c r="B171" s="227" t="s">
        <v>56</v>
      </c>
      <c r="C171" s="227">
        <v>20200605</v>
      </c>
    </row>
    <row r="172" spans="1:11" x14ac:dyDescent="0.25">
      <c r="B172" s="227" t="s">
        <v>119</v>
      </c>
      <c r="C172">
        <f>SUM(G178:G179)</f>
        <v>10.84</v>
      </c>
      <c r="D172" t="s">
        <v>120</v>
      </c>
    </row>
    <row r="173" spans="1:11" x14ac:dyDescent="0.25">
      <c r="B173" s="227" t="s">
        <v>127</v>
      </c>
      <c r="C173">
        <f>SUM(INT((WEEKDAY(F173-{2,3,4,5,6})+H173-F173)/7))</f>
        <v>10</v>
      </c>
      <c r="D173" t="s">
        <v>120</v>
      </c>
      <c r="E173" t="s">
        <v>151</v>
      </c>
      <c r="F173" s="6">
        <v>43987</v>
      </c>
      <c r="G173" s="6" t="s">
        <v>118</v>
      </c>
      <c r="H173" s="6">
        <v>44000</v>
      </c>
    </row>
    <row r="174" spans="1:11" x14ac:dyDescent="0.25">
      <c r="B174" s="227" t="s">
        <v>128</v>
      </c>
      <c r="C174">
        <f>SUM(INT((WEEKDAY(F174-{2,3,4,5,6})+H174-F174)/7))</f>
        <v>10</v>
      </c>
      <c r="D174" t="s">
        <v>120</v>
      </c>
      <c r="E174" t="s">
        <v>151</v>
      </c>
      <c r="F174" s="6">
        <v>43987</v>
      </c>
      <c r="G174" s="6" t="s">
        <v>118</v>
      </c>
      <c r="H174" s="6">
        <v>44000</v>
      </c>
    </row>
    <row r="175" spans="1:11" x14ac:dyDescent="0.25">
      <c r="B175" s="227" t="s">
        <v>17</v>
      </c>
      <c r="C175" t="str">
        <f>IF(AND(F178=E178,F179=E179),IF(SUM(H178:H179)&gt;SUM(G178:G179),"Delayed",IF(SUM(H178:H179)&lt;SUM(G178:G179),"InAdvanced","Ontime")),"N/A")</f>
        <v>InAdvanced</v>
      </c>
      <c r="F175" s="6"/>
      <c r="G175" s="6"/>
      <c r="H175" s="6"/>
    </row>
    <row r="177" spans="1:11" ht="45" x14ac:dyDescent="0.25">
      <c r="C177" s="228" t="s">
        <v>25</v>
      </c>
      <c r="D177" s="228" t="s">
        <v>26</v>
      </c>
      <c r="E177" s="229" t="s">
        <v>121</v>
      </c>
      <c r="F177" s="229" t="s">
        <v>122</v>
      </c>
      <c r="G177" s="229" t="s">
        <v>123</v>
      </c>
      <c r="H177" s="229" t="s">
        <v>124</v>
      </c>
      <c r="I177" s="229" t="s">
        <v>29</v>
      </c>
      <c r="J177" s="229" t="str">
        <f>Table!$C$41</f>
        <v>OPL</v>
      </c>
      <c r="K177" s="229" t="str">
        <f>Table!$C$42</f>
        <v>Defect</v>
      </c>
    </row>
    <row r="178" spans="1:11" x14ac:dyDescent="0.25">
      <c r="C178" s="45">
        <v>1</v>
      </c>
      <c r="D178" s="39" t="str">
        <f>Table!$D$3</f>
        <v>PSW</v>
      </c>
      <c r="E178" s="39">
        <f>SUMIFS(Merged_COEM!$W$60:$W$538,Merged_COEM!$D$60:$D$538,D178, Merged_COEM!$C$60:$C$538,C171)</f>
        <v>4886</v>
      </c>
      <c r="F178" s="39">
        <f>SUMIFS(Merged_COEM!$X$60:$X$538,Merged_COEM!$D$60:$D$538,D178, Merged_COEM!$C$60:$C$538,C171)-SUM(SUMIFS(Merged_COEM!$X$60:$X$538,Merged_COEM!$D$60:$D$538,Table!$D$3,Merged_COEM!$AA$60:$AA$538,{"Ongoing","N/A",""},Merged_COEM!$C$60:$C$538,C171))</f>
        <v>4886</v>
      </c>
      <c r="G178" s="39">
        <f>1/8*(SUMIFS(Merged_COEM!$Y$60:$Y$538,Merged_COEM!$D$60:$D$538,D178, Merged_COEM!$C$60:$C$538,C171))</f>
        <v>10.84</v>
      </c>
      <c r="H178" s="39">
        <f>1/8*(SUMIFS(Merged_COEM!$Z$60:$Z$538,Merged_COEM!$D$60:$D$538,D178, Merged_COEM!$C$60:$C$538,C171)-SUM(SUMIFS(Merged_COEM!$Z$60:$Z$538,Merged_COEM!$D$60:$D$538,D178,Merged_COEM!$AA$60:$AA$538,{"Ongoing","N/A",""},Merged_COEM!$C$60:$C$538,C171)))</f>
        <v>7.0375000000000005</v>
      </c>
      <c r="I178" s="40">
        <f>IFERROR(F178/E178,"N/A")</f>
        <v>1</v>
      </c>
      <c r="J178" s="3">
        <f>COUNTIFS(Merged_COEM!$AK$60:$AK$538,J177,Merged_COEM!$D$60:$D$538,D178,Merged_COEM!$C$60:$C$538,C171)</f>
        <v>2</v>
      </c>
      <c r="K178" s="3">
        <f>COUNTIFS(Merged_COEM!$AK$60:$AK$538,K177,Merged_COEM!$D$60:$D$538,D178,Merged_COEM!$C$60:$C$538,C171)</f>
        <v>0</v>
      </c>
    </row>
    <row r="179" spans="1:11" x14ac:dyDescent="0.25">
      <c r="C179" s="45">
        <v>2</v>
      </c>
      <c r="D179" s="39" t="str">
        <f>Table!$C$3</f>
        <v>ASW</v>
      </c>
      <c r="E179" s="39">
        <f>SUMIFS(Merged_COEM!$W$60:$W$538,Merged_COEM!$D$60:$D$538,D179, Merged_COEM!$C$60:$C$538,C171)</f>
        <v>0</v>
      </c>
      <c r="F179" s="39">
        <f>SUMIFS(Merged_COEM!$X$60:$X$538,Merged_COEM!$D$60:$D$538,D179, Merged_COEM!$C$60:$C$538,C171)-SUM(SUMIFS(Merged_COEM!$X$60:$X$538,Merged_COEM!$D$60:$D$538,D179,Merged_COEM!$AA$60:$AA$538,{"Ongoing","N/A",""},Merged_COEM!$C$60:$C$538,C171))</f>
        <v>0</v>
      </c>
      <c r="G179" s="39">
        <f>1/8*(SUMIFS(Merged_COEM!$Y$60:$Y$538,Merged_COEM!$D$60:$D$538,D179, Merged_COEM!$C$60:$C$538,C171))</f>
        <v>0</v>
      </c>
      <c r="H179" s="39">
        <f>1/8*(SUMIFS(Merged_COEM!$Z$60:$Z$538,Merged_COEM!$D$60:$D$538,D179, Merged_COEM!$C$60:$C$538,C171)-SUM(SUMIFS(Merged_COEM!$Z$60:$Z$538,Merged_COEM!$D$60:$D$538,D179,Merged_COEM!$AA$60:$AA$538,{"Ongoing","N/A",""},Merged_COEM!$C$60:$C$538,C171)))</f>
        <v>0</v>
      </c>
      <c r="I179" s="40" t="str">
        <f>IFERROR(F179/E179,"N/A")</f>
        <v>N/A</v>
      </c>
      <c r="J179" s="3">
        <f>COUNTIFS(Merged_COEM!$AK$60:$AK$538,J177,Merged_COEM!$D$60:$D$538,D179,Merged_COEM!$C$60:$C$538,C171)</f>
        <v>0</v>
      </c>
      <c r="K179" s="3">
        <f>COUNTIFS(Merged_COEM!$AK$60:$AK$538,K177,Merged_COEM!$D$60:$D$538,D179,Merged_COEM!$C$60:$C$538,C171)</f>
        <v>0</v>
      </c>
    </row>
    <row r="181" spans="1:11" x14ac:dyDescent="0.25">
      <c r="C181" t="s">
        <v>125</v>
      </c>
    </row>
    <row r="182" spans="1:11" x14ac:dyDescent="0.25">
      <c r="D182" s="230" t="s">
        <v>129</v>
      </c>
    </row>
    <row r="184" spans="1:11" x14ac:dyDescent="0.25">
      <c r="A184" s="227">
        <v>15</v>
      </c>
      <c r="B184" s="227" t="s">
        <v>56</v>
      </c>
      <c r="C184" s="227">
        <v>20200608</v>
      </c>
    </row>
    <row r="185" spans="1:11" x14ac:dyDescent="0.25">
      <c r="B185" s="227" t="s">
        <v>119</v>
      </c>
      <c r="C185">
        <f>SUM(G191:G192)</f>
        <v>19.623749999999998</v>
      </c>
      <c r="D185" t="s">
        <v>120</v>
      </c>
    </row>
    <row r="186" spans="1:11" x14ac:dyDescent="0.25">
      <c r="B186" s="227" t="s">
        <v>127</v>
      </c>
      <c r="C186">
        <f>SUM(INT((WEEKDAY(F186-{2,3,4,5,6})+H186-F186)/7))</f>
        <v>7</v>
      </c>
      <c r="D186" t="s">
        <v>120</v>
      </c>
      <c r="E186" t="s">
        <v>151</v>
      </c>
      <c r="F186" s="6">
        <v>43990</v>
      </c>
      <c r="G186" s="6" t="s">
        <v>118</v>
      </c>
      <c r="H186" s="6">
        <v>43998</v>
      </c>
    </row>
    <row r="187" spans="1:11" x14ac:dyDescent="0.25">
      <c r="B187" s="227" t="s">
        <v>128</v>
      </c>
      <c r="C187">
        <f>SUM(INT((WEEKDAY(F187-{2,3,4,5,6})+H187-F187)/7))</f>
        <v>7</v>
      </c>
      <c r="D187" t="s">
        <v>120</v>
      </c>
      <c r="E187" t="s">
        <v>151</v>
      </c>
      <c r="F187" s="6">
        <v>43990</v>
      </c>
      <c r="G187" s="6" t="s">
        <v>118</v>
      </c>
      <c r="H187" s="6">
        <v>43998</v>
      </c>
    </row>
    <row r="188" spans="1:11" x14ac:dyDescent="0.25">
      <c r="B188" s="227" t="s">
        <v>17</v>
      </c>
      <c r="C188" t="str">
        <f>IF(AND(F191=E191,F192=E192),IF(SUM(H191:H192)&gt;SUM(G191:G192),"Delayed",IF(SUM(H191:H192)&lt;SUM(G191:G192),"InAdvanced","Ontime")),"N/A")</f>
        <v>InAdvanced</v>
      </c>
      <c r="F188" s="6"/>
      <c r="G188" s="6"/>
      <c r="H188" s="6"/>
    </row>
    <row r="190" spans="1:11" ht="45" x14ac:dyDescent="0.25">
      <c r="C190" s="228" t="s">
        <v>25</v>
      </c>
      <c r="D190" s="228" t="s">
        <v>26</v>
      </c>
      <c r="E190" s="229" t="s">
        <v>121</v>
      </c>
      <c r="F190" s="229" t="s">
        <v>122</v>
      </c>
      <c r="G190" s="229" t="s">
        <v>123</v>
      </c>
      <c r="H190" s="229" t="s">
        <v>124</v>
      </c>
      <c r="I190" s="229" t="s">
        <v>29</v>
      </c>
      <c r="J190" s="229" t="str">
        <f>Table!$C$41</f>
        <v>OPL</v>
      </c>
      <c r="K190" s="229" t="str">
        <f>Table!$C$42</f>
        <v>Defect</v>
      </c>
    </row>
    <row r="191" spans="1:11" x14ac:dyDescent="0.25">
      <c r="C191" s="45">
        <v>1</v>
      </c>
      <c r="D191" s="39" t="str">
        <f>Table!$D$3</f>
        <v>PSW</v>
      </c>
      <c r="E191" s="39">
        <f>SUMIFS(Merged_COEM!$W$60:$W$538,Merged_COEM!$D$60:$D$538,D191, Merged_COEM!$C$60:$C$538,C184)</f>
        <v>8223</v>
      </c>
      <c r="F191" s="39">
        <f>SUMIFS(Merged_COEM!$X$60:$X$538,Merged_COEM!$D$60:$D$538,D191, Merged_COEM!$C$60:$C$538,C184)-SUM(SUMIFS(Merged_COEM!$X$60:$X$538,Merged_COEM!$D$60:$D$538,Table!$D$3,Merged_COEM!$AA$60:$AA$538,{"Ongoing","N/A",""},Merged_COEM!$C$60:$C$538,C184))</f>
        <v>8223</v>
      </c>
      <c r="G191" s="39">
        <f>1/8*(SUMIFS(Merged_COEM!$Y$60:$Y$538,Merged_COEM!$D$60:$D$538,D191, Merged_COEM!$C$60:$C$538,C184))</f>
        <v>18.254999999999999</v>
      </c>
      <c r="H191" s="39">
        <f>1/8*(SUMIFS(Merged_COEM!$Z$60:$Z$538,Merged_COEM!$D$60:$D$538,D191, Merged_COEM!$C$60:$C$538,C184)-SUM(SUMIFS(Merged_COEM!$Z$60:$Z$538,Merged_COEM!$D$60:$D$538,D191,Merged_COEM!$AA$60:$AA$538,{"Ongoing","N/A",""},Merged_COEM!$C$60:$C$538,C184)))</f>
        <v>9.3874999999999993</v>
      </c>
      <c r="I191" s="40">
        <f>IFERROR(F191/E191,"N/A")</f>
        <v>1</v>
      </c>
      <c r="J191" s="3">
        <f>COUNTIFS(Merged_COEM!$AK$60:$AK$538,J190,Merged_COEM!$D$60:$D$538,D191,Merged_COEM!$C$60:$C$538,C184)</f>
        <v>6</v>
      </c>
      <c r="K191" s="3">
        <f>COUNTIFS(Merged_COEM!$AK$60:$AK$538,K190,Merged_COEM!$D$60:$D$538,D191,Merged_COEM!$C$60:$C$538,C184)</f>
        <v>0</v>
      </c>
    </row>
    <row r="192" spans="1:11" x14ac:dyDescent="0.25">
      <c r="C192" s="45">
        <v>2</v>
      </c>
      <c r="D192" s="39" t="str">
        <f>Table!$C$3</f>
        <v>ASW</v>
      </c>
      <c r="E192" s="39">
        <f>SUMIFS(Merged_COEM!$W$60:$W$538,Merged_COEM!$D$60:$D$538,D192, Merged_COEM!$C$60:$C$538,C184)</f>
        <v>178</v>
      </c>
      <c r="F192" s="39">
        <f>SUMIFS(Merged_COEM!$X$60:$X$538,Merged_COEM!$D$60:$D$538,D192, Merged_COEM!$C$60:$C$538,C184)-SUM(SUMIFS(Merged_COEM!$X$60:$X$538,Merged_COEM!$D$60:$D$538,D192,Merged_COEM!$AA$60:$AA$538,{"Ongoing","N/A",""},Merged_COEM!$C$60:$C$538,C184))</f>
        <v>178</v>
      </c>
      <c r="G192" s="39">
        <f>1/8*(SUMIFS(Merged_COEM!$Y$60:$Y$538,Merged_COEM!$D$60:$D$538,D192, Merged_COEM!$C$60:$C$538,C184))</f>
        <v>1.3687500000000001</v>
      </c>
      <c r="H192" s="39">
        <f>1/8*(SUMIFS(Merged_COEM!$Z$60:$Z$538,Merged_COEM!$D$60:$D$538,D192, Merged_COEM!$C$60:$C$538,C184)-SUM(SUMIFS(Merged_COEM!$Z$60:$Z$538,Merged_COEM!$D$60:$D$538,D192,Merged_COEM!$AA$60:$AA$538,{"Ongoing","N/A",""},Merged_COEM!$C$60:$C$538,C184)))</f>
        <v>0.875</v>
      </c>
      <c r="I192" s="40">
        <f>IFERROR(F192/E192,"N/A")</f>
        <v>1</v>
      </c>
      <c r="J192" s="3">
        <f>COUNTIFS(Merged_COEM!$AK$60:$AK$538,J190,Merged_COEM!$D$60:$D$538,D192,Merged_COEM!$C$60:$C$538,C184)</f>
        <v>0</v>
      </c>
      <c r="K192" s="3">
        <f>COUNTIFS(Merged_COEM!$AK$60:$AK$538,K190,Merged_COEM!$D$60:$D$538,D192,Merged_COEM!$C$60:$C$538,C184)</f>
        <v>0</v>
      </c>
    </row>
    <row r="194" spans="1:11" x14ac:dyDescent="0.25">
      <c r="C194" t="s">
        <v>125</v>
      </c>
    </row>
    <row r="195" spans="1:11" x14ac:dyDescent="0.25">
      <c r="D195" s="230" t="s">
        <v>129</v>
      </c>
    </row>
    <row r="197" spans="1:11" x14ac:dyDescent="0.25">
      <c r="A197" s="1">
        <v>16</v>
      </c>
      <c r="B197" s="1" t="s">
        <v>56</v>
      </c>
      <c r="C197" s="1">
        <v>20200609</v>
      </c>
    </row>
    <row r="198" spans="1:11" x14ac:dyDescent="0.25">
      <c r="B198" s="1" t="s">
        <v>119</v>
      </c>
      <c r="C198">
        <f>SUM(G204:G205)</f>
        <v>5.13</v>
      </c>
      <c r="D198" t="s">
        <v>120</v>
      </c>
    </row>
    <row r="199" spans="1:11" x14ac:dyDescent="0.25">
      <c r="B199" s="1" t="s">
        <v>127</v>
      </c>
      <c r="C199">
        <f>SUM(INT((WEEKDAY(F199-{2,3,4,5,6})+H199-F199)/7))</f>
        <v>10</v>
      </c>
      <c r="D199" t="s">
        <v>120</v>
      </c>
      <c r="E199" t="s">
        <v>151</v>
      </c>
      <c r="F199" s="6">
        <v>43991</v>
      </c>
      <c r="G199" s="6" t="s">
        <v>118</v>
      </c>
      <c r="H199" s="6">
        <v>44004</v>
      </c>
    </row>
    <row r="200" spans="1:11" x14ac:dyDescent="0.25">
      <c r="B200" s="1" t="s">
        <v>128</v>
      </c>
      <c r="C200">
        <f>SUM(INT((WEEKDAY(F200-{2,3,4,5,6})+H200-F200)/7))</f>
        <v>10</v>
      </c>
      <c r="D200" t="s">
        <v>120</v>
      </c>
      <c r="E200" t="s">
        <v>151</v>
      </c>
      <c r="F200" s="6">
        <v>43991</v>
      </c>
      <c r="G200" s="6" t="s">
        <v>118</v>
      </c>
      <c r="H200" s="6">
        <v>44004</v>
      </c>
    </row>
    <row r="201" spans="1:11" x14ac:dyDescent="0.25">
      <c r="B201" s="1" t="s">
        <v>17</v>
      </c>
      <c r="C201" t="str">
        <f>IF(AND(F204=E204,F205=E205),IF(SUM(H204:H205)&gt;SUM(G204:G205),"Delayed",IF(SUM(H204:H205)&lt;SUM(G204:G205),"InAdvanced","Ontime")),"N/A")</f>
        <v>InAdvanced</v>
      </c>
      <c r="F201" s="6"/>
      <c r="G201" s="6"/>
      <c r="H201" s="6"/>
    </row>
    <row r="203" spans="1:11" ht="45" x14ac:dyDescent="0.25">
      <c r="C203" s="54" t="s">
        <v>25</v>
      </c>
      <c r="D203" s="54" t="s">
        <v>26</v>
      </c>
      <c r="E203" s="8" t="s">
        <v>121</v>
      </c>
      <c r="F203" s="8" t="s">
        <v>122</v>
      </c>
      <c r="G203" s="8" t="s">
        <v>123</v>
      </c>
      <c r="H203" s="8" t="s">
        <v>124</v>
      </c>
      <c r="I203" s="8" t="s">
        <v>29</v>
      </c>
      <c r="J203" s="8" t="str">
        <f>Table!$C$41</f>
        <v>OPL</v>
      </c>
      <c r="K203" s="8" t="str">
        <f>Table!$C$42</f>
        <v>Defect</v>
      </c>
    </row>
    <row r="204" spans="1:11" x14ac:dyDescent="0.25">
      <c r="C204" s="45">
        <v>1</v>
      </c>
      <c r="D204" s="39" t="str">
        <f>Table!$D$3</f>
        <v>PSW</v>
      </c>
      <c r="E204" s="39">
        <f>SUMIFS(Merged_COEM!$W$60:$W$538,Merged_COEM!$D$60:$D$538,D204, Merged_COEM!$C$60:$C$538,C197)</f>
        <v>1272</v>
      </c>
      <c r="F204" s="39">
        <f>SUMIFS(Merged_COEM!$X$60:$X$538,Merged_COEM!$D$60:$D$538,D204, Merged_COEM!$C$60:$C$538,C197)-SUM(SUMIFS(Merged_COEM!$X$60:$X$538,Merged_COEM!$D$60:$D$538,Table!$D$3,Merged_COEM!$AA$60:$AA$538,{"Ongoing","N/A",""},Merged_COEM!$C$60:$C$538,C197))</f>
        <v>1272</v>
      </c>
      <c r="G204" s="39">
        <f>1/8*(SUMIFS(Merged_COEM!$Y$60:$Y$538,Merged_COEM!$D$60:$D$538,D204, Merged_COEM!$C$60:$C$538,C197))</f>
        <v>2.8250000000000002</v>
      </c>
      <c r="H204" s="39">
        <f>1/8*(SUMIFS(Merged_COEM!$Z$60:$Z$538,Merged_COEM!$D$60:$D$538,D204, Merged_COEM!$C$60:$C$538,C197)-SUM(SUMIFS(Merged_COEM!$Z$60:$Z$538,Merged_COEM!$D$60:$D$538,D204,Merged_COEM!$AA$60:$AA$538,{"Ongoing","N/A",""},Merged_COEM!$C$60:$C$538,C197)))</f>
        <v>0.75</v>
      </c>
      <c r="I204" s="40">
        <f>IFERROR(F204/E204,"N/A")</f>
        <v>1</v>
      </c>
      <c r="J204" s="3">
        <f>COUNTIFS(Merged_COEM!$AK$60:$AK$538,J203,Merged_COEM!$D$60:$D$538,D204,Merged_COEM!$C$60:$C$538,C197)</f>
        <v>0</v>
      </c>
      <c r="K204" s="3">
        <f>COUNTIFS(Merged_COEM!$AK$60:$AK$538,K203,Merged_COEM!$D$60:$D$538,D204,Merged_COEM!$C$60:$C$538,C197)</f>
        <v>0</v>
      </c>
    </row>
    <row r="205" spans="1:11" x14ac:dyDescent="0.25">
      <c r="C205" s="45">
        <v>2</v>
      </c>
      <c r="D205" s="39" t="str">
        <f>Table!$C$3</f>
        <v>ASW</v>
      </c>
      <c r="E205" s="39">
        <f>SUMIFS(Merged_COEM!$W$60:$W$538,Merged_COEM!$D$60:$D$538,D205, Merged_COEM!$C$60:$C$538,C197)</f>
        <v>300</v>
      </c>
      <c r="F205" s="39">
        <f>SUMIFS(Merged_COEM!$X$60:$X$538,Merged_COEM!$D$60:$D$538,D205, Merged_COEM!$C$60:$C$538,C197)-SUM(SUMIFS(Merged_COEM!$X$60:$X$538,Merged_COEM!$D$60:$D$538,D205,Merged_COEM!$AA$60:$AA$538,{"Ongoing","N/A",""},Merged_COEM!$C$60:$C$538,C197))</f>
        <v>300</v>
      </c>
      <c r="G205" s="39">
        <f>1/8*(SUMIFS(Merged_COEM!$Y$60:$Y$538,Merged_COEM!$D$60:$D$538,D205, Merged_COEM!$C$60:$C$538,C197))</f>
        <v>2.3049999999999997</v>
      </c>
      <c r="H205" s="39">
        <f>1/8*(SUMIFS(Merged_COEM!$Z$60:$Z$538,Merged_COEM!$D$60:$D$538,D205, Merged_COEM!$C$60:$C$538,C197)-SUM(SUMIFS(Merged_COEM!$Z$60:$Z$538,Merged_COEM!$D$60:$D$538,D205,Merged_COEM!$AA$60:$AA$538,{"Ongoing","N/A",""},Merged_COEM!$C$60:$C$538,C197)))</f>
        <v>1.875</v>
      </c>
      <c r="I205" s="40">
        <f>IFERROR(F205/E205,"N/A")</f>
        <v>1</v>
      </c>
      <c r="J205" s="3">
        <f>COUNTIFS(Merged_COEM!$AK$60:$AK$538,J203,Merged_COEM!$D$60:$D$538,D205,Merged_COEM!$C$60:$C$538,C197)</f>
        <v>0</v>
      </c>
      <c r="K205" s="3">
        <f>COUNTIFS(Merged_COEM!$AK$60:$AK$538,K203,Merged_COEM!$D$60:$D$538,D205,Merged_COEM!$C$60:$C$538,C197)</f>
        <v>0</v>
      </c>
    </row>
    <row r="207" spans="1:11" x14ac:dyDescent="0.25">
      <c r="C207" t="s">
        <v>125</v>
      </c>
    </row>
    <row r="208" spans="1:11" x14ac:dyDescent="0.25">
      <c r="D208" s="246" t="s">
        <v>129</v>
      </c>
    </row>
    <row r="210" spans="1:11" x14ac:dyDescent="0.25">
      <c r="A210" s="1">
        <v>17</v>
      </c>
      <c r="B210" s="1" t="s">
        <v>56</v>
      </c>
      <c r="C210" s="1">
        <v>20200611</v>
      </c>
    </row>
    <row r="211" spans="1:11" x14ac:dyDescent="0.25">
      <c r="B211" s="1" t="s">
        <v>119</v>
      </c>
      <c r="C211">
        <f>SUM(G217:G218)</f>
        <v>2.3687499999999999</v>
      </c>
      <c r="D211" t="s">
        <v>120</v>
      </c>
    </row>
    <row r="212" spans="1:11" x14ac:dyDescent="0.25">
      <c r="B212" s="1" t="s">
        <v>127</v>
      </c>
      <c r="C212">
        <f>SUM(INT((WEEKDAY(F212-{2,3,4,5,6})+H212-F212)/7))</f>
        <v>12</v>
      </c>
      <c r="D212" t="s">
        <v>120</v>
      </c>
      <c r="E212" t="s">
        <v>151</v>
      </c>
      <c r="F212" s="6">
        <v>43993</v>
      </c>
      <c r="G212" s="6" t="s">
        <v>118</v>
      </c>
      <c r="H212" s="6">
        <v>44008</v>
      </c>
    </row>
    <row r="213" spans="1:11" x14ac:dyDescent="0.25">
      <c r="B213" s="1" t="s">
        <v>128</v>
      </c>
      <c r="C213">
        <f>SUM(INT((WEEKDAY(F213-{2,3,4,5,6})+H213-F213)/7))</f>
        <v>12</v>
      </c>
      <c r="D213" t="s">
        <v>120</v>
      </c>
      <c r="E213" t="s">
        <v>151</v>
      </c>
      <c r="F213" s="6">
        <v>43993</v>
      </c>
      <c r="G213" s="6" t="s">
        <v>118</v>
      </c>
      <c r="H213" s="6">
        <v>44008</v>
      </c>
    </row>
    <row r="214" spans="1:11" x14ac:dyDescent="0.25">
      <c r="B214" s="1" t="s">
        <v>17</v>
      </c>
      <c r="C214" t="str">
        <f>IF(AND(F217=E217,F218=E218),IF(SUM(H217:H218)&gt;SUM(G217:G218),"Delayed",IF(SUM(H217:H218)&lt;SUM(G217:G218),"InAdvanced","Ontime")),"N/A")</f>
        <v>InAdvanced</v>
      </c>
      <c r="F214" s="6"/>
      <c r="G214" s="6"/>
      <c r="H214" s="6"/>
    </row>
    <row r="216" spans="1:11" ht="45" x14ac:dyDescent="0.25">
      <c r="C216" s="54" t="s">
        <v>25</v>
      </c>
      <c r="D216" s="54" t="s">
        <v>26</v>
      </c>
      <c r="E216" s="8" t="s">
        <v>121</v>
      </c>
      <c r="F216" s="8" t="s">
        <v>122</v>
      </c>
      <c r="G216" s="8" t="s">
        <v>123</v>
      </c>
      <c r="H216" s="8" t="s">
        <v>124</v>
      </c>
      <c r="I216" s="8" t="s">
        <v>29</v>
      </c>
      <c r="J216" s="8" t="str">
        <f>Table!$C$41</f>
        <v>OPL</v>
      </c>
      <c r="K216" s="8" t="str">
        <f>Table!$C$42</f>
        <v>Defect</v>
      </c>
    </row>
    <row r="217" spans="1:11" x14ac:dyDescent="0.25">
      <c r="C217" s="45">
        <v>1</v>
      </c>
      <c r="D217" s="39" t="str">
        <f>Table!$D$3</f>
        <v>PSW</v>
      </c>
      <c r="E217" s="39">
        <f>SUMIFS(Merged_COEM!$W$60:$W$538,Merged_COEM!$D$60:$D$538,D217, Merged_COEM!$C$60:$C$538,C210)</f>
        <v>1067</v>
      </c>
      <c r="F217" s="39">
        <f>SUMIFS(Merged_COEM!$X$60:$X$538,Merged_COEM!$D$60:$D$538,D217, Merged_COEM!$C$60:$C$538,C210)-SUM(SUMIFS(Merged_COEM!$X$60:$X$538,Merged_COEM!$D$60:$D$538,Table!$D$3,Merged_COEM!$AA$60:$AA$538,{"Ongoing","N/A",""},Merged_COEM!$C$60:$C$538,C210))</f>
        <v>1067</v>
      </c>
      <c r="G217" s="39">
        <f>1/8*(SUMIFS(Merged_COEM!$Y$60:$Y$538,Merged_COEM!$D$60:$D$538,D217, Merged_COEM!$C$60:$C$538,C210))</f>
        <v>2.3687499999999999</v>
      </c>
      <c r="H217" s="39">
        <f>1/8*(SUMIFS(Merged_COEM!$Z$60:$Z$538,Merged_COEM!$D$60:$D$538,D217, Merged_COEM!$C$60:$C$538,C210)-SUM(SUMIFS(Merged_COEM!$Z$60:$Z$538,Merged_COEM!$D$60:$D$538,D217,Merged_COEM!$AA$60:$AA$538,{"Ongoing","N/A",""},Merged_COEM!$C$60:$C$538,C210)))</f>
        <v>0.9375</v>
      </c>
      <c r="I217" s="40">
        <f>IFERROR(F217/E217,"N/A")</f>
        <v>1</v>
      </c>
      <c r="J217" s="3">
        <f>COUNTIFS(Merged_COEM!$AK$60:$AK$538,J216,Merged_COEM!$D$60:$D$538,D217,Merged_COEM!$C$60:$C$538,C210)</f>
        <v>1</v>
      </c>
      <c r="K217" s="3">
        <f>COUNTIFS(Merged_COEM!$AK$60:$AK$538,K216,Merged_COEM!$D$60:$D$538,D217,Merged_COEM!$C$60:$C$538,C210)</f>
        <v>0</v>
      </c>
    </row>
    <row r="218" spans="1:11" x14ac:dyDescent="0.25">
      <c r="C218" s="45">
        <v>2</v>
      </c>
      <c r="D218" s="39" t="str">
        <f>Table!$C$3</f>
        <v>ASW</v>
      </c>
      <c r="E218" s="39">
        <f>SUMIFS(Merged_COEM!$W$60:$W$538,Merged_COEM!$D$60:$D$538,D218, Merged_COEM!$C$60:$C$538,C210)</f>
        <v>0</v>
      </c>
      <c r="F218" s="39">
        <f>SUMIFS(Merged_COEM!$X$60:$X$538,Merged_COEM!$D$60:$D$538,D218, Merged_COEM!$C$60:$C$538,C210)-SUM(SUMIFS(Merged_COEM!$X$60:$X$538,Merged_COEM!$D$60:$D$538,D218,Merged_COEM!$AA$60:$AA$538,{"Ongoing","N/A",""},Merged_COEM!$C$60:$C$538,C210))</f>
        <v>0</v>
      </c>
      <c r="G218" s="39">
        <f>1/8*(SUMIFS(Merged_COEM!$Y$60:$Y$538,Merged_COEM!$D$60:$D$538,D218, Merged_COEM!$C$60:$C$538,C210))</f>
        <v>0</v>
      </c>
      <c r="H218" s="39">
        <f>1/8*(SUMIFS(Merged_COEM!$Z$60:$Z$538,Merged_COEM!$D$60:$D$538,D218, Merged_COEM!$C$60:$C$538,C210)-SUM(SUMIFS(Merged_COEM!$Z$60:$Z$538,Merged_COEM!$D$60:$D$538,D218,Merged_COEM!$AA$60:$AA$538,{"Ongoing","N/A",""},Merged_COEM!$C$60:$C$538,C210)))</f>
        <v>0</v>
      </c>
      <c r="I218" s="40" t="str">
        <f>IFERROR(F218/E218,"N/A")</f>
        <v>N/A</v>
      </c>
      <c r="J218" s="3">
        <f>COUNTIFS(Merged_COEM!$AK$60:$AK$538,J216,Merged_COEM!$D$60:$D$538,D218,Merged_COEM!$C$60:$C$538,C210)</f>
        <v>0</v>
      </c>
      <c r="K218" s="3">
        <f>COUNTIFS(Merged_COEM!$AK$60:$AK$538,K216,Merged_COEM!$D$60:$D$538,D218,Merged_COEM!$C$60:$C$538,C210)</f>
        <v>0</v>
      </c>
    </row>
    <row r="220" spans="1:11" x14ac:dyDescent="0.25">
      <c r="C220" t="s">
        <v>125</v>
      </c>
    </row>
    <row r="221" spans="1:11" x14ac:dyDescent="0.25">
      <c r="D221" s="246" t="s">
        <v>129</v>
      </c>
    </row>
    <row r="224" spans="1:11" x14ac:dyDescent="0.25">
      <c r="A224" s="1">
        <v>18</v>
      </c>
      <c r="B224" s="1" t="s">
        <v>56</v>
      </c>
      <c r="C224" s="1">
        <v>20200618</v>
      </c>
    </row>
    <row r="225" spans="2:11" x14ac:dyDescent="0.25">
      <c r="B225" s="1" t="s">
        <v>119</v>
      </c>
      <c r="C225">
        <f>SUM(G231:G232)</f>
        <v>0.41749999999999998</v>
      </c>
      <c r="D225" t="s">
        <v>120</v>
      </c>
      <c r="J225" s="258"/>
      <c r="K225" s="258"/>
    </row>
    <row r="226" spans="2:11" x14ac:dyDescent="0.25">
      <c r="B226" s="1" t="s">
        <v>127</v>
      </c>
      <c r="C226">
        <f>SUM(INT((WEEKDAY(F226-{2,3,4,5,6})+H226-F226)/7))</f>
        <v>2</v>
      </c>
      <c r="D226" t="s">
        <v>120</v>
      </c>
      <c r="E226" t="s">
        <v>151</v>
      </c>
      <c r="F226" s="6">
        <v>44000</v>
      </c>
      <c r="G226" s="6" t="s">
        <v>118</v>
      </c>
      <c r="H226" s="6">
        <v>44001</v>
      </c>
    </row>
    <row r="227" spans="2:11" x14ac:dyDescent="0.25">
      <c r="B227" s="1" t="s">
        <v>128</v>
      </c>
      <c r="C227">
        <f>SUM(INT((WEEKDAY(F227-{2,3,4,5,6})+H227-F227)/7))</f>
        <v>2</v>
      </c>
      <c r="D227" t="s">
        <v>120</v>
      </c>
      <c r="E227" t="s">
        <v>151</v>
      </c>
      <c r="F227" s="6">
        <v>44000</v>
      </c>
      <c r="G227" s="6" t="s">
        <v>118</v>
      </c>
      <c r="H227" s="6">
        <v>44001</v>
      </c>
    </row>
    <row r="228" spans="2:11" x14ac:dyDescent="0.25">
      <c r="B228" s="1" t="s">
        <v>17</v>
      </c>
      <c r="C228" t="str">
        <f>IF(AND(F231=E231,F232=E232),IF(SUM(H231:H232)&gt;SUM(G231:G232),"Delayed",IF(SUM(H231:H232)&lt;SUM(G231:G232),"InAdvanced","Ontime")),"N/A")</f>
        <v>InAdvanced</v>
      </c>
      <c r="F228" s="6"/>
      <c r="G228" s="6"/>
      <c r="H228" s="6"/>
    </row>
    <row r="230" spans="2:11" ht="45" x14ac:dyDescent="0.25">
      <c r="C230" s="54" t="s">
        <v>25</v>
      </c>
      <c r="D230" s="54" t="s">
        <v>26</v>
      </c>
      <c r="E230" s="8" t="s">
        <v>121</v>
      </c>
      <c r="F230" s="8" t="s">
        <v>122</v>
      </c>
      <c r="G230" s="8" t="s">
        <v>123</v>
      </c>
      <c r="H230" s="8" t="s">
        <v>124</v>
      </c>
      <c r="I230" s="8" t="s">
        <v>29</v>
      </c>
      <c r="J230" s="8" t="str">
        <f>Table!$C$41</f>
        <v>OPL</v>
      </c>
      <c r="K230" s="8" t="str">
        <f>Table!$C$42</f>
        <v>Defect</v>
      </c>
    </row>
    <row r="231" spans="2:11" x14ac:dyDescent="0.25">
      <c r="C231" s="45">
        <v>1</v>
      </c>
      <c r="D231" s="39" t="str">
        <f>Table!$D$3</f>
        <v>PSW</v>
      </c>
      <c r="E231" s="39">
        <f>SUMIFS(Merged_COEM!$W$60:$W$538,Merged_COEM!$D$60:$D$538,D231, Merged_COEM!$C$60:$C$538,C224)</f>
        <v>188</v>
      </c>
      <c r="F231" s="39">
        <f>SUMIFS(Merged_COEM!$X$60:$X$538,Merged_COEM!$D$60:$D$538,D231, Merged_COEM!$C$60:$C$538,C224)-SUM(SUMIFS(Merged_COEM!$X$60:$X$538,Merged_COEM!$D$60:$D$538,Table!$D$3,Merged_COEM!$AA$60:$AA$538,{"Ongoing","N/A",""},Merged_COEM!$C$60:$C$538,C224))</f>
        <v>188</v>
      </c>
      <c r="G231" s="39">
        <f>1/8*(SUMIFS(Merged_COEM!$Y$60:$Y$538,Merged_COEM!$D$60:$D$538,D231, Merged_COEM!$C$60:$C$538,C224))</f>
        <v>0.41749999999999998</v>
      </c>
      <c r="H231" s="39">
        <f>1/8*(SUMIFS(Merged_COEM!$Z$60:$Z$538,Merged_COEM!$D$60:$D$538,D231, Merged_COEM!$C$60:$C$538,C224)-SUM(SUMIFS(Merged_COEM!$Z$60:$Z$538,Merged_COEM!$D$60:$D$538,D231,Merged_COEM!$AA$60:$AA$538,{"Ongoing","N/A",""},Merged_COEM!$C$60:$C$538,C224)))</f>
        <v>0.125</v>
      </c>
      <c r="I231" s="40">
        <f>IFERROR(F231/E231,"N/A")</f>
        <v>1</v>
      </c>
      <c r="J231" s="3">
        <f>COUNTIFS(Merged_COEM!$AK$60:$AK$538,J230,Merged_COEM!$D$60:$D$538,D231,Merged_COEM!$C$60:$C$538,C224)</f>
        <v>1</v>
      </c>
      <c r="K231" s="3">
        <f>COUNTIFS(Merged_COEM!$AK$60:$AK$538,K230,Merged_COEM!$D$60:$D$538,D231,Merged_COEM!$C$60:$C$538,C224)</f>
        <v>0</v>
      </c>
    </row>
    <row r="232" spans="2:11" x14ac:dyDescent="0.25">
      <c r="C232" s="45">
        <v>2</v>
      </c>
      <c r="D232" s="39" t="str">
        <f>Table!$C$3</f>
        <v>ASW</v>
      </c>
      <c r="E232" s="39">
        <f>SUMIFS(Merged_COEM!$W$60:$W$538,Merged_COEM!$D$60:$D$538,D232, Merged_COEM!$C$60:$C$538,C224)</f>
        <v>0</v>
      </c>
      <c r="F232" s="39">
        <f>SUMIFS(Merged_COEM!$X$60:$X$538,Merged_COEM!$D$60:$D$538,D232, Merged_COEM!$C$60:$C$538,C224)-SUM(SUMIFS(Merged_COEM!$X$60:$X$538,Merged_COEM!$D$60:$D$538,D232,Merged_COEM!$AA$60:$AA$538,{"Ongoing","N/A",""},Merged_COEM!$C$60:$C$538,C224))</f>
        <v>0</v>
      </c>
      <c r="G232" s="39">
        <f>1/8*(SUMIFS(Merged_COEM!$Y$60:$Y$538,Merged_COEM!$D$60:$D$538,D232, Merged_COEM!$C$60:$C$538,C224))</f>
        <v>0</v>
      </c>
      <c r="H232" s="39">
        <f>1/8*(SUMIFS(Merged_COEM!$Z$60:$Z$538,Merged_COEM!$D$60:$D$538,D232, Merged_COEM!$C$60:$C$538,C224)-SUM(SUMIFS(Merged_COEM!$Z$60:$Z$538,Merged_COEM!$D$60:$D$538,D232,Merged_COEM!$AA$60:$AA$538,{"Ongoing","N/A",""},Merged_COEM!$C$60:$C$538,C224)))</f>
        <v>0</v>
      </c>
      <c r="I232" s="40" t="str">
        <f>IFERROR(F232/E232,"N/A")</f>
        <v>N/A</v>
      </c>
      <c r="J232" s="3">
        <f>COUNTIFS(Merged_COEM!$AK$60:$AK$538,J230,Merged_COEM!$D$60:$D$538,D232,Merged_COEM!$C$60:$C$538,C224)</f>
        <v>0</v>
      </c>
      <c r="K232" s="3">
        <f>COUNTIFS(Merged_COEM!$AK$60:$AK$538,K230,Merged_COEM!$D$60:$D$538,D232,Merged_COEM!$C$60:$C$538,C224)</f>
        <v>0</v>
      </c>
    </row>
    <row r="234" spans="2:11" x14ac:dyDescent="0.25">
      <c r="C234" t="s">
        <v>125</v>
      </c>
    </row>
    <row r="235" spans="2:11" x14ac:dyDescent="0.25">
      <c r="D235" s="246" t="s">
        <v>129</v>
      </c>
    </row>
  </sheetData>
  <customSheetViews>
    <customSheetView guid="{FECB4C41-27E8-4A22-AFB3-4F54CDD4960E}" scale="85">
      <selection activeCell="K212" sqref="K212"/>
      <pageMargins left="0.7" right="0.7" top="0.75" bottom="0.75" header="0.3" footer="0.3"/>
      <pageSetup orientation="portrait" r:id="rId1"/>
    </customSheetView>
    <customSheetView guid="{3B3E6719-EACB-4D2C-89C1-05FFAB6020FD}" scale="85" topLeftCell="A151">
      <selection activeCell="A178" sqref="A178:XFD178"/>
      <pageMargins left="0.7" right="0.7" top="0.75" bottom="0.75" header="0.3" footer="0.3"/>
      <pageSetup orientation="portrait" r:id="rId2"/>
    </customSheetView>
    <customSheetView guid="{4E06BDBF-2CED-473B-850B-2A6C7311FF41}" scale="85" topLeftCell="A4">
      <selection activeCell="B51" sqref="B51"/>
      <pageMargins left="0.7" right="0.7" top="0.75" bottom="0.75" header="0.3" footer="0.3"/>
      <pageSetup orientation="portrait" r:id="rId3"/>
    </customSheetView>
    <customSheetView guid="{99BC1C51-34DC-4BF2-906C-1E31B6171D71}" scale="85">
      <selection activeCell="R10" sqref="R10"/>
      <pageMargins left="0.7" right="0.7" top="0.75" bottom="0.75" header="0.3" footer="0.3"/>
      <pageSetup orientation="portrait" r:id="rId4"/>
    </customSheetView>
    <customSheetView guid="{C94451EF-7A3E-4D72-B5A4-3D1B193192CC}" scale="85">
      <selection activeCell="G160" sqref="G160"/>
      <pageMargins left="0.7" right="0.7" top="0.75" bottom="0.75" header="0.3" footer="0.3"/>
      <pageSetup orientation="portrait" r:id="rId5"/>
    </customSheetView>
    <customSheetView guid="{7ECC2B8E-6A82-42F5-8AB0-4A51C54EA5EC}" scale="85" topLeftCell="A127">
      <selection activeCell="M30" sqref="M30"/>
      <pageMargins left="0.7" right="0.7" top="0.75" bottom="0.75" header="0.3" footer="0.3"/>
      <pageSetup orientation="portrait" r:id="rId6"/>
    </customSheetView>
    <customSheetView guid="{A2C66332-A809-458E-971B-FDB6D62C74C3}" scale="85">
      <selection activeCell="G160" sqref="G160"/>
      <pageMargins left="0.7" right="0.7" top="0.75" bottom="0.75" header="0.3" footer="0.3"/>
      <pageSetup orientation="portrait" r:id="rId7"/>
    </customSheetView>
    <customSheetView guid="{89C03E1E-B6A8-49A1-B29C-5DC4FAB2FBC6}" scale="85">
      <selection activeCell="D117" sqref="D117"/>
      <pageMargins left="0.7" right="0.7" top="0.75" bottom="0.75" header="0.3" footer="0.3"/>
      <pageSetup orientation="portrait" r:id="rId8"/>
    </customSheetView>
    <customSheetView guid="{60D2C030-4E31-4E07-8E1C-44D2EE84B177}" scale="85">
      <selection activeCell="R10" sqref="R10"/>
      <pageMargins left="0.7" right="0.7" top="0.75" bottom="0.75" header="0.3" footer="0.3"/>
      <pageSetup orientation="portrait" r:id="rId9"/>
    </customSheetView>
    <customSheetView guid="{D33AC7AF-C8AB-4CE9-94C7-9237011A5FC3}" scale="85" topLeftCell="A151">
      <selection activeCell="A177" sqref="A177:I187"/>
      <pageMargins left="0.7" right="0.7" top="0.75" bottom="0.75" header="0.3" footer="0.3"/>
      <pageSetup orientation="portrait" r:id="rId10"/>
    </customSheetView>
    <customSheetView guid="{336B6883-2145-4B58-921E-CEC7185A847E}" topLeftCell="A10">
      <selection activeCell="L50" sqref="L50"/>
      <pageMargins left="0.7" right="0.7" top="0.75" bottom="0.75" header="0.3" footer="0.3"/>
    </customSheetView>
    <customSheetView guid="{970EE037-F5E5-47AF-896A-0F6222879EBC}" scale="85" topLeftCell="A13">
      <selection activeCell="I229" sqref="I229"/>
      <pageMargins left="0.7" right="0.7" top="0.75" bottom="0.75" header="0.3" footer="0.3"/>
      <pageSetup orientation="portrait" r:id="rId11"/>
    </customSheetView>
    <customSheetView guid="{F96FC7D9-4F89-4FE0-8D00-C0083DEB0472}" scale="85" topLeftCell="A43">
      <selection activeCell="G112" sqref="G112"/>
      <pageMargins left="0.7" right="0.7" top="0.75" bottom="0.75" header="0.3" footer="0.3"/>
      <pageSetup orientation="portrait" r:id="rId12"/>
    </customSheetView>
    <customSheetView guid="{7E0EA425-A420-4443-B9E0-CDF0AA9E5D09}" scale="85" topLeftCell="A202">
      <selection activeCell="C224" sqref="C224"/>
      <pageMargins left="0.7" right="0.7" top="0.75" bottom="0.75" header="0.3" footer="0.3"/>
      <pageSetup orientation="portrait" r:id="rId13"/>
    </customSheetView>
  </customSheetViews>
  <pageMargins left="0.7" right="0.7" top="0.75" bottom="0.75" header="0.3" footer="0.3"/>
  <pageSetup orientation="portrait" r:id="rId1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4"/>
  <sheetViews>
    <sheetView topLeftCell="A19" workbookViewId="0">
      <selection activeCell="I40" sqref="I40"/>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v>1</v>
      </c>
      <c r="B2" s="1" t="s">
        <v>56</v>
      </c>
      <c r="C2" s="1" t="s">
        <v>210</v>
      </c>
    </row>
    <row r="3" spans="1:11" x14ac:dyDescent="0.25">
      <c r="B3" s="1" t="s">
        <v>119</v>
      </c>
      <c r="C3">
        <f>SUM(G9:G10)</f>
        <v>2.8</v>
      </c>
      <c r="D3" t="s">
        <v>120</v>
      </c>
    </row>
    <row r="4" spans="1:11" x14ac:dyDescent="0.25">
      <c r="B4" s="1" t="s">
        <v>127</v>
      </c>
      <c r="C4">
        <f>SUM(INT((WEEKDAY(F4-{2,3,4,5,6})+H4-F4)/7))</f>
        <v>12</v>
      </c>
      <c r="D4" t="s">
        <v>120</v>
      </c>
      <c r="E4" t="s">
        <v>151</v>
      </c>
      <c r="F4" s="6">
        <v>43962</v>
      </c>
      <c r="G4" s="6" t="s">
        <v>118</v>
      </c>
      <c r="H4" s="6">
        <v>43977</v>
      </c>
    </row>
    <row r="5" spans="1:11" x14ac:dyDescent="0.25">
      <c r="B5" s="1" t="s">
        <v>128</v>
      </c>
      <c r="C5">
        <f>SUM(INT((WEEKDAY(F5-{2,3,4,5,6})+H5-F5)/7))</f>
        <v>12</v>
      </c>
      <c r="D5" t="s">
        <v>120</v>
      </c>
      <c r="E5" t="s">
        <v>213</v>
      </c>
      <c r="F5" s="6">
        <v>43962</v>
      </c>
      <c r="G5" s="6" t="s">
        <v>118</v>
      </c>
      <c r="H5" s="6">
        <v>43977</v>
      </c>
    </row>
    <row r="6" spans="1:11" x14ac:dyDescent="0.25">
      <c r="B6" s="1" t="s">
        <v>17</v>
      </c>
      <c r="C6" t="str">
        <f>IF(AND(F9=E9,F10=E10),IF(SUM(H9:H10)&gt;SUM(G9:G10),"Delayed",IF(SUM(H9:H10)&lt;SUM(G9:G10),"InAdvanced","Ontime")),"N/A")</f>
        <v>InAdvanced</v>
      </c>
      <c r="F6" s="6"/>
      <c r="G6" s="6"/>
      <c r="H6" s="6"/>
    </row>
    <row r="8" spans="1:11" ht="30" x14ac:dyDescent="0.25">
      <c r="C8" s="54" t="s">
        <v>25</v>
      </c>
      <c r="D8" s="54" t="s">
        <v>26</v>
      </c>
      <c r="E8" s="8" t="s">
        <v>121</v>
      </c>
      <c r="F8" s="8" t="s">
        <v>122</v>
      </c>
      <c r="G8" s="8" t="s">
        <v>123</v>
      </c>
      <c r="H8" s="8" t="s">
        <v>124</v>
      </c>
      <c r="I8" s="8" t="s">
        <v>29</v>
      </c>
      <c r="J8" s="125" t="str">
        <f>Table!$C$41</f>
        <v>OPL</v>
      </c>
      <c r="K8" s="125" t="str">
        <f>Table!$C$42</f>
        <v>Defect</v>
      </c>
    </row>
    <row r="9" spans="1:11" x14ac:dyDescent="0.25">
      <c r="C9" s="45">
        <v>1</v>
      </c>
      <c r="D9" s="39" t="str">
        <f>Table!$D$3</f>
        <v>PSW</v>
      </c>
      <c r="E9" s="39">
        <f>SUMIFS(Merged_JOEM!$W$60:$W$324,Merged_JOEM!$D$60:$D$324,D9, Merged_JOEM!$E$60:$E$324,C2)</f>
        <v>0</v>
      </c>
      <c r="F9" s="39">
        <f>SUMIFS(Merged_JOEM!$X$60:$X$324,Merged_JOEM!$D$60:$D$324,D9, Merged_JOEM!$E$60:$E$324,C2)-SUM(SUMIFS(Merged_JOEM!$X$60:$X$324,Merged_JOEM!$D$60:$D$324,D9,Merged_JOEM!$AA$60:$AA$324,{"Ongoing","N/A",""},Merged_JOEM!$E$60:$E$324,C2))</f>
        <v>0</v>
      </c>
      <c r="G9" s="39">
        <f>1/8*(SUMIFS(Merged_JOEM!$Y$60:$Y$324,Merged_JOEM!$D$60:$D$324,D9, Merged_JOEM!$E$60:$E$324,C2))</f>
        <v>0</v>
      </c>
      <c r="H9" s="39">
        <f>1/8*(SUMIFS(Merged_JOEM!$Z$60:$Z$324,Merged_JOEM!$D$60:$D$324,D9, Merged_JOEM!$E$60:$E$324,C2)-SUM(SUMIFS(Merged_JOEM!$Z$60:$Z$324,Merged_JOEM!$D$60:$D$324,D9,Merged_JOEM!$AA$60:$AA$324,{"Ongoing","N/A",""},Merged_JOEM!$E$60:$E$324,C2)))</f>
        <v>0</v>
      </c>
      <c r="I9" s="40" t="str">
        <f>IFERROR(F9/E9,"N/A")</f>
        <v>N/A</v>
      </c>
      <c r="J9" s="3">
        <f>COUNTIFS(Merged_JOEM!$AK$60:$AK$324,J8,Merged_JOEM!$D$60:$D$324,D9,Merged_JOEM!$E$60:$E$324,C2)</f>
        <v>0</v>
      </c>
      <c r="K9" s="3">
        <f>COUNTIFS(Merged_JOEM!$AK$60:$AK$324,K8,Merged_JOEM!$D$60:$D$324,D9,Merged_JOEM!$E$60:$E$324,C2)</f>
        <v>0</v>
      </c>
    </row>
    <row r="10" spans="1:11" x14ac:dyDescent="0.25">
      <c r="C10" s="45">
        <v>2</v>
      </c>
      <c r="D10" s="39" t="str">
        <f>Table!$C$3</f>
        <v>ASW</v>
      </c>
      <c r="E10" s="39">
        <f>SUMIFS(Merged_JOEM!$W$60:$W$324,Merged_JOEM!$D$60:$D$324,D10, Merged_JOEM!$E$60:$E$324,C2)</f>
        <v>364</v>
      </c>
      <c r="F10" s="39">
        <f>SUMIFS(Merged_JOEM!$X$60:$X$324,Merged_JOEM!$D$60:$D$324,D10, Merged_JOEM!$E$60:$E$324,C2)-SUM(SUMIFS(Merged_JOEM!$X$60:$X$324,Merged_JOEM!$D$60:$D$324,D10,Merged_JOEM!$AA$60:$AA$324,{"Ongoing","N/A",""},Merged_JOEM!$E$60:$E$324,C2))</f>
        <v>364</v>
      </c>
      <c r="G10" s="39">
        <f>1/8*(SUMIFS(Merged_JOEM!$Y$60:$Y$324,Merged_JOEM!$D$60:$D$324,D10, Merged_JOEM!$E$60:$E$324,C2))</f>
        <v>2.8</v>
      </c>
      <c r="H10" s="39">
        <f>1/8*(SUMIFS(Merged_JOEM!$Z$60:$Z$324,Merged_JOEM!$D$60:$D$324,D10, Merged_JOEM!$E$60:$E$324,C2)-SUM(SUMIFS(Merged_JOEM!$Z$60:$Z$324,Merged_JOEM!$D$60:$D$324,D10,Merged_JOEM!$AA$60:$AA$324,{"Ongoing","N/A",""},Merged_JOEM!$E$60:$E$324,C2)))</f>
        <v>2.5</v>
      </c>
      <c r="I10" s="40">
        <f>IFERROR(F10/E10,"N/A")</f>
        <v>1</v>
      </c>
      <c r="J10" s="3">
        <f>COUNTIFS(Merged_JOEM!$AK$60:$AK$324,J8,Merged_JOEM!$D$60:$D$324,D10,Merged_JOEM!$E$60:$E$324,C2)</f>
        <v>0</v>
      </c>
      <c r="K10" s="3">
        <f>COUNTIFS(Merged_JOEM!$AK$60:$AK$324,K8,Merged_JOEM!$D$60:$D$324,D10,Merged_JOEM!$E$60:$E$324,C2)</f>
        <v>0</v>
      </c>
    </row>
    <row r="12" spans="1:11" x14ac:dyDescent="0.25">
      <c r="C12" t="s">
        <v>125</v>
      </c>
    </row>
    <row r="13" spans="1:11" x14ac:dyDescent="0.25">
      <c r="D13" s="35" t="s">
        <v>333</v>
      </c>
    </row>
    <row r="14" spans="1:11" x14ac:dyDescent="0.25">
      <c r="D14" s="35" t="s">
        <v>334</v>
      </c>
    </row>
    <row r="16" spans="1:11" x14ac:dyDescent="0.25">
      <c r="A16" s="1">
        <v>2</v>
      </c>
      <c r="B16" s="1" t="s">
        <v>56</v>
      </c>
      <c r="C16" s="1" t="s">
        <v>667</v>
      </c>
    </row>
    <row r="17" spans="1:11" x14ac:dyDescent="0.25">
      <c r="B17" s="1" t="s">
        <v>119</v>
      </c>
      <c r="C17">
        <f>SUM(G23:G24)</f>
        <v>31.539999999999949</v>
      </c>
      <c r="D17" t="s">
        <v>120</v>
      </c>
    </row>
    <row r="18" spans="1:11" x14ac:dyDescent="0.25">
      <c r="B18" s="1" t="s">
        <v>127</v>
      </c>
      <c r="C18">
        <f>SUM(INT((WEEKDAY(F18-{2,3,4,5,6})+H18-F18)/7))</f>
        <v>15</v>
      </c>
      <c r="D18" t="s">
        <v>120</v>
      </c>
      <c r="E18" t="s">
        <v>151</v>
      </c>
      <c r="F18" s="6">
        <v>43976</v>
      </c>
      <c r="G18" s="6" t="s">
        <v>118</v>
      </c>
      <c r="H18" s="6">
        <v>43994</v>
      </c>
    </row>
    <row r="19" spans="1:11" x14ac:dyDescent="0.25">
      <c r="B19" s="1" t="s">
        <v>128</v>
      </c>
      <c r="C19">
        <f>SUM(INT((WEEKDAY(F19-{2,3,4,5,6})+H19-F19)/7))</f>
        <v>15</v>
      </c>
      <c r="D19" t="s">
        <v>120</v>
      </c>
      <c r="E19" t="s">
        <v>213</v>
      </c>
      <c r="F19" s="6">
        <v>43976</v>
      </c>
      <c r="G19" s="6" t="s">
        <v>118</v>
      </c>
      <c r="H19" s="6">
        <v>43994</v>
      </c>
    </row>
    <row r="20" spans="1:11" x14ac:dyDescent="0.25">
      <c r="B20" s="1" t="s">
        <v>17</v>
      </c>
      <c r="C20" t="str">
        <f>IF(AND(F23=E23,F24=E24),IF(SUM(H23:H24)&gt;SUM(G23:G24),"Delayed",IF(SUM(H23:H24)&lt;SUM(G23:G24),"InAdvanced","Ontime")),"N/A")</f>
        <v>InAdvanced</v>
      </c>
      <c r="F20" s="6"/>
      <c r="G20" s="6"/>
      <c r="H20" s="6"/>
    </row>
    <row r="22" spans="1:11" ht="30" x14ac:dyDescent="0.25">
      <c r="C22" s="54" t="s">
        <v>25</v>
      </c>
      <c r="D22" s="54" t="s">
        <v>26</v>
      </c>
      <c r="E22" s="8" t="s">
        <v>121</v>
      </c>
      <c r="F22" s="8" t="s">
        <v>122</v>
      </c>
      <c r="G22" s="8" t="s">
        <v>123</v>
      </c>
      <c r="H22" s="8" t="s">
        <v>124</v>
      </c>
      <c r="I22" s="8" t="s">
        <v>29</v>
      </c>
      <c r="J22" s="125" t="str">
        <f>Table!$C$41</f>
        <v>OPL</v>
      </c>
      <c r="K22" s="125" t="str">
        <f>Table!$C$42</f>
        <v>Defect</v>
      </c>
    </row>
    <row r="23" spans="1:11" x14ac:dyDescent="0.25">
      <c r="C23" s="45">
        <v>1</v>
      </c>
      <c r="D23" s="39" t="str">
        <f>Table!$D$3</f>
        <v>PSW</v>
      </c>
      <c r="E23" s="39">
        <f>SUMIFS(Merged_JOEM!$W$60:$W$324,Merged_JOEM!$D$60:$D$324,D23, Merged_JOEM!$E$60:$E$324,C16)</f>
        <v>11542.5</v>
      </c>
      <c r="F23" s="39">
        <f>SUMIFS(Merged_JOEM!$X$60:$X$324,Merged_JOEM!$D$60:$D$324,D23, Merged_JOEM!$E$60:$E$324,C16)-SUM(SUMIFS(Merged_JOEM!$X$60:$X$324,Merged_JOEM!$D$60:$D$324,D23,Merged_JOEM!$AA$60:$AA$324,{"Ongoing","N/A",""},Merged_JOEM!$E$60:$E$324,C16))</f>
        <v>11542.5</v>
      </c>
      <c r="G23" s="39">
        <f>1/8*(SUMIFS(Merged_JOEM!$Y$60:$Y$324,Merged_JOEM!$D$60:$D$324,D23, Merged_JOEM!$E$60:$E$324,C16))</f>
        <v>25.649999999999949</v>
      </c>
      <c r="H23" s="39">
        <f>1/8*(SUMIFS(Merged_JOEM!$Z$60:$Z$324,Merged_JOEM!$D$60:$D$324,D23, Merged_JOEM!$E$60:$E$324,C16)-SUM(SUMIFS(Merged_JOEM!$Z$60:$Z$324,Merged_JOEM!$D$60:$D$324,D23,Merged_JOEM!$AA$60:$AA$324,{"Ongoing","N/A",""},Merged_JOEM!$E$60:$E$324,C16)))</f>
        <v>19.98</v>
      </c>
      <c r="I23" s="40">
        <f>IFERROR(F23/E23,"N/A")</f>
        <v>1</v>
      </c>
      <c r="J23" s="3">
        <f>COUNTIFS(Merged_JOEM!$AK$60:$AK$324,J22,Merged_JOEM!$D$60:$D$324,D23,Merged_JOEM!$E$60:$E$324,C16)</f>
        <v>0</v>
      </c>
      <c r="K23" s="3">
        <f>COUNTIFS(Merged_JOEM!$AK$60:$AK$324,K22,Merged_JOEM!$D$60:$D$324,D23,Merged_JOEM!$E$60:$E$324,C16)</f>
        <v>0</v>
      </c>
    </row>
    <row r="24" spans="1:11" x14ac:dyDescent="0.25">
      <c r="C24" s="45">
        <v>2</v>
      </c>
      <c r="D24" s="39" t="str">
        <f>Table!$C$3</f>
        <v>ASW</v>
      </c>
      <c r="E24" s="39">
        <f>SUMIFS(Merged_JOEM!$W$60:$W$324,Merged_JOEM!$D$60:$D$324,D24, Merged_JOEM!$E$60:$E$324,C16)</f>
        <v>765.7</v>
      </c>
      <c r="F24" s="39">
        <f>SUMIFS(Merged_JOEM!$X$60:$X$324,Merged_JOEM!$D$60:$D$324,D24, Merged_JOEM!$E$60:$E$324,C16)-SUM(SUMIFS(Merged_JOEM!$X$60:$X$324,Merged_JOEM!$D$60:$D$324,D24,Merged_JOEM!$AA$60:$AA$324,{"Ongoing","N/A",""},Merged_JOEM!$E$60:$E$324,C16))</f>
        <v>765.7</v>
      </c>
      <c r="G24" s="39">
        <f>1/8*(SUMIFS(Merged_JOEM!$Y$60:$Y$324,Merged_JOEM!$D$60:$D$324,D24, Merged_JOEM!$E$60:$E$324,C16))</f>
        <v>5.8899999999999988</v>
      </c>
      <c r="H24" s="39">
        <f>1/8*(SUMIFS(Merged_JOEM!$Z$60:$Z$324,Merged_JOEM!$D$60:$D$324,D24, Merged_JOEM!$E$60:$E$324,C16)-SUM(SUMIFS(Merged_JOEM!$Z$60:$Z$324,Merged_JOEM!$D$60:$D$324,D24,Merged_JOEM!$AA$60:$AA$324,{"Ongoing","N/A",""},Merged_JOEM!$E$60:$E$324,C16)))</f>
        <v>3.125</v>
      </c>
      <c r="I24" s="40">
        <f>IFERROR(F24/E24,"N/A")</f>
        <v>1</v>
      </c>
      <c r="J24" s="3">
        <f>COUNTIFS(Merged_JOEM!$AK$60:$AK$324,J22,Merged_JOEM!$D$60:$D$324,D24,Merged_JOEM!$E$60:$E$324,C16)</f>
        <v>0</v>
      </c>
      <c r="K24" s="3">
        <f>COUNTIFS(Merged_JOEM!$AK$60:$AK$324,K22,Merged_JOEM!$D$60:$D$324,D24,Merged_JOEM!$E$60:$E$324,C16)</f>
        <v>0</v>
      </c>
    </row>
    <row r="26" spans="1:11" x14ac:dyDescent="0.25">
      <c r="C26" t="s">
        <v>125</v>
      </c>
    </row>
    <row r="27" spans="1:11" x14ac:dyDescent="0.25">
      <c r="D27" s="35" t="s">
        <v>837</v>
      </c>
    </row>
    <row r="28" spans="1:11" x14ac:dyDescent="0.25">
      <c r="D28" s="35" t="s">
        <v>1308</v>
      </c>
    </row>
    <row r="29" spans="1:11" x14ac:dyDescent="0.25">
      <c r="D29" s="218" t="s">
        <v>1715</v>
      </c>
    </row>
    <row r="31" spans="1:11" x14ac:dyDescent="0.25">
      <c r="A31" s="186">
        <v>3</v>
      </c>
      <c r="B31" s="186" t="s">
        <v>56</v>
      </c>
      <c r="C31" s="186" t="s">
        <v>871</v>
      </c>
    </row>
    <row r="32" spans="1:11" x14ac:dyDescent="0.25">
      <c r="B32" s="186" t="s">
        <v>119</v>
      </c>
      <c r="C32">
        <f>SUM(G38:G39)</f>
        <v>35.967540000000035</v>
      </c>
      <c r="D32" t="s">
        <v>120</v>
      </c>
    </row>
    <row r="33" spans="2:11" x14ac:dyDescent="0.25">
      <c r="B33" s="186" t="s">
        <v>127</v>
      </c>
      <c r="C33">
        <f>SUM(INT((WEEKDAY(F33-{2,3,4,5,6})+H33-F33)/7))</f>
        <v>14</v>
      </c>
      <c r="D33" t="s">
        <v>120</v>
      </c>
      <c r="E33" t="s">
        <v>151</v>
      </c>
      <c r="F33" s="6">
        <v>43980</v>
      </c>
      <c r="G33" s="6" t="s">
        <v>118</v>
      </c>
      <c r="H33" s="6">
        <v>43999</v>
      </c>
    </row>
    <row r="34" spans="2:11" x14ac:dyDescent="0.25">
      <c r="B34" s="186" t="s">
        <v>128</v>
      </c>
      <c r="C34">
        <f>SUM(INT((WEEKDAY(F34-{2,3,4,5,6})+H34-F34)/7))</f>
        <v>14</v>
      </c>
      <c r="D34" t="s">
        <v>120</v>
      </c>
      <c r="E34" t="s">
        <v>213</v>
      </c>
      <c r="F34" s="6">
        <v>43980</v>
      </c>
      <c r="G34" s="6" t="s">
        <v>118</v>
      </c>
      <c r="H34" s="6">
        <v>43999</v>
      </c>
    </row>
    <row r="35" spans="2:11" x14ac:dyDescent="0.25">
      <c r="B35" s="186" t="s">
        <v>17</v>
      </c>
      <c r="C35" t="str">
        <f>IF(AND(F38=E38,F39=E39),IF(SUM(H38:H39)&gt;SUM(G38:G39),"Delayed",IF(SUM(H38:H39)&lt;SUM(G38:G39),"InAdvanced","Ontime")),"N/A")</f>
        <v>InAdvanced</v>
      </c>
      <c r="F35" s="6"/>
      <c r="G35" s="6"/>
      <c r="H35" s="6"/>
    </row>
    <row r="37" spans="2:11" ht="30" x14ac:dyDescent="0.25">
      <c r="C37" s="187" t="s">
        <v>25</v>
      </c>
      <c r="D37" s="187" t="s">
        <v>26</v>
      </c>
      <c r="E37" s="188" t="s">
        <v>121</v>
      </c>
      <c r="F37" s="188" t="s">
        <v>122</v>
      </c>
      <c r="G37" s="188" t="s">
        <v>123</v>
      </c>
      <c r="H37" s="188" t="s">
        <v>124</v>
      </c>
      <c r="I37" s="188" t="s">
        <v>29</v>
      </c>
      <c r="J37" s="188" t="str">
        <f>Table!$C$41</f>
        <v>OPL</v>
      </c>
      <c r="K37" s="188" t="str">
        <f>Table!$C$42</f>
        <v>Defect</v>
      </c>
    </row>
    <row r="38" spans="2:11" x14ac:dyDescent="0.25">
      <c r="C38" s="45">
        <v>1</v>
      </c>
      <c r="D38" s="39" t="str">
        <f>Table!$D$3</f>
        <v>PSW</v>
      </c>
      <c r="E38" s="39">
        <f>SUMIFS(Merged_JOEM!$W$60:$W$324,Merged_JOEM!$D$60:$D$324,D38, Merged_JOEM!$E$60:$E$324,C31)</f>
        <v>12732.075000000001</v>
      </c>
      <c r="F38" s="39">
        <f>SUMIFS(Merged_JOEM!$X$60:$X$324,Merged_JOEM!$D$60:$D$324,D38, Merged_JOEM!$E$60:$E$324,C31)-SUM(SUMIFS(Merged_JOEM!$X$60:$X$324,Merged_JOEM!$D$60:$D$324,D38,Merged_JOEM!$AA$60:$AA$324,{"Ongoing","N/A",""},Merged_JOEM!$E$60:$E$324,C31))</f>
        <v>12732.075000000001</v>
      </c>
      <c r="G38" s="39">
        <f>1/8*(SUMIFS(Merged_JOEM!$Y$60:$Y$324,Merged_JOEM!$D$60:$D$324,D38, Merged_JOEM!$E$60:$E$324,C31))</f>
        <v>28.29350000000003</v>
      </c>
      <c r="H38" s="39">
        <f>1/8*(SUMIFS(Merged_JOEM!$Z$60:$Z$324,Merged_JOEM!$D$60:$D$324,D38, Merged_JOEM!$E$60:$E$324,C31)-SUM(SUMIFS(Merged_JOEM!$Z$60:$Z$324,Merged_JOEM!$D$60:$D$324,D38,Merged_JOEM!$AA$60:$AA$324,{"Ongoing","N/A",""},Merged_JOEM!$E$60:$E$324,C31)))</f>
        <v>17.375</v>
      </c>
      <c r="I38" s="40">
        <f>IFERROR(F38/E38,"N/A")</f>
        <v>1</v>
      </c>
      <c r="J38" s="3">
        <f>COUNTIFS(Merged_JOEM!$AK$60:$AK$324,J37,Merged_JOEM!$D$60:$D$324,D38,Merged_JOEM!$E$60:$E$324,C31)</f>
        <v>0</v>
      </c>
      <c r="K38" s="3">
        <f>COUNTIFS(Merged_JOEM!$AK$60:$AK$324,K37,Merged_JOEM!$D$60:$D$324,D38,Merged_JOEM!$E$60:$E$324,C31)</f>
        <v>0</v>
      </c>
    </row>
    <row r="39" spans="2:11" x14ac:dyDescent="0.25">
      <c r="C39" s="45">
        <v>2</v>
      </c>
      <c r="D39" s="39" t="str">
        <f>Table!$C$3</f>
        <v>ASW</v>
      </c>
      <c r="E39" s="39">
        <f>SUMIFS(Merged_JOEM!$W$60:$W$324,Merged_JOEM!$D$60:$D$324,D39, Merged_JOEM!$E$60:$E$324,C31)</f>
        <v>997.62500000000034</v>
      </c>
      <c r="F39" s="39">
        <f>SUMIFS(Merged_JOEM!$X$60:$X$324,Merged_JOEM!$D$60:$D$324,D39, Merged_JOEM!$E$60:$E$324,C31)-SUM(SUMIFS(Merged_JOEM!$X$60:$X$324,Merged_JOEM!$D$60:$D$324,D39,Merged_JOEM!$AA$60:$AA$324,{"Ongoing","N/A",""},Merged_JOEM!$E$60:$E$324,C31))</f>
        <v>997.62500000000034</v>
      </c>
      <c r="G39" s="39">
        <f>1/8*(SUMIFS(Merged_JOEM!$Y$60:$Y$324,Merged_JOEM!$D$60:$D$324,D39, Merged_JOEM!$E$60:$E$324,C31))</f>
        <v>7.6740400000000051</v>
      </c>
      <c r="H39" s="39">
        <f>1/8*(SUMIFS(Merged_JOEM!$Z$60:$Z$324,Merged_JOEM!$D$60:$D$324,D39, Merged_JOEM!$E$60:$E$324,C31)-SUM(SUMIFS(Merged_JOEM!$Z$60:$Z$324,Merged_JOEM!$D$60:$D$324,D39,Merged_JOEM!$AA$60:$AA$324,{"Ongoing","N/A",""},Merged_JOEM!$E$60:$E$324,C31)))</f>
        <v>5</v>
      </c>
      <c r="I39" s="40">
        <f>IFERROR(F39/E39,"N/A")</f>
        <v>1</v>
      </c>
      <c r="J39" s="3">
        <f>COUNTIFS(Merged_JOEM!$AK$60:$AK$324,J37,Merged_JOEM!$D$60:$D$324,D39,Merged_JOEM!$E$60:$E$324,C31)</f>
        <v>0</v>
      </c>
      <c r="K39" s="3">
        <f>COUNTIFS(Merged_JOEM!$AK$60:$AK$324,K37,Merged_JOEM!$D$60:$D$324,D39,Merged_JOEM!$E$60:$E$324,C31)</f>
        <v>0</v>
      </c>
    </row>
    <row r="41" spans="2:11" x14ac:dyDescent="0.25">
      <c r="C41" t="s">
        <v>125</v>
      </c>
    </row>
    <row r="42" spans="2:11" x14ac:dyDescent="0.25">
      <c r="D42" s="247" t="s">
        <v>1716</v>
      </c>
    </row>
    <row r="43" spans="2:11" x14ac:dyDescent="0.25">
      <c r="D43" s="35" t="s">
        <v>1746</v>
      </c>
    </row>
    <row r="44" spans="2:11" x14ac:dyDescent="0.25">
      <c r="D44" s="218" t="s">
        <v>1846</v>
      </c>
    </row>
  </sheetData>
  <customSheetViews>
    <customSheetView guid="{FECB4C41-27E8-4A22-AFB3-4F54CDD4960E}" topLeftCell="A19">
      <selection activeCell="A43" sqref="A43:XFD43"/>
      <pageMargins left="0.7" right="0.7" top="0.75" bottom="0.75" header="0.3" footer="0.3"/>
    </customSheetView>
    <customSheetView guid="{3B3E6719-EACB-4D2C-89C1-05FFAB6020FD}">
      <selection activeCell="A29" sqref="A29:XFD29"/>
      <pageMargins left="0.7" right="0.7" top="0.75" bottom="0.75" header="0.3" footer="0.3"/>
    </customSheetView>
    <customSheetView guid="{4E06BDBF-2CED-473B-850B-2A6C7311FF41}">
      <selection activeCell="A43" sqref="A43:XFD43"/>
      <pageMargins left="0.7" right="0.7" top="0.75" bottom="0.75" header="0.3" footer="0.3"/>
      <pageSetup paperSize="9" orientation="portrait" r:id="rId1"/>
    </customSheetView>
    <customSheetView guid="{99BC1C51-34DC-4BF2-906C-1E31B6171D71}">
      <selection activeCell="A29" sqref="A29:XFD29"/>
      <pageMargins left="0.7" right="0.7" top="0.75" bottom="0.75" header="0.3" footer="0.3"/>
    </customSheetView>
    <customSheetView guid="{C94451EF-7A3E-4D72-B5A4-3D1B193192CC}">
      <selection activeCell="A29" sqref="A29:XFD29"/>
      <pageMargins left="0.7" right="0.7" top="0.75" bottom="0.75" header="0.3" footer="0.3"/>
    </customSheetView>
    <customSheetView guid="{7ECC2B8E-6A82-42F5-8AB0-4A51C54EA5EC}" topLeftCell="A13">
      <selection activeCell="D45" sqref="D45"/>
      <pageMargins left="0.7" right="0.7" top="0.75" bottom="0.75" header="0.3" footer="0.3"/>
    </customSheetView>
    <customSheetView guid="{A2C66332-A809-458E-971B-FDB6D62C74C3}">
      <selection activeCell="A45" sqref="A45:XFD45"/>
      <pageMargins left="0.7" right="0.7" top="0.75" bottom="0.75" header="0.3" footer="0.3"/>
    </customSheetView>
    <customSheetView guid="{89C03E1E-B6A8-49A1-B29C-5DC4FAB2FBC6}">
      <selection activeCell="A45" sqref="A45:XFD45"/>
      <pageMargins left="0.7" right="0.7" top="0.75" bottom="0.75" header="0.3" footer="0.3"/>
    </customSheetView>
    <customSheetView guid="{60D2C030-4E31-4E07-8E1C-44D2EE84B177}">
      <selection activeCell="A43" sqref="A43:XFD43"/>
      <pageMargins left="0.7" right="0.7" top="0.75" bottom="0.75" header="0.3" footer="0.3"/>
    </customSheetView>
    <customSheetView guid="{D33AC7AF-C8AB-4CE9-94C7-9237011A5FC3}">
      <selection activeCell="A45" sqref="A45:XFD45"/>
      <pageMargins left="0.7" right="0.7" top="0.75" bottom="0.75" header="0.3" footer="0.3"/>
    </customSheetView>
    <customSheetView guid="{336B6883-2145-4B58-921E-CEC7185A847E}">
      <selection activeCell="K38" sqref="K38"/>
      <pageMargins left="0.7" right="0.7" top="0.75" bottom="0.75" header="0.3" footer="0.3"/>
    </customSheetView>
    <customSheetView guid="{970EE037-F5E5-47AF-896A-0F6222879EBC}">
      <selection activeCell="I45" sqref="I45"/>
      <pageMargins left="0.7" right="0.7" top="0.75" bottom="0.75" header="0.3" footer="0.3"/>
      <pageSetup paperSize="9" orientation="portrait" r:id="rId2"/>
    </customSheetView>
    <customSheetView guid="{F96FC7D9-4F89-4FE0-8D00-C0083DEB0472}">
      <selection activeCell="C2" sqref="C2"/>
      <pageMargins left="0.7" right="0.7" top="0.75" bottom="0.75" header="0.3" footer="0.3"/>
    </customSheetView>
    <customSheetView guid="{7E0EA425-A420-4443-B9E0-CDF0AA9E5D09}" topLeftCell="A19">
      <selection activeCell="A45" sqref="A45:XFD45"/>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S128"/>
  <sheetViews>
    <sheetView tabSelected="1" zoomScale="85" zoomScaleNormal="85" workbookViewId="0">
      <selection activeCell="D24" sqref="D24"/>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3" x14ac:dyDescent="0.25">
      <c r="B2" s="68" t="s">
        <v>107</v>
      </c>
    </row>
    <row r="3" spans="2:13" x14ac:dyDescent="0.25">
      <c r="B3" s="61" t="s">
        <v>0</v>
      </c>
      <c r="C3" s="61" t="s">
        <v>8</v>
      </c>
      <c r="D3" s="61" t="s">
        <v>1506</v>
      </c>
      <c r="E3" s="61" t="s">
        <v>53</v>
      </c>
      <c r="F3" s="61" t="s">
        <v>99</v>
      </c>
      <c r="G3" s="61" t="s">
        <v>22</v>
      </c>
      <c r="H3" s="62" t="s">
        <v>24</v>
      </c>
      <c r="I3" s="62" t="s">
        <v>139</v>
      </c>
      <c r="J3" s="62" t="s">
        <v>149</v>
      </c>
      <c r="K3" s="236" t="s">
        <v>1524</v>
      </c>
      <c r="L3" s="237" t="s">
        <v>1525</v>
      </c>
    </row>
    <row r="4" spans="2:13" x14ac:dyDescent="0.25">
      <c r="B4" s="63">
        <v>1</v>
      </c>
      <c r="C4" s="76" t="s">
        <v>6</v>
      </c>
      <c r="D4" s="65">
        <f>SUM(Merged_COEM!D42,Merged_JOEM!D42)</f>
        <v>14002.038461538461</v>
      </c>
      <c r="E4" s="65">
        <f>SUM(Merged_COEM!E42,Merged_JOEM!E42)</f>
        <v>14002.038461538461</v>
      </c>
      <c r="F4" s="65">
        <f ca="1">$B$26-SUM(VALUE(SUBSTITUTE(E76,"-",0)),VALUE(SUBSTITUTE(O76,"-",0)))</f>
        <v>22</v>
      </c>
      <c r="G4" s="65">
        <f t="shared" ref="G4" ca="1" si="0">IF(ISERROR(E4/(F4)),"N/A",E4/F4)</f>
        <v>636.45629370629365</v>
      </c>
      <c r="H4" s="66">
        <f t="shared" ref="H4:H18" si="1">IF(ISERROR(E4/D4),"N/A",E4/D4)</f>
        <v>1</v>
      </c>
      <c r="I4" s="3">
        <f>SUM(Merged_COEM!I42,Merged_JOEM!I42)</f>
        <v>6</v>
      </c>
      <c r="J4" s="3">
        <f>SUM(Merged_COEM!J42,Merged_JOEM!J42)</f>
        <v>0</v>
      </c>
      <c r="K4">
        <f t="shared" ref="K4:K17" si="2">RANK(E4,$E$4:$E$17)</f>
        <v>1</v>
      </c>
      <c r="L4">
        <f t="shared" ref="L4:L17" ca="1" si="3">RANK(G4,$G$4:$G$17,0)</f>
        <v>3</v>
      </c>
    </row>
    <row r="5" spans="2:13" x14ac:dyDescent="0.25">
      <c r="B5" s="63">
        <v>2</v>
      </c>
      <c r="C5" s="76" t="s">
        <v>64</v>
      </c>
      <c r="D5" s="65">
        <f>SUM(Merged_COEM!D43,Merged_JOEM!D43)</f>
        <v>9820.1430769230792</v>
      </c>
      <c r="E5" s="65">
        <f>SUM(Merged_COEM!E43,Merged_JOEM!E43)</f>
        <v>9820.1430769230792</v>
      </c>
      <c r="F5" s="65">
        <f t="shared" ref="F5:F13" ca="1" si="4">$B$26-SUM(VALUE(SUBSTITUTE(E77,"-",0)),VALUE(SUBSTITUTE(O77,"-",0)))</f>
        <v>21</v>
      </c>
      <c r="G5" s="65">
        <f t="shared" ref="G5:G17" ca="1" si="5">IF(ISERROR(E5/(F5)),"N/A",E5/F5)</f>
        <v>467.6258608058609</v>
      </c>
      <c r="H5" s="66">
        <f t="shared" ref="H5:H17" si="6">IF(ISERROR(E5/D5),"N/A",E5/D5)</f>
        <v>1</v>
      </c>
      <c r="I5" s="3">
        <f>SUM(Merged_COEM!I43,Merged_JOEM!I43)</f>
        <v>2</v>
      </c>
      <c r="J5" s="3">
        <f>SUM(Merged_COEM!J43,Merged_JOEM!J43)</f>
        <v>0</v>
      </c>
      <c r="K5">
        <f t="shared" si="2"/>
        <v>9</v>
      </c>
      <c r="L5">
        <f t="shared" ca="1" si="3"/>
        <v>9</v>
      </c>
    </row>
    <row r="6" spans="2:13" x14ac:dyDescent="0.25">
      <c r="B6" s="63">
        <v>3</v>
      </c>
      <c r="C6" s="76" t="s">
        <v>65</v>
      </c>
      <c r="D6" s="65">
        <f>SUM(Merged_COEM!D44,Merged_JOEM!D44)</f>
        <v>10293.987307692307</v>
      </c>
      <c r="E6" s="65">
        <f>SUM(Merged_COEM!E44,Merged_JOEM!E44)</f>
        <v>10293.987307692307</v>
      </c>
      <c r="F6" s="65">
        <f t="shared" ca="1" si="4"/>
        <v>22</v>
      </c>
      <c r="G6" s="65">
        <f t="shared" ca="1" si="5"/>
        <v>467.90851398601393</v>
      </c>
      <c r="H6" s="66">
        <f t="shared" si="6"/>
        <v>1</v>
      </c>
      <c r="I6" s="3">
        <f>SUM(Merged_COEM!I44,Merged_JOEM!I44)</f>
        <v>2</v>
      </c>
      <c r="J6" s="3">
        <f>SUM(Merged_COEM!J44,Merged_JOEM!J44)</f>
        <v>0</v>
      </c>
      <c r="K6">
        <f t="shared" si="2"/>
        <v>8</v>
      </c>
      <c r="L6">
        <f t="shared" ca="1" si="3"/>
        <v>8</v>
      </c>
    </row>
    <row r="7" spans="2:13" x14ac:dyDescent="0.25">
      <c r="B7" s="63">
        <v>4</v>
      </c>
      <c r="C7" s="76" t="s">
        <v>66</v>
      </c>
      <c r="D7" s="65">
        <f>SUM(Merged_COEM!D45,Merged_JOEM!D45)</f>
        <v>6791.6970000000001</v>
      </c>
      <c r="E7" s="65">
        <f>SUM(Merged_COEM!E45,Merged_JOEM!E45)</f>
        <v>6791.6970000000001</v>
      </c>
      <c r="F7" s="65">
        <f t="shared" ca="1" si="4"/>
        <v>22</v>
      </c>
      <c r="G7" s="65">
        <f t="shared" ca="1" si="5"/>
        <v>308.71350000000001</v>
      </c>
      <c r="H7" s="66">
        <f t="shared" si="6"/>
        <v>1</v>
      </c>
      <c r="I7" s="3">
        <f>SUM(Merged_COEM!I45,Merged_JOEM!I45)</f>
        <v>0</v>
      </c>
      <c r="J7" s="3">
        <f>SUM(Merged_COEM!J45,Merged_JOEM!J45)</f>
        <v>0</v>
      </c>
      <c r="K7">
        <f t="shared" si="2"/>
        <v>10</v>
      </c>
      <c r="L7">
        <f t="shared" ca="1" si="3"/>
        <v>10</v>
      </c>
    </row>
    <row r="8" spans="2:13" x14ac:dyDescent="0.25">
      <c r="B8" s="63">
        <v>5</v>
      </c>
      <c r="C8" s="76" t="s">
        <v>67</v>
      </c>
      <c r="D8" s="65">
        <f>SUM(Merged_COEM!D46,Merged_JOEM!D46)</f>
        <v>13882</v>
      </c>
      <c r="E8" s="65">
        <f>SUM(Merged_COEM!E46,Merged_JOEM!E46)</f>
        <v>13882</v>
      </c>
      <c r="F8" s="65">
        <f t="shared" ca="1" si="4"/>
        <v>22</v>
      </c>
      <c r="G8" s="65">
        <f t="shared" ca="1" si="5"/>
        <v>631</v>
      </c>
      <c r="H8" s="66">
        <f t="shared" si="6"/>
        <v>1</v>
      </c>
      <c r="I8" s="3">
        <f>SUM(Merged_COEM!I46,Merged_JOEM!I46)</f>
        <v>11</v>
      </c>
      <c r="J8" s="3">
        <f>SUM(Merged_COEM!J46,Merged_JOEM!J46)</f>
        <v>0</v>
      </c>
      <c r="K8">
        <f t="shared" si="2"/>
        <v>2</v>
      </c>
      <c r="L8">
        <f t="shared" ca="1" si="3"/>
        <v>4</v>
      </c>
    </row>
    <row r="9" spans="2:13" x14ac:dyDescent="0.25">
      <c r="B9" s="63">
        <v>6</v>
      </c>
      <c r="C9" s="76" t="s">
        <v>68</v>
      </c>
      <c r="D9" s="65">
        <f>SUM(Merged_COEM!D47,Merged_JOEM!D47)</f>
        <v>11521</v>
      </c>
      <c r="E9" s="65">
        <f>SUM(Merged_COEM!E47,Merged_JOEM!E47)</f>
        <v>11521</v>
      </c>
      <c r="F9" s="65">
        <f t="shared" ca="1" si="4"/>
        <v>18</v>
      </c>
      <c r="G9" s="65">
        <f t="shared" ca="1" si="5"/>
        <v>640.05555555555554</v>
      </c>
      <c r="H9" s="66">
        <f t="shared" si="6"/>
        <v>1</v>
      </c>
      <c r="I9" s="3">
        <f>SUM(Merged_COEM!I47,Merged_JOEM!I47)</f>
        <v>4</v>
      </c>
      <c r="J9" s="3">
        <f>SUM(Merged_COEM!J47,Merged_JOEM!J47)</f>
        <v>0</v>
      </c>
      <c r="K9">
        <f t="shared" si="2"/>
        <v>5</v>
      </c>
      <c r="L9">
        <f t="shared" ca="1" si="3"/>
        <v>2</v>
      </c>
    </row>
    <row r="10" spans="2:13" x14ac:dyDescent="0.25">
      <c r="B10" s="63">
        <v>7</v>
      </c>
      <c r="C10" s="76" t="s">
        <v>69</v>
      </c>
      <c r="D10" s="65">
        <f>SUM(Merged_COEM!D48,Merged_JOEM!D48)</f>
        <v>12336.23076923077</v>
      </c>
      <c r="E10" s="65">
        <f>SUM(Merged_COEM!E48,Merged_JOEM!E48)</f>
        <v>12336.23076923077</v>
      </c>
      <c r="F10" s="65">
        <f t="shared" ca="1" si="4"/>
        <v>21</v>
      </c>
      <c r="G10" s="65">
        <f t="shared" ca="1" si="5"/>
        <v>587.43956043956041</v>
      </c>
      <c r="H10" s="66">
        <f t="shared" si="6"/>
        <v>1</v>
      </c>
      <c r="I10" s="3">
        <f>SUM(Merged_COEM!I48,Merged_JOEM!I48)</f>
        <v>8</v>
      </c>
      <c r="J10" s="3">
        <f>SUM(Merged_COEM!J48,Merged_JOEM!J48)</f>
        <v>0</v>
      </c>
      <c r="K10">
        <f t="shared" si="2"/>
        <v>4</v>
      </c>
      <c r="L10">
        <f t="shared" ca="1" si="3"/>
        <v>5</v>
      </c>
    </row>
    <row r="11" spans="2:13" x14ac:dyDescent="0.25">
      <c r="B11" s="63">
        <v>8</v>
      </c>
      <c r="C11" s="76" t="s">
        <v>70</v>
      </c>
      <c r="D11" s="65">
        <f>SUM(Merged_COEM!D49,Merged_JOEM!D49)</f>
        <v>13173.615384615385</v>
      </c>
      <c r="E11" s="65">
        <f>SUM(Merged_COEM!E49,Merged_JOEM!E49)</f>
        <v>13173.615384615385</v>
      </c>
      <c r="F11" s="65">
        <f t="shared" ca="1" si="4"/>
        <v>20</v>
      </c>
      <c r="G11" s="65">
        <f t="shared" ca="1" si="5"/>
        <v>658.68076923076922</v>
      </c>
      <c r="H11" s="66">
        <f t="shared" si="6"/>
        <v>1</v>
      </c>
      <c r="I11" s="3">
        <f>SUM(Merged_COEM!I49,Merged_JOEM!I49)</f>
        <v>7</v>
      </c>
      <c r="J11" s="3">
        <f>SUM(Merged_COEM!J49,Merged_JOEM!J49)</f>
        <v>0</v>
      </c>
      <c r="K11">
        <f t="shared" si="2"/>
        <v>3</v>
      </c>
      <c r="L11">
        <f t="shared" ca="1" si="3"/>
        <v>1</v>
      </c>
    </row>
    <row r="12" spans="2:13" x14ac:dyDescent="0.25">
      <c r="B12" s="63">
        <v>9</v>
      </c>
      <c r="C12" s="76" t="s">
        <v>141</v>
      </c>
      <c r="D12" s="65">
        <f>SUM(Merged_COEM!D50,Merged_JOEM!D50)</f>
        <v>10406.988000000001</v>
      </c>
      <c r="E12" s="65">
        <f>SUM(Merged_COEM!E50,Merged_JOEM!E50)</f>
        <v>10406.988000000001</v>
      </c>
      <c r="F12" s="65">
        <f t="shared" ca="1" si="4"/>
        <v>20</v>
      </c>
      <c r="G12" s="65">
        <f t="shared" ca="1" si="5"/>
        <v>520.34940000000006</v>
      </c>
      <c r="H12" s="66">
        <f t="shared" si="6"/>
        <v>1</v>
      </c>
      <c r="I12" s="3">
        <f>SUM(Merged_COEM!I50,Merged_JOEM!I50)</f>
        <v>0</v>
      </c>
      <c r="J12" s="3">
        <f>SUM(Merged_COEM!J50,Merged_JOEM!J50)</f>
        <v>0</v>
      </c>
      <c r="K12">
        <f t="shared" si="2"/>
        <v>7</v>
      </c>
      <c r="L12">
        <f t="shared" ca="1" si="3"/>
        <v>6</v>
      </c>
    </row>
    <row r="13" spans="2:13" x14ac:dyDescent="0.25">
      <c r="B13" s="63">
        <v>10</v>
      </c>
      <c r="C13" s="76" t="s">
        <v>142</v>
      </c>
      <c r="D13" s="65">
        <f>SUM(Merged_COEM!D51,Merged_JOEM!D51)</f>
        <v>10485.692307692309</v>
      </c>
      <c r="E13" s="65">
        <f>SUM(Merged_COEM!E51,Merged_JOEM!E51)</f>
        <v>10485.692307692309</v>
      </c>
      <c r="F13" s="65">
        <f t="shared" ca="1" si="4"/>
        <v>21</v>
      </c>
      <c r="G13" s="65">
        <f t="shared" ca="1" si="5"/>
        <v>499.31868131868134</v>
      </c>
      <c r="H13" s="66">
        <f t="shared" si="6"/>
        <v>1</v>
      </c>
      <c r="I13" s="3">
        <f>SUM(Merged_COEM!I51,Merged_JOEM!I51)</f>
        <v>6</v>
      </c>
      <c r="J13" s="3">
        <f>SUM(Merged_COEM!J51,Merged_JOEM!J51)</f>
        <v>0</v>
      </c>
      <c r="K13">
        <f t="shared" si="2"/>
        <v>6</v>
      </c>
      <c r="L13">
        <f t="shared" ca="1" si="3"/>
        <v>7</v>
      </c>
    </row>
    <row r="14" spans="2:13" x14ac:dyDescent="0.25">
      <c r="B14" s="63">
        <v>11</v>
      </c>
      <c r="C14" s="76" t="s">
        <v>1430</v>
      </c>
      <c r="D14" s="65">
        <f>SUM(Merged_COEM!D52,Merged_JOEM!D52)</f>
        <v>0</v>
      </c>
      <c r="E14" s="65">
        <f>SUM(Merged_COEM!E52,Merged_JOEM!E52)</f>
        <v>0</v>
      </c>
      <c r="F14" s="65">
        <f ca="1">$B$26-SUM(VALUE(SUBSTITUTE(E86,"-",0)),VALUE(SUBSTITUTE(O86,"-",0)))</f>
        <v>21</v>
      </c>
      <c r="G14" s="65">
        <f t="shared" ca="1" si="5"/>
        <v>0</v>
      </c>
      <c r="H14" s="66" t="str">
        <f t="shared" si="6"/>
        <v>N/A</v>
      </c>
      <c r="I14" s="3">
        <f>SUM(Merged_COEM!I52,Merged_JOEM!I52)</f>
        <v>0</v>
      </c>
      <c r="J14" s="3">
        <f>SUM(Merged_COEM!J52,Merged_JOEM!J52)</f>
        <v>0</v>
      </c>
      <c r="K14">
        <f t="shared" si="2"/>
        <v>14</v>
      </c>
      <c r="L14">
        <f t="shared" ca="1" si="3"/>
        <v>14</v>
      </c>
      <c r="M14" s="161" t="s">
        <v>744</v>
      </c>
    </row>
    <row r="15" spans="2:13" x14ac:dyDescent="0.25">
      <c r="B15" s="63">
        <v>12</v>
      </c>
      <c r="C15" s="76" t="s">
        <v>741</v>
      </c>
      <c r="D15" s="65">
        <f>SUM(Merged_COEM!D53,Merged_JOEM!D53)</f>
        <v>180.92307692307691</v>
      </c>
      <c r="E15" s="65">
        <f>SUM(Merged_COEM!E53,Merged_JOEM!E53)</f>
        <v>180.92307692307691</v>
      </c>
      <c r="F15" s="65">
        <f ca="1">$B$26-SUM(VALUE(SUBSTITUTE(E87,"-",0)),VALUE(SUBSTITUTE(O87,"-",0)))-13+1</f>
        <v>10</v>
      </c>
      <c r="G15" s="65">
        <f t="shared" ca="1" si="5"/>
        <v>18.092307692307692</v>
      </c>
      <c r="H15" s="66">
        <f t="shared" si="6"/>
        <v>1</v>
      </c>
      <c r="I15" s="3">
        <f>SUM(Merged_COEM!I53,Merged_JOEM!I53)</f>
        <v>1</v>
      </c>
      <c r="J15" s="3">
        <f>SUM(Merged_COEM!J53,Merged_JOEM!J53)</f>
        <v>0</v>
      </c>
      <c r="K15">
        <f t="shared" si="2"/>
        <v>13</v>
      </c>
      <c r="L15">
        <f t="shared" ca="1" si="3"/>
        <v>13</v>
      </c>
      <c r="M15" s="161" t="s">
        <v>1745</v>
      </c>
    </row>
    <row r="16" spans="2:13" x14ac:dyDescent="0.25">
      <c r="B16" s="63">
        <v>13</v>
      </c>
      <c r="C16" s="76" t="s">
        <v>742</v>
      </c>
      <c r="D16" s="65">
        <f>SUM(Merged_COEM!D54,Merged_JOEM!D54)</f>
        <v>286</v>
      </c>
      <c r="E16" s="65">
        <f>SUM(Merged_COEM!E54,Merged_JOEM!E54)</f>
        <v>286</v>
      </c>
      <c r="F16" s="65">
        <f ca="1">$B$26-SUM(VALUE(SUBSTITUTE(E88,"-",0)),VALUE(SUBSTITUTE(O88,"-",0)))-13+1</f>
        <v>10</v>
      </c>
      <c r="G16" s="65">
        <f t="shared" ca="1" si="5"/>
        <v>28.6</v>
      </c>
      <c r="H16" s="66">
        <f t="shared" si="6"/>
        <v>1</v>
      </c>
      <c r="I16" s="3">
        <f>SUM(Merged_COEM!I54,Merged_JOEM!I54)</f>
        <v>0</v>
      </c>
      <c r="J16" s="3">
        <f>SUM(Merged_COEM!J54,Merged_JOEM!J54)</f>
        <v>0</v>
      </c>
      <c r="K16">
        <f t="shared" si="2"/>
        <v>11</v>
      </c>
      <c r="L16">
        <f t="shared" ca="1" si="3"/>
        <v>11</v>
      </c>
      <c r="M16" s="161" t="s">
        <v>1745</v>
      </c>
    </row>
    <row r="17" spans="1:18" x14ac:dyDescent="0.25">
      <c r="B17" s="63">
        <v>14</v>
      </c>
      <c r="C17" s="76" t="s">
        <v>743</v>
      </c>
      <c r="D17" s="65">
        <f>SUM(Merged_COEM!D55,Merged_JOEM!D55)</f>
        <v>241</v>
      </c>
      <c r="E17" s="65">
        <f>SUM(Merged_COEM!E55,Merged_JOEM!E55)</f>
        <v>241</v>
      </c>
      <c r="F17" s="65">
        <f ca="1">$B$26-SUM(VALUE(SUBSTITUTE(E89,"-",0)),VALUE(SUBSTITUTE(O89,"-",0)))-13+1</f>
        <v>10</v>
      </c>
      <c r="G17" s="65">
        <f t="shared" ca="1" si="5"/>
        <v>24.1</v>
      </c>
      <c r="H17" s="66">
        <f t="shared" si="6"/>
        <v>1</v>
      </c>
      <c r="I17" s="3">
        <f>SUM(Merged_COEM!I55,Merged_JOEM!I55)</f>
        <v>0</v>
      </c>
      <c r="J17" s="3">
        <f>SUM(Merged_COEM!J55,Merged_JOEM!J55)</f>
        <v>0</v>
      </c>
      <c r="K17">
        <f t="shared" si="2"/>
        <v>12</v>
      </c>
      <c r="L17">
        <f t="shared" ca="1" si="3"/>
        <v>12</v>
      </c>
      <c r="M17" s="161" t="s">
        <v>1745</v>
      </c>
    </row>
    <row r="18" spans="1:18" x14ac:dyDescent="0.25">
      <c r="A18" s="110"/>
      <c r="B18" s="61" t="s">
        <v>106</v>
      </c>
      <c r="C18" s="67"/>
      <c r="D18" s="65">
        <f>SUM(D4:D17)</f>
        <v>113421.31538461539</v>
      </c>
      <c r="E18" s="65">
        <f>SUM(E4:E17)</f>
        <v>113421.31538461539</v>
      </c>
      <c r="F18" s="65">
        <f ca="1">$B$26*(COUNTA($C$4:$C$17))-13*COUNTA($C$15:$C$17)-F14*COUNTA($C$14)</f>
        <v>248</v>
      </c>
      <c r="G18" s="65">
        <f ca="1">IF(ISERROR(E18/(F18)),"N/A",E18/F18)</f>
        <v>457.34401364764267</v>
      </c>
      <c r="H18" s="66">
        <f t="shared" si="1"/>
        <v>1</v>
      </c>
      <c r="I18" s="3">
        <f>SUM(I4:I17)</f>
        <v>47</v>
      </c>
      <c r="J18" s="3">
        <f>SUM(J4:J17)</f>
        <v>0</v>
      </c>
      <c r="K18">
        <f ca="1">F18*450</f>
        <v>111600</v>
      </c>
      <c r="L18" s="87">
        <f ca="1">E18-K18</f>
        <v>1821.3153846153873</v>
      </c>
      <c r="M18">
        <f>(COUNTA($C$4:$C$17))*450</f>
        <v>6300</v>
      </c>
      <c r="N18">
        <f ca="1">L18/450</f>
        <v>4.0473675213675273</v>
      </c>
    </row>
    <row r="21" spans="1:18" x14ac:dyDescent="0.25">
      <c r="A21" s="74" t="s">
        <v>178</v>
      </c>
      <c r="B21" s="74" t="s">
        <v>163</v>
      </c>
      <c r="J21" s="75"/>
      <c r="K21" s="74" t="s">
        <v>178</v>
      </c>
      <c r="L21" s="74" t="s">
        <v>162</v>
      </c>
    </row>
    <row r="22" spans="1:18" x14ac:dyDescent="0.25">
      <c r="J22" s="75"/>
    </row>
    <row r="23" spans="1:18" x14ac:dyDescent="0.25">
      <c r="A23" s="1" t="s">
        <v>38</v>
      </c>
      <c r="B23" s="34">
        <v>43972</v>
      </c>
      <c r="D23" s="34">
        <v>44002</v>
      </c>
      <c r="F23" s="6"/>
      <c r="J23" s="75"/>
      <c r="K23" s="1" t="s">
        <v>38</v>
      </c>
      <c r="L23" s="34">
        <f>B23</f>
        <v>43972</v>
      </c>
      <c r="N23" s="34">
        <f>D23</f>
        <v>44002</v>
      </c>
      <c r="P23" s="6"/>
    </row>
    <row r="24" spans="1:18" x14ac:dyDescent="0.25">
      <c r="A24" s="1" t="s">
        <v>30</v>
      </c>
      <c r="B24" s="7">
        <f>SUM(INT((WEEKDAY(B23-{2,3,4,5,6}) +D23-B23)/7))</f>
        <v>22</v>
      </c>
      <c r="J24" s="75"/>
      <c r="K24" s="1" t="s">
        <v>30</v>
      </c>
      <c r="L24" s="7">
        <f>B24</f>
        <v>22</v>
      </c>
    </row>
    <row r="25" spans="1:18" x14ac:dyDescent="0.25">
      <c r="A25" s="1" t="s">
        <v>136</v>
      </c>
      <c r="B25" s="7">
        <v>0</v>
      </c>
      <c r="J25" s="75"/>
      <c r="K25" s="1" t="s">
        <v>136</v>
      </c>
      <c r="L25" s="7">
        <f>B25</f>
        <v>0</v>
      </c>
    </row>
    <row r="26" spans="1:18" x14ac:dyDescent="0.25">
      <c r="A26" s="1" t="s">
        <v>108</v>
      </c>
      <c r="B26">
        <f ca="1">IF(TODAY()&lt;D23,SUM(INT((WEEKDAY(B23-{2,3,4,5,6})+TODAY()-B23)/7)),SUM(INT((WEEKDAY(B23-{2,3,4,5,6})+D23-B23)/7)))-B25</f>
        <v>22</v>
      </c>
      <c r="J26" s="75"/>
      <c r="K26" s="1" t="s">
        <v>108</v>
      </c>
      <c r="L26">
        <f ca="1">B26</f>
        <v>22</v>
      </c>
    </row>
    <row r="27" spans="1:18" x14ac:dyDescent="0.25">
      <c r="A27" s="1"/>
      <c r="J27" s="75"/>
      <c r="K27" s="1"/>
    </row>
    <row r="28" spans="1:18" x14ac:dyDescent="0.25">
      <c r="B28" s="1" t="s">
        <v>189</v>
      </c>
      <c r="J28" s="75"/>
      <c r="L28" s="1" t="s">
        <v>189</v>
      </c>
    </row>
    <row r="29" spans="1:18" ht="45" x14ac:dyDescent="0.25">
      <c r="C29" s="46" t="s">
        <v>25</v>
      </c>
      <c r="D29" s="46" t="s">
        <v>26</v>
      </c>
      <c r="E29" s="46" t="s">
        <v>27</v>
      </c>
      <c r="F29" s="46" t="s">
        <v>28</v>
      </c>
      <c r="G29" s="8" t="s">
        <v>99</v>
      </c>
      <c r="H29" s="8" t="s">
        <v>29</v>
      </c>
      <c r="J29" s="75"/>
      <c r="M29" s="54" t="s">
        <v>25</v>
      </c>
      <c r="N29" s="54" t="s">
        <v>26</v>
      </c>
      <c r="O29" s="54" t="s">
        <v>27</v>
      </c>
      <c r="P29" s="54" t="s">
        <v>28</v>
      </c>
      <c r="Q29" s="8" t="s">
        <v>99</v>
      </c>
      <c r="R29" s="8" t="s">
        <v>29</v>
      </c>
    </row>
    <row r="30" spans="1:18" x14ac:dyDescent="0.25">
      <c r="C30" s="48">
        <v>1</v>
      </c>
      <c r="D30" s="48" t="s">
        <v>3</v>
      </c>
      <c r="E30" s="48">
        <f>SUM(Merged_COEM!D18)</f>
        <v>75566</v>
      </c>
      <c r="F30" s="48">
        <f>SUM(Merged_COEM!E18)</f>
        <v>75566</v>
      </c>
      <c r="G30" s="48">
        <f>E30/Table!$D$4</f>
        <v>167.92444444444445</v>
      </c>
      <c r="H30" s="40">
        <f>IFERROR(F30/E30,"N/A")</f>
        <v>1</v>
      </c>
      <c r="J30" s="75"/>
      <c r="M30" s="59">
        <v>1</v>
      </c>
      <c r="N30" s="59" t="s">
        <v>3</v>
      </c>
      <c r="O30" s="59">
        <f>SUM(Merged_JOEM!D18)</f>
        <v>24274.575000000001</v>
      </c>
      <c r="P30" s="59">
        <f>SUM(Merged_JOEM!E18)</f>
        <v>24274.575000000001</v>
      </c>
      <c r="Q30" s="59">
        <f>O30/Table!$D$4</f>
        <v>53.9435</v>
      </c>
      <c r="R30" s="40">
        <f>IFERROR(P30/O30,"N/A")</f>
        <v>1</v>
      </c>
    </row>
    <row r="31" spans="1:18" x14ac:dyDescent="0.25">
      <c r="C31" s="48">
        <v>2</v>
      </c>
      <c r="D31" s="48" t="s">
        <v>2</v>
      </c>
      <c r="E31" s="55">
        <f>SUM(Merged_COEM!D37)</f>
        <v>1796</v>
      </c>
      <c r="F31" s="59">
        <f>SUM(Merged_COEM!E37)</f>
        <v>1796</v>
      </c>
      <c r="G31" s="48">
        <f>E31/Table!$C$4</f>
        <v>13.815384615384616</v>
      </c>
      <c r="H31" s="40">
        <f>IFERROR(F31/E31,"N/A")</f>
        <v>1</v>
      </c>
      <c r="J31" s="75"/>
      <c r="M31" s="59">
        <v>2</v>
      </c>
      <c r="N31" s="59" t="s">
        <v>2</v>
      </c>
      <c r="O31" s="59">
        <f>SUM(Merged_JOEM!D37)</f>
        <v>2127.3249999999998</v>
      </c>
      <c r="P31" s="59">
        <f>SUM(Merged_JOEM!E37)</f>
        <v>2127.3249999999998</v>
      </c>
      <c r="Q31" s="59">
        <f>O31/Table!$C$4</f>
        <v>16.36403846153846</v>
      </c>
      <c r="R31" s="40">
        <f>IFERROR(P31/O31,"N/A")</f>
        <v>1</v>
      </c>
    </row>
    <row r="32" spans="1:18" x14ac:dyDescent="0.25">
      <c r="C32" s="32"/>
      <c r="D32" s="30"/>
      <c r="E32" s="30"/>
      <c r="F32" s="30"/>
      <c r="G32" s="33"/>
      <c r="J32" s="75"/>
      <c r="M32" s="32"/>
      <c r="N32" s="30"/>
      <c r="O32" s="30"/>
      <c r="P32" s="30"/>
      <c r="Q32" s="33"/>
    </row>
    <row r="33" spans="2:19" x14ac:dyDescent="0.25">
      <c r="B33" s="1" t="s">
        <v>190</v>
      </c>
      <c r="J33" s="75"/>
      <c r="L33" s="1" t="s">
        <v>190</v>
      </c>
    </row>
    <row r="34" spans="2:19" ht="30" x14ac:dyDescent="0.25">
      <c r="C34" s="46" t="s">
        <v>25</v>
      </c>
      <c r="D34" s="46" t="s">
        <v>31</v>
      </c>
      <c r="E34" s="8" t="s">
        <v>32</v>
      </c>
      <c r="F34" s="8" t="s">
        <v>33</v>
      </c>
      <c r="G34" s="8" t="s">
        <v>133</v>
      </c>
      <c r="H34" s="8" t="s">
        <v>134</v>
      </c>
      <c r="J34" s="75"/>
      <c r="M34" s="54" t="s">
        <v>25</v>
      </c>
      <c r="N34" s="54" t="s">
        <v>31</v>
      </c>
      <c r="O34" s="8" t="s">
        <v>32</v>
      </c>
      <c r="P34" s="8" t="s">
        <v>33</v>
      </c>
      <c r="Q34" s="8" t="s">
        <v>133</v>
      </c>
      <c r="R34" s="8" t="s">
        <v>134</v>
      </c>
    </row>
    <row r="35" spans="2:19" x14ac:dyDescent="0.25">
      <c r="C35" s="48">
        <v>1</v>
      </c>
      <c r="D35" s="28" t="s">
        <v>114</v>
      </c>
      <c r="E35" s="4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10797</v>
      </c>
      <c r="F35"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181</v>
      </c>
      <c r="G35" s="48">
        <f>E35/Table!$D$4</f>
        <v>23.993333333333332</v>
      </c>
      <c r="H35" s="48">
        <f>F35/Table!$C$4</f>
        <v>1.3923076923076922</v>
      </c>
      <c r="J35" s="75"/>
      <c r="M35" s="59">
        <v>1</v>
      </c>
      <c r="N35" s="28" t="s">
        <v>114</v>
      </c>
      <c r="O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2578.5</v>
      </c>
      <c r="P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5" s="59">
        <f>O35/Table!$D$4</f>
        <v>5.73</v>
      </c>
      <c r="R35" s="59">
        <f>P35/Table!$C$4</f>
        <v>0</v>
      </c>
    </row>
    <row r="36" spans="2:19" x14ac:dyDescent="0.25">
      <c r="C36" s="48">
        <v>2</v>
      </c>
      <c r="D36" s="28" t="s">
        <v>115</v>
      </c>
      <c r="E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3058</v>
      </c>
      <c r="F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145</v>
      </c>
      <c r="G36" s="59">
        <f>E36/Table!$D$4</f>
        <v>6.7955555555555556</v>
      </c>
      <c r="H36" s="59">
        <f>F36/Table!$C$4</f>
        <v>1.1153846153846154</v>
      </c>
      <c r="J36" s="75"/>
      <c r="M36" s="59">
        <v>2</v>
      </c>
      <c r="N36" s="28" t="s">
        <v>115</v>
      </c>
      <c r="O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4134.51</v>
      </c>
      <c r="P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614.09400000000016</v>
      </c>
      <c r="Q36" s="59">
        <f>O36/Table!$D$4</f>
        <v>9.1878000000000011</v>
      </c>
      <c r="R36" s="59">
        <f>P36/Table!$C$4</f>
        <v>4.7238000000000016</v>
      </c>
    </row>
    <row r="37" spans="2:19" x14ac:dyDescent="0.25">
      <c r="C37" s="48">
        <v>3</v>
      </c>
      <c r="D37" s="28" t="s">
        <v>116</v>
      </c>
      <c r="E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4693</v>
      </c>
      <c r="F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7" s="59">
        <f>E37/Table!$D$4</f>
        <v>10.428888888888888</v>
      </c>
      <c r="H37" s="59">
        <f>F37/Table!$C$4</f>
        <v>0</v>
      </c>
      <c r="J37" s="75"/>
      <c r="M37" s="59">
        <v>3</v>
      </c>
      <c r="N37" s="28" t="s">
        <v>116</v>
      </c>
      <c r="O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4403.88</v>
      </c>
      <c r="P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345.83099999999996</v>
      </c>
      <c r="Q37" s="59">
        <f>O37/Table!$D$4</f>
        <v>9.7864000000000004</v>
      </c>
      <c r="R37" s="59">
        <f>P37/Table!$C$4</f>
        <v>2.6602384615384613</v>
      </c>
    </row>
    <row r="38" spans="2:19" x14ac:dyDescent="0.25">
      <c r="C38" s="59">
        <v>4</v>
      </c>
      <c r="D38" s="28" t="s">
        <v>117</v>
      </c>
      <c r="E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8" s="59">
        <f>E38/Table!$D$4</f>
        <v>0</v>
      </c>
      <c r="H38" s="59">
        <f>F38/Table!$C$4</f>
        <v>0</v>
      </c>
      <c r="J38" s="75"/>
      <c r="M38" s="59">
        <v>4</v>
      </c>
      <c r="N38" s="28" t="s">
        <v>117</v>
      </c>
      <c r="O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5387.6970000000001</v>
      </c>
      <c r="P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405.59999999999997</v>
      </c>
      <c r="Q38" s="59">
        <f>O38/Table!$D$4</f>
        <v>11.972659999999999</v>
      </c>
      <c r="R38" s="59">
        <f>P38/Table!$C$4</f>
        <v>3.1199999999999997</v>
      </c>
    </row>
    <row r="39" spans="2:19" x14ac:dyDescent="0.25">
      <c r="C39" s="59">
        <v>5</v>
      </c>
      <c r="D39" s="28" t="s">
        <v>167</v>
      </c>
      <c r="E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11542</v>
      </c>
      <c r="F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676</v>
      </c>
      <c r="G39" s="59">
        <f>E39/Table!$D$4</f>
        <v>25.648888888888887</v>
      </c>
      <c r="H39" s="59">
        <f>F39/Table!$C$4</f>
        <v>5.2</v>
      </c>
      <c r="J39" s="75"/>
      <c r="M39" s="59">
        <v>5</v>
      </c>
      <c r="N39" s="28" t="s">
        <v>167</v>
      </c>
      <c r="O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9" s="59">
        <f>O39/Table!$D$4</f>
        <v>0</v>
      </c>
      <c r="R39" s="59">
        <f>P39/Table!$C$4</f>
        <v>0</v>
      </c>
    </row>
    <row r="40" spans="2:19" x14ac:dyDescent="0.25">
      <c r="C40" s="59">
        <v>6</v>
      </c>
      <c r="D40" s="28" t="s">
        <v>168</v>
      </c>
      <c r="E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10891</v>
      </c>
      <c r="F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182</v>
      </c>
      <c r="G40" s="59">
        <f>E40/Table!$D$4</f>
        <v>24.202222222222222</v>
      </c>
      <c r="H40" s="59">
        <f>F40/Table!$C$4</f>
        <v>1.4</v>
      </c>
      <c r="J40" s="75"/>
      <c r="M40" s="59">
        <v>6</v>
      </c>
      <c r="N40" s="28" t="s">
        <v>168</v>
      </c>
      <c r="O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0" s="59">
        <f>O40/Table!$D$4</f>
        <v>0</v>
      </c>
      <c r="R40" s="59">
        <f>P40/Table!$C$4</f>
        <v>0</v>
      </c>
    </row>
    <row r="41" spans="2:19" x14ac:dyDescent="0.25">
      <c r="C41" s="59">
        <v>7</v>
      </c>
      <c r="D41" s="28" t="s">
        <v>169</v>
      </c>
      <c r="E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11727</v>
      </c>
      <c r="F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176</v>
      </c>
      <c r="G41" s="59">
        <f>E41/Table!$D$4</f>
        <v>26.06</v>
      </c>
      <c r="H41" s="59">
        <f>F41/Table!$C$4</f>
        <v>1.3538461538461539</v>
      </c>
      <c r="J41" s="75"/>
      <c r="M41" s="59">
        <v>7</v>
      </c>
      <c r="N41" s="28" t="s">
        <v>169</v>
      </c>
      <c r="O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1" s="59">
        <f>O41/Table!$D$4</f>
        <v>0</v>
      </c>
      <c r="R41" s="59">
        <f>P41/Table!$C$4</f>
        <v>0</v>
      </c>
    </row>
    <row r="42" spans="2:19" x14ac:dyDescent="0.25">
      <c r="C42" s="59">
        <v>8</v>
      </c>
      <c r="D42" s="28" t="s">
        <v>170</v>
      </c>
      <c r="E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12419</v>
      </c>
      <c r="F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218</v>
      </c>
      <c r="G42" s="59">
        <f>E42/Table!$D$4</f>
        <v>27.597777777777779</v>
      </c>
      <c r="H42" s="59">
        <f>F42/Table!$C$4</f>
        <v>1.676923076923077</v>
      </c>
      <c r="J42" s="75"/>
      <c r="M42" s="59">
        <v>8</v>
      </c>
      <c r="N42" s="28" t="s">
        <v>170</v>
      </c>
      <c r="O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2" s="59">
        <f>O42/Table!$D$4</f>
        <v>0</v>
      </c>
      <c r="R42" s="59">
        <f>P42/Table!$C$4</f>
        <v>0</v>
      </c>
    </row>
    <row r="43" spans="2:19" x14ac:dyDescent="0.25">
      <c r="C43" s="59">
        <v>9</v>
      </c>
      <c r="D43" s="28" t="s">
        <v>158</v>
      </c>
      <c r="E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3" s="59">
        <f>E43/Table!$D$4</f>
        <v>0</v>
      </c>
      <c r="H43" s="59">
        <f>F43/Table!$C$4</f>
        <v>0</v>
      </c>
      <c r="J43" s="75"/>
      <c r="M43" s="59">
        <v>9</v>
      </c>
      <c r="N43" s="28" t="s">
        <v>158</v>
      </c>
      <c r="O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7769.9880000000003</v>
      </c>
      <c r="P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761.8000000000003</v>
      </c>
      <c r="Q43" s="59">
        <f>O43/Table!$D$4</f>
        <v>17.266639999999999</v>
      </c>
      <c r="R43" s="59">
        <f>P43/Table!$C$4</f>
        <v>5.8600000000000021</v>
      </c>
    </row>
    <row r="44" spans="2:19" x14ac:dyDescent="0.25">
      <c r="C44" s="59">
        <v>10</v>
      </c>
      <c r="D44" s="28" t="s">
        <v>157</v>
      </c>
      <c r="E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9828</v>
      </c>
      <c r="F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190</v>
      </c>
      <c r="G44" s="59">
        <f>E44/Table!$D$4</f>
        <v>21.84</v>
      </c>
      <c r="H44" s="59">
        <f>F44/Table!$C$4</f>
        <v>1.4615384615384615</v>
      </c>
      <c r="J44" s="75"/>
      <c r="M44" s="59">
        <v>10</v>
      </c>
      <c r="N44" s="28" t="s">
        <v>157</v>
      </c>
      <c r="O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4" s="59">
        <f>O44/Table!$D$4</f>
        <v>0</v>
      </c>
      <c r="R44" s="59">
        <f>P44/Table!$C$4</f>
        <v>0</v>
      </c>
    </row>
    <row r="45" spans="2:19" x14ac:dyDescent="0.25">
      <c r="C45" s="59">
        <v>11</v>
      </c>
      <c r="D45" s="28" t="s">
        <v>1421</v>
      </c>
      <c r="E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5" s="59">
        <f>E45/Table!$D$4</f>
        <v>0</v>
      </c>
      <c r="H45" s="59">
        <f>F45/Table!$C$4</f>
        <v>0</v>
      </c>
      <c r="I45" t="s">
        <v>744</v>
      </c>
      <c r="J45" s="75"/>
      <c r="M45" s="59">
        <v>11</v>
      </c>
      <c r="N45" s="28" t="s">
        <v>1421</v>
      </c>
      <c r="O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5" s="59">
        <f>O45/Table!$D$4</f>
        <v>0</v>
      </c>
      <c r="R45" s="59">
        <f>P45/Table!$C$4</f>
        <v>0</v>
      </c>
      <c r="S45" t="s">
        <v>744</v>
      </c>
    </row>
    <row r="46" spans="2:19" x14ac:dyDescent="0.25">
      <c r="C46" s="59">
        <v>12</v>
      </c>
      <c r="D46" s="28" t="s">
        <v>740</v>
      </c>
      <c r="E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84</v>
      </c>
      <c r="F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28</v>
      </c>
      <c r="G46" s="59">
        <f>E46/Table!$D$4</f>
        <v>0.18666666666666668</v>
      </c>
      <c r="H46" s="59">
        <f>F46/Table!$C$4</f>
        <v>0.2153846153846154</v>
      </c>
      <c r="I46" t="s">
        <v>1504</v>
      </c>
      <c r="J46" s="75"/>
      <c r="M46" s="59">
        <v>12</v>
      </c>
      <c r="N46" s="28" t="s">
        <v>740</v>
      </c>
      <c r="O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6" s="59">
        <f>O46/Table!$D$4</f>
        <v>0</v>
      </c>
      <c r="R46" s="59">
        <f>P46/Table!$C$4</f>
        <v>0</v>
      </c>
      <c r="S46" t="s">
        <v>744</v>
      </c>
    </row>
    <row r="47" spans="2:19" x14ac:dyDescent="0.25">
      <c r="C47" s="59">
        <v>13</v>
      </c>
      <c r="D47" s="28" t="s">
        <v>738</v>
      </c>
      <c r="E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286</v>
      </c>
      <c r="F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7" s="59">
        <f>E47/Table!$D$4</f>
        <v>0.63555555555555554</v>
      </c>
      <c r="H47" s="59">
        <f>F47/Table!$C$4</f>
        <v>0</v>
      </c>
      <c r="I47" t="s">
        <v>1504</v>
      </c>
      <c r="J47" s="75"/>
      <c r="M47" s="59">
        <v>13</v>
      </c>
      <c r="N47" s="28" t="s">
        <v>738</v>
      </c>
      <c r="O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7" s="59">
        <f>O47/Table!$D$4</f>
        <v>0</v>
      </c>
      <c r="R47" s="59">
        <f>P47/Table!$C$4</f>
        <v>0</v>
      </c>
      <c r="S47" t="s">
        <v>744</v>
      </c>
    </row>
    <row r="48" spans="2:19" x14ac:dyDescent="0.25">
      <c r="C48" s="59">
        <v>14</v>
      </c>
      <c r="D48" s="28" t="s">
        <v>739</v>
      </c>
      <c r="E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241</v>
      </c>
      <c r="F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8" s="59">
        <f>E48/Table!$D$4</f>
        <v>0.53555555555555556</v>
      </c>
      <c r="H48" s="59">
        <f>F48/Table!$C$4</f>
        <v>0</v>
      </c>
      <c r="I48" t="s">
        <v>1504</v>
      </c>
      <c r="J48" s="75"/>
      <c r="M48" s="59">
        <v>14</v>
      </c>
      <c r="N48" s="28" t="s">
        <v>739</v>
      </c>
      <c r="O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8" s="59">
        <f>O48/Table!$D$4</f>
        <v>0</v>
      </c>
      <c r="R48" s="59">
        <f>P48/Table!$C$4</f>
        <v>0</v>
      </c>
      <c r="S48" t="s">
        <v>744</v>
      </c>
    </row>
    <row r="49" spans="2:18" x14ac:dyDescent="0.25">
      <c r="C49" s="30"/>
      <c r="D49" s="29"/>
      <c r="E49" s="30"/>
      <c r="F49" s="30"/>
      <c r="G49" s="30"/>
      <c r="H49" s="30"/>
      <c r="J49" s="75"/>
      <c r="M49" s="30"/>
      <c r="N49" s="29"/>
      <c r="O49" s="30"/>
      <c r="P49" s="30"/>
      <c r="Q49" s="30"/>
      <c r="R49" s="30"/>
    </row>
    <row r="50" spans="2:18" x14ac:dyDescent="0.25">
      <c r="B50" s="1" t="s">
        <v>34</v>
      </c>
      <c r="J50" s="75"/>
      <c r="L50" s="1" t="s">
        <v>34</v>
      </c>
    </row>
    <row r="51" spans="2:18" x14ac:dyDescent="0.25">
      <c r="C51" s="54" t="s">
        <v>25</v>
      </c>
      <c r="D51" s="49" t="s">
        <v>35</v>
      </c>
      <c r="E51" s="50"/>
      <c r="F51" s="51"/>
      <c r="J51" s="75"/>
      <c r="M51" s="54" t="s">
        <v>25</v>
      </c>
      <c r="N51" s="49" t="s">
        <v>35</v>
      </c>
      <c r="O51" s="50"/>
      <c r="P51" s="51"/>
    </row>
    <row r="52" spans="2:18" x14ac:dyDescent="0.25">
      <c r="C52" s="59">
        <v>1</v>
      </c>
      <c r="D52" s="36" t="s">
        <v>61</v>
      </c>
      <c r="E52" s="37"/>
      <c r="F52" s="38"/>
      <c r="J52" s="75"/>
      <c r="M52" s="59">
        <v>1</v>
      </c>
      <c r="N52" s="36" t="s">
        <v>61</v>
      </c>
      <c r="O52" s="37"/>
      <c r="P52" s="38"/>
    </row>
    <row r="53" spans="2:18" x14ac:dyDescent="0.25">
      <c r="C53" s="59">
        <v>2</v>
      </c>
      <c r="D53" s="36" t="s">
        <v>61</v>
      </c>
      <c r="E53" s="37"/>
      <c r="F53" s="38"/>
      <c r="J53" s="75"/>
      <c r="M53" s="59">
        <v>2</v>
      </c>
      <c r="N53" s="36" t="s">
        <v>61</v>
      </c>
      <c r="O53" s="37"/>
      <c r="P53" s="38"/>
    </row>
    <row r="54" spans="2:18" x14ac:dyDescent="0.25">
      <c r="C54" s="59">
        <v>3</v>
      </c>
      <c r="D54" s="36" t="s">
        <v>61</v>
      </c>
      <c r="E54" s="37"/>
      <c r="F54" s="38"/>
      <c r="J54" s="75"/>
      <c r="M54" s="59">
        <v>3</v>
      </c>
      <c r="N54" s="36" t="s">
        <v>61</v>
      </c>
      <c r="O54" s="37"/>
      <c r="P54" s="38"/>
    </row>
    <row r="55" spans="2:18" x14ac:dyDescent="0.25">
      <c r="C55" s="59">
        <v>4</v>
      </c>
      <c r="D55" s="36" t="s">
        <v>61</v>
      </c>
      <c r="E55" s="37"/>
      <c r="F55" s="38"/>
      <c r="J55" s="75"/>
      <c r="M55" s="59">
        <v>4</v>
      </c>
      <c r="N55" s="36" t="s">
        <v>61</v>
      </c>
      <c r="O55" s="37"/>
      <c r="P55" s="38"/>
    </row>
    <row r="56" spans="2:18" x14ac:dyDescent="0.25">
      <c r="J56" s="75"/>
    </row>
    <row r="57" spans="2:18" x14ac:dyDescent="0.25">
      <c r="B57" s="1" t="s">
        <v>191</v>
      </c>
      <c r="J57" s="75"/>
      <c r="L57" s="1" t="s">
        <v>191</v>
      </c>
    </row>
    <row r="58" spans="2:18" x14ac:dyDescent="0.25">
      <c r="C58" s="46" t="s">
        <v>25</v>
      </c>
      <c r="D58" s="46" t="s">
        <v>31</v>
      </c>
      <c r="E58" s="8" t="s">
        <v>131</v>
      </c>
      <c r="F58" s="8" t="s">
        <v>132</v>
      </c>
      <c r="J58" s="75"/>
      <c r="M58" s="54" t="s">
        <v>25</v>
      </c>
      <c r="N58" s="54" t="s">
        <v>31</v>
      </c>
      <c r="O58" s="8" t="s">
        <v>131</v>
      </c>
      <c r="P58" s="8" t="s">
        <v>132</v>
      </c>
    </row>
    <row r="59" spans="2:18" x14ac:dyDescent="0.25">
      <c r="C59" s="59">
        <v>1</v>
      </c>
      <c r="D59" s="28" t="s">
        <v>114</v>
      </c>
      <c r="E59" s="4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6</v>
      </c>
      <c r="F59"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59" s="75"/>
      <c r="M59" s="59">
        <v>1</v>
      </c>
      <c r="N59" s="28" t="s">
        <v>114</v>
      </c>
      <c r="O59" s="5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59"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0" spans="2:18" x14ac:dyDescent="0.25">
      <c r="C60" s="59">
        <v>2</v>
      </c>
      <c r="D60" s="28" t="s">
        <v>115</v>
      </c>
      <c r="E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0" s="75"/>
      <c r="M60" s="59">
        <v>2</v>
      </c>
      <c r="N60" s="28" t="s">
        <v>115</v>
      </c>
      <c r="O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1" spans="2:18" x14ac:dyDescent="0.25">
      <c r="C61" s="59">
        <v>3</v>
      </c>
      <c r="D61" s="28" t="s">
        <v>116</v>
      </c>
      <c r="E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1" s="75"/>
      <c r="M61" s="59">
        <v>3</v>
      </c>
      <c r="N61" s="28" t="s">
        <v>116</v>
      </c>
      <c r="O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2" spans="2:18" x14ac:dyDescent="0.25">
      <c r="C62" s="59">
        <v>4</v>
      </c>
      <c r="D62" s="28" t="s">
        <v>117</v>
      </c>
      <c r="E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2" s="75"/>
      <c r="M62" s="59">
        <v>4</v>
      </c>
      <c r="N62" s="28" t="s">
        <v>117</v>
      </c>
      <c r="O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3" spans="2:18" x14ac:dyDescent="0.25">
      <c r="C63" s="59">
        <v>5</v>
      </c>
      <c r="D63" s="28" t="s">
        <v>167</v>
      </c>
      <c r="E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11</v>
      </c>
      <c r="F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3" s="75"/>
      <c r="M63" s="59">
        <v>5</v>
      </c>
      <c r="N63" s="28" t="s">
        <v>167</v>
      </c>
      <c r="O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4" spans="2:18" x14ac:dyDescent="0.25">
      <c r="C64" s="59">
        <v>6</v>
      </c>
      <c r="D64" s="28" t="s">
        <v>168</v>
      </c>
      <c r="E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4</v>
      </c>
      <c r="F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4" s="75"/>
      <c r="M64" s="59">
        <v>6</v>
      </c>
      <c r="N64" s="28" t="s">
        <v>168</v>
      </c>
      <c r="O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5" spans="2:16" x14ac:dyDescent="0.25">
      <c r="C65" s="59">
        <v>7</v>
      </c>
      <c r="D65" s="28" t="s">
        <v>169</v>
      </c>
      <c r="E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8</v>
      </c>
      <c r="F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5" s="75"/>
      <c r="M65" s="59">
        <v>7</v>
      </c>
      <c r="N65" s="28" t="s">
        <v>169</v>
      </c>
      <c r="O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6" spans="2:16" x14ac:dyDescent="0.25">
      <c r="C66" s="59">
        <v>8</v>
      </c>
      <c r="D66" s="28" t="s">
        <v>170</v>
      </c>
      <c r="E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7</v>
      </c>
      <c r="F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6" s="75"/>
      <c r="M66" s="59">
        <v>8</v>
      </c>
      <c r="N66" s="28" t="s">
        <v>170</v>
      </c>
      <c r="O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7" spans="2:16" x14ac:dyDescent="0.25">
      <c r="C67" s="59">
        <v>9</v>
      </c>
      <c r="D67" s="28" t="s">
        <v>158</v>
      </c>
      <c r="E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7" s="75"/>
      <c r="M67" s="59">
        <v>9</v>
      </c>
      <c r="N67" s="28" t="s">
        <v>158</v>
      </c>
      <c r="O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8" spans="2:16" x14ac:dyDescent="0.25">
      <c r="C68" s="59">
        <v>10</v>
      </c>
      <c r="D68" s="28" t="s">
        <v>157</v>
      </c>
      <c r="E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6</v>
      </c>
      <c r="F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8" s="75"/>
      <c r="M68" s="59">
        <v>10</v>
      </c>
      <c r="N68" s="28" t="s">
        <v>157</v>
      </c>
      <c r="O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9" spans="2:16" x14ac:dyDescent="0.25">
      <c r="C69" s="59">
        <v>11</v>
      </c>
      <c r="D69" s="28" t="s">
        <v>1421</v>
      </c>
      <c r="E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9" s="75"/>
      <c r="M69" s="59">
        <v>11</v>
      </c>
      <c r="N69" s="28" t="s">
        <v>1421</v>
      </c>
      <c r="O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0" spans="2:16" x14ac:dyDescent="0.25">
      <c r="C70" s="59">
        <v>12</v>
      </c>
      <c r="D70" s="28" t="s">
        <v>740</v>
      </c>
      <c r="E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v>
      </c>
      <c r="F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0" s="75"/>
      <c r="M70" s="59">
        <v>12</v>
      </c>
      <c r="N70" s="28" t="s">
        <v>740</v>
      </c>
      <c r="O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1" spans="2:16" x14ac:dyDescent="0.25">
      <c r="C71" s="59">
        <v>13</v>
      </c>
      <c r="D71" s="28" t="s">
        <v>738</v>
      </c>
      <c r="E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1" s="75"/>
      <c r="M71" s="59">
        <v>13</v>
      </c>
      <c r="N71" s="28" t="s">
        <v>738</v>
      </c>
      <c r="O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2" spans="2:16" x14ac:dyDescent="0.25">
      <c r="C72" s="59">
        <v>14</v>
      </c>
      <c r="D72" s="28" t="s">
        <v>739</v>
      </c>
      <c r="E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2" s="75"/>
      <c r="M72" s="59">
        <v>14</v>
      </c>
      <c r="N72" s="28" t="s">
        <v>739</v>
      </c>
      <c r="O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3" spans="2:16" x14ac:dyDescent="0.25">
      <c r="C73" s="30"/>
      <c r="D73" s="29"/>
      <c r="E73" s="60"/>
      <c r="F73" s="30"/>
      <c r="J73" s="75"/>
      <c r="M73" s="30"/>
      <c r="N73" s="29"/>
      <c r="O73" s="60"/>
      <c r="P73" s="30"/>
    </row>
    <row r="74" spans="2:16" x14ac:dyDescent="0.25">
      <c r="B74" s="1" t="s">
        <v>192</v>
      </c>
      <c r="J74" s="75"/>
      <c r="L74" s="1" t="s">
        <v>192</v>
      </c>
    </row>
    <row r="75" spans="2:16" x14ac:dyDescent="0.25">
      <c r="C75" s="46" t="s">
        <v>25</v>
      </c>
      <c r="D75" s="46" t="s">
        <v>31</v>
      </c>
      <c r="E75" s="8" t="s">
        <v>36</v>
      </c>
      <c r="F75" s="8" t="s">
        <v>37</v>
      </c>
      <c r="J75" s="75"/>
      <c r="M75" s="54" t="s">
        <v>25</v>
      </c>
      <c r="N75" s="54" t="s">
        <v>31</v>
      </c>
      <c r="O75" s="8" t="s">
        <v>36</v>
      </c>
      <c r="P75" s="8" t="s">
        <v>37</v>
      </c>
    </row>
    <row r="76" spans="2:16" x14ac:dyDescent="0.25">
      <c r="C76" s="59">
        <v>1</v>
      </c>
      <c r="D76" s="28" t="s">
        <v>114</v>
      </c>
      <c r="E76" s="47" t="s">
        <v>61</v>
      </c>
      <c r="F76" s="165" t="s">
        <v>61</v>
      </c>
      <c r="J76" s="75"/>
      <c r="M76" s="59">
        <v>1</v>
      </c>
      <c r="N76" s="28" t="s">
        <v>114</v>
      </c>
      <c r="O76" s="58" t="s">
        <v>61</v>
      </c>
      <c r="P76" s="58" t="s">
        <v>61</v>
      </c>
    </row>
    <row r="77" spans="2:16" x14ac:dyDescent="0.25">
      <c r="C77" s="59">
        <v>2</v>
      </c>
      <c r="D77" s="28" t="s">
        <v>115</v>
      </c>
      <c r="E77" s="47" t="s">
        <v>61</v>
      </c>
      <c r="F77" s="165" t="s">
        <v>61</v>
      </c>
      <c r="J77" s="75"/>
      <c r="M77" s="59">
        <v>2</v>
      </c>
      <c r="N77" s="28" t="s">
        <v>115</v>
      </c>
      <c r="O77" s="58">
        <v>1</v>
      </c>
      <c r="P77" s="131" t="s">
        <v>1428</v>
      </c>
    </row>
    <row r="78" spans="2:16" x14ac:dyDescent="0.25">
      <c r="C78" s="59">
        <v>3</v>
      </c>
      <c r="D78" s="28" t="s">
        <v>116</v>
      </c>
      <c r="E78" s="47" t="s">
        <v>61</v>
      </c>
      <c r="F78" s="165" t="s">
        <v>61</v>
      </c>
      <c r="J78" s="75"/>
      <c r="M78" s="59">
        <v>3</v>
      </c>
      <c r="N78" s="28" t="s">
        <v>116</v>
      </c>
      <c r="O78" s="58" t="s">
        <v>61</v>
      </c>
      <c r="P78" s="58" t="s">
        <v>61</v>
      </c>
    </row>
    <row r="79" spans="2:16" x14ac:dyDescent="0.25">
      <c r="C79" s="59">
        <v>4</v>
      </c>
      <c r="D79" s="28" t="s">
        <v>117</v>
      </c>
      <c r="E79" s="47" t="s">
        <v>61</v>
      </c>
      <c r="F79" s="165" t="s">
        <v>61</v>
      </c>
      <c r="J79" s="75"/>
      <c r="M79" s="59">
        <v>4</v>
      </c>
      <c r="N79" s="28" t="s">
        <v>117</v>
      </c>
      <c r="O79" s="58" t="s">
        <v>61</v>
      </c>
      <c r="P79" s="58" t="s">
        <v>61</v>
      </c>
    </row>
    <row r="80" spans="2:16" x14ac:dyDescent="0.25">
      <c r="C80" s="59">
        <v>5</v>
      </c>
      <c r="D80" s="28" t="s">
        <v>167</v>
      </c>
      <c r="E80" s="58" t="s">
        <v>61</v>
      </c>
      <c r="F80" s="165" t="s">
        <v>61</v>
      </c>
      <c r="J80" s="75"/>
      <c r="M80" s="59">
        <v>5</v>
      </c>
      <c r="N80" s="28" t="s">
        <v>167</v>
      </c>
      <c r="O80" s="58" t="s">
        <v>61</v>
      </c>
      <c r="P80" s="58" t="s">
        <v>61</v>
      </c>
    </row>
    <row r="81" spans="2:16" x14ac:dyDescent="0.25">
      <c r="C81" s="59">
        <v>6</v>
      </c>
      <c r="D81" s="28" t="s">
        <v>168</v>
      </c>
      <c r="E81" s="58">
        <v>4</v>
      </c>
      <c r="F81" s="165" t="s">
        <v>1535</v>
      </c>
      <c r="J81" s="75"/>
      <c r="M81" s="59">
        <v>6</v>
      </c>
      <c r="N81" s="28" t="s">
        <v>168</v>
      </c>
      <c r="O81" s="58" t="s">
        <v>61</v>
      </c>
      <c r="P81" s="58" t="s">
        <v>61</v>
      </c>
    </row>
    <row r="82" spans="2:16" x14ac:dyDescent="0.25">
      <c r="C82" s="59">
        <v>7</v>
      </c>
      <c r="D82" s="28" t="s">
        <v>169</v>
      </c>
      <c r="E82" s="58">
        <v>1</v>
      </c>
      <c r="F82" s="164" t="s">
        <v>845</v>
      </c>
      <c r="J82" s="75"/>
      <c r="M82" s="59">
        <v>7</v>
      </c>
      <c r="N82" s="28" t="s">
        <v>169</v>
      </c>
      <c r="O82" s="58" t="s">
        <v>61</v>
      </c>
      <c r="P82" s="58" t="s">
        <v>61</v>
      </c>
    </row>
    <row r="83" spans="2:16" x14ac:dyDescent="0.25">
      <c r="C83" s="59">
        <v>8</v>
      </c>
      <c r="D83" s="28" t="s">
        <v>170</v>
      </c>
      <c r="E83" s="58">
        <v>2</v>
      </c>
      <c r="F83" s="165" t="s">
        <v>846</v>
      </c>
      <c r="J83" s="75"/>
      <c r="M83" s="59">
        <v>8</v>
      </c>
      <c r="N83" s="28" t="s">
        <v>170</v>
      </c>
      <c r="O83" s="58" t="s">
        <v>61</v>
      </c>
      <c r="P83" s="58" t="s">
        <v>61</v>
      </c>
    </row>
    <row r="84" spans="2:16" x14ac:dyDescent="0.25">
      <c r="C84" s="59">
        <v>9</v>
      </c>
      <c r="D84" s="28" t="s">
        <v>158</v>
      </c>
      <c r="E84" s="58" t="s">
        <v>61</v>
      </c>
      <c r="F84" s="165" t="s">
        <v>61</v>
      </c>
      <c r="J84" s="75"/>
      <c r="M84" s="59">
        <v>9</v>
      </c>
      <c r="N84" s="28" t="s">
        <v>158</v>
      </c>
      <c r="O84" s="58">
        <v>2</v>
      </c>
      <c r="P84" s="131" t="s">
        <v>1427</v>
      </c>
    </row>
    <row r="85" spans="2:16" x14ac:dyDescent="0.25">
      <c r="C85" s="59">
        <v>10</v>
      </c>
      <c r="D85" s="28" t="s">
        <v>157</v>
      </c>
      <c r="E85" s="58">
        <v>1</v>
      </c>
      <c r="F85" s="165" t="s">
        <v>1836</v>
      </c>
      <c r="J85" s="75"/>
      <c r="M85" s="59">
        <v>10</v>
      </c>
      <c r="N85" s="28" t="s">
        <v>157</v>
      </c>
      <c r="O85" s="58" t="s">
        <v>61</v>
      </c>
      <c r="P85" s="58" t="s">
        <v>61</v>
      </c>
    </row>
    <row r="86" spans="2:16" x14ac:dyDescent="0.25">
      <c r="C86" s="59">
        <v>11</v>
      </c>
      <c r="D86" s="28" t="s">
        <v>1421</v>
      </c>
      <c r="E86" s="58" t="s">
        <v>61</v>
      </c>
      <c r="F86" s="165" t="s">
        <v>61</v>
      </c>
      <c r="J86" s="75"/>
      <c r="M86" s="59">
        <v>11</v>
      </c>
      <c r="N86" s="28" t="s">
        <v>1421</v>
      </c>
      <c r="O86" s="58">
        <v>1</v>
      </c>
      <c r="P86" s="164" t="s">
        <v>1840</v>
      </c>
    </row>
    <row r="87" spans="2:16" x14ac:dyDescent="0.25">
      <c r="C87" s="59">
        <v>12</v>
      </c>
      <c r="D87" s="28" t="s">
        <v>740</v>
      </c>
      <c r="E87" s="58" t="s">
        <v>61</v>
      </c>
      <c r="F87" s="165" t="s">
        <v>61</v>
      </c>
      <c r="J87" s="75"/>
      <c r="M87" s="59">
        <v>12</v>
      </c>
      <c r="N87" s="28" t="s">
        <v>740</v>
      </c>
      <c r="O87" s="58" t="s">
        <v>61</v>
      </c>
      <c r="P87" s="58" t="s">
        <v>61</v>
      </c>
    </row>
    <row r="88" spans="2:16" x14ac:dyDescent="0.25">
      <c r="C88" s="59">
        <v>13</v>
      </c>
      <c r="D88" s="28" t="s">
        <v>738</v>
      </c>
      <c r="E88" s="58" t="s">
        <v>61</v>
      </c>
      <c r="F88" s="165" t="s">
        <v>61</v>
      </c>
      <c r="J88" s="75"/>
      <c r="M88" s="59">
        <v>13</v>
      </c>
      <c r="N88" s="28" t="s">
        <v>738</v>
      </c>
      <c r="O88" s="58" t="s">
        <v>61</v>
      </c>
      <c r="P88" s="58" t="s">
        <v>61</v>
      </c>
    </row>
    <row r="89" spans="2:16" x14ac:dyDescent="0.25">
      <c r="C89" s="59">
        <v>14</v>
      </c>
      <c r="D89" s="28" t="s">
        <v>739</v>
      </c>
      <c r="E89" s="58" t="s">
        <v>61</v>
      </c>
      <c r="F89" s="165" t="s">
        <v>61</v>
      </c>
      <c r="J89" s="75"/>
      <c r="M89" s="59">
        <v>14</v>
      </c>
      <c r="N89" s="28" t="s">
        <v>739</v>
      </c>
      <c r="O89" s="58" t="s">
        <v>61</v>
      </c>
      <c r="P89" s="58" t="s">
        <v>61</v>
      </c>
    </row>
    <row r="90" spans="2:16" x14ac:dyDescent="0.25">
      <c r="C90" s="30"/>
      <c r="D90" s="29"/>
      <c r="E90" s="60"/>
      <c r="F90" s="60"/>
      <c r="J90" s="75"/>
      <c r="M90" s="30"/>
      <c r="N90" s="29"/>
      <c r="O90" s="60"/>
      <c r="P90" s="60"/>
    </row>
    <row r="91" spans="2:16" x14ac:dyDescent="0.25">
      <c r="C91" s="30"/>
      <c r="D91" s="29"/>
      <c r="E91" s="60"/>
      <c r="F91" s="60"/>
      <c r="J91" s="75"/>
      <c r="M91" s="30"/>
      <c r="N91" s="29"/>
      <c r="O91" s="60"/>
      <c r="P91" s="60"/>
    </row>
    <row r="92" spans="2:16" x14ac:dyDescent="0.25">
      <c r="B92" s="1" t="s">
        <v>39</v>
      </c>
      <c r="J92" s="75"/>
      <c r="L92" s="1" t="s">
        <v>39</v>
      </c>
    </row>
    <row r="93" spans="2:16" x14ac:dyDescent="0.25">
      <c r="C93" s="1" t="s">
        <v>41</v>
      </c>
      <c r="J93" s="75"/>
      <c r="M93" s="1" t="s">
        <v>41</v>
      </c>
    </row>
    <row r="94" spans="2:16" x14ac:dyDescent="0.25">
      <c r="D94" t="s">
        <v>40</v>
      </c>
      <c r="J94" s="75"/>
      <c r="N94" t="s">
        <v>40</v>
      </c>
    </row>
    <row r="95" spans="2:16" x14ac:dyDescent="0.25">
      <c r="D95" t="s">
        <v>97</v>
      </c>
      <c r="J95" s="75"/>
      <c r="N95" t="s">
        <v>97</v>
      </c>
    </row>
    <row r="96" spans="2:16" x14ac:dyDescent="0.25">
      <c r="C96" s="1" t="s">
        <v>42</v>
      </c>
      <c r="J96" s="75"/>
      <c r="M96" s="1" t="s">
        <v>42</v>
      </c>
    </row>
    <row r="97" spans="2:14" x14ac:dyDescent="0.25">
      <c r="D97" t="s">
        <v>43</v>
      </c>
      <c r="J97" s="75"/>
      <c r="N97" t="s">
        <v>43</v>
      </c>
    </row>
    <row r="98" spans="2:14" x14ac:dyDescent="0.25">
      <c r="D98" t="s">
        <v>44</v>
      </c>
      <c r="J98" s="75"/>
      <c r="N98" t="s">
        <v>44</v>
      </c>
    </row>
    <row r="99" spans="2:14" x14ac:dyDescent="0.25">
      <c r="C99" s="1" t="s">
        <v>164</v>
      </c>
      <c r="J99" s="75"/>
      <c r="M99" s="1" t="s">
        <v>164</v>
      </c>
    </row>
    <row r="100" spans="2:14" x14ac:dyDescent="0.25">
      <c r="D100" t="s">
        <v>165</v>
      </c>
      <c r="J100" s="75"/>
      <c r="N100" t="s">
        <v>165</v>
      </c>
    </row>
    <row r="101" spans="2:14" x14ac:dyDescent="0.25">
      <c r="D101" t="s">
        <v>166</v>
      </c>
      <c r="J101" s="75"/>
      <c r="N101" t="s">
        <v>166</v>
      </c>
    </row>
    <row r="102" spans="2:14" x14ac:dyDescent="0.25">
      <c r="J102" s="75"/>
    </row>
    <row r="103" spans="2:14" x14ac:dyDescent="0.25">
      <c r="J103" s="75"/>
    </row>
    <row r="104" spans="2:14" x14ac:dyDescent="0.25">
      <c r="B104" t="s">
        <v>175</v>
      </c>
      <c r="C104" t="s">
        <v>163</v>
      </c>
      <c r="J104" s="75"/>
      <c r="K104" t="s">
        <v>162</v>
      </c>
    </row>
    <row r="105" spans="2:14" x14ac:dyDescent="0.25">
      <c r="D105" s="28" t="s">
        <v>114</v>
      </c>
      <c r="J105" s="75"/>
      <c r="L105" s="225" t="s">
        <v>114</v>
      </c>
    </row>
    <row r="106" spans="2:14" x14ac:dyDescent="0.25">
      <c r="D106" s="28" t="s">
        <v>115</v>
      </c>
      <c r="J106" s="75"/>
      <c r="L106" s="226" t="s">
        <v>115</v>
      </c>
    </row>
    <row r="107" spans="2:14" x14ac:dyDescent="0.25">
      <c r="D107" s="28" t="s">
        <v>116</v>
      </c>
      <c r="J107" s="75"/>
      <c r="L107" s="28" t="s">
        <v>116</v>
      </c>
      <c r="M107" s="34"/>
    </row>
    <row r="108" spans="2:14" x14ac:dyDescent="0.25">
      <c r="D108" s="28" t="s">
        <v>167</v>
      </c>
      <c r="J108" s="75"/>
      <c r="L108" s="166" t="s">
        <v>117</v>
      </c>
    </row>
    <row r="109" spans="2:14" x14ac:dyDescent="0.25">
      <c r="D109" s="28" t="s">
        <v>168</v>
      </c>
      <c r="J109" s="75"/>
      <c r="L109" s="166" t="s">
        <v>158</v>
      </c>
    </row>
    <row r="110" spans="2:14" x14ac:dyDescent="0.25">
      <c r="D110" s="28" t="s">
        <v>169</v>
      </c>
      <c r="J110" s="75"/>
    </row>
    <row r="111" spans="2:14" x14ac:dyDescent="0.25">
      <c r="D111" s="28" t="s">
        <v>170</v>
      </c>
      <c r="J111" s="75"/>
    </row>
    <row r="112" spans="2:14" x14ac:dyDescent="0.25">
      <c r="D112" s="28" t="s">
        <v>157</v>
      </c>
      <c r="J112" s="75"/>
    </row>
    <row r="114" spans="4:7" x14ac:dyDescent="0.25">
      <c r="E114" t="s">
        <v>163</v>
      </c>
      <c r="G114" t="s">
        <v>162</v>
      </c>
    </row>
    <row r="115" spans="4:7" x14ac:dyDescent="0.25">
      <c r="D115" t="s">
        <v>114</v>
      </c>
      <c r="E115" t="s">
        <v>1032</v>
      </c>
      <c r="F115" t="s">
        <v>1422</v>
      </c>
      <c r="G115" t="s">
        <v>1425</v>
      </c>
    </row>
    <row r="116" spans="4:7" x14ac:dyDescent="0.25">
      <c r="D116" t="s">
        <v>115</v>
      </c>
      <c r="E116" s="35" t="s">
        <v>1424</v>
      </c>
      <c r="G116" s="35" t="s">
        <v>1505</v>
      </c>
    </row>
    <row r="117" spans="4:7" x14ac:dyDescent="0.25">
      <c r="D117" t="s">
        <v>116</v>
      </c>
      <c r="E117" t="s">
        <v>1424</v>
      </c>
      <c r="G117" s="35" t="s">
        <v>1505</v>
      </c>
    </row>
    <row r="118" spans="4:7" x14ac:dyDescent="0.25">
      <c r="D118" t="s">
        <v>117</v>
      </c>
      <c r="E118" t="s">
        <v>150</v>
      </c>
      <c r="G118" t="s">
        <v>1032</v>
      </c>
    </row>
    <row r="119" spans="4:7" x14ac:dyDescent="0.25">
      <c r="D119" t="s">
        <v>167</v>
      </c>
      <c r="E119" t="s">
        <v>1032</v>
      </c>
      <c r="F119" t="s">
        <v>1422</v>
      </c>
      <c r="G119" t="s">
        <v>1423</v>
      </c>
    </row>
    <row r="120" spans="4:7" x14ac:dyDescent="0.25">
      <c r="D120" t="s">
        <v>168</v>
      </c>
      <c r="E120" t="s">
        <v>1032</v>
      </c>
      <c r="F120" t="s">
        <v>1422</v>
      </c>
      <c r="G120" t="s">
        <v>1423</v>
      </c>
    </row>
    <row r="121" spans="4:7" x14ac:dyDescent="0.25">
      <c r="D121" t="s">
        <v>169</v>
      </c>
      <c r="E121" t="s">
        <v>1032</v>
      </c>
      <c r="F121" t="s">
        <v>1422</v>
      </c>
      <c r="G121" t="s">
        <v>1423</v>
      </c>
    </row>
    <row r="122" spans="4:7" x14ac:dyDescent="0.25">
      <c r="D122" t="s">
        <v>170</v>
      </c>
      <c r="E122" t="s">
        <v>1032</v>
      </c>
      <c r="F122" t="s">
        <v>1422</v>
      </c>
      <c r="G122" t="s">
        <v>1423</v>
      </c>
    </row>
    <row r="123" spans="4:7" x14ac:dyDescent="0.25">
      <c r="D123" t="s">
        <v>158</v>
      </c>
      <c r="E123" t="s">
        <v>1423</v>
      </c>
      <c r="G123" t="s">
        <v>1032</v>
      </c>
    </row>
    <row r="124" spans="4:7" x14ac:dyDescent="0.25">
      <c r="D124" t="s">
        <v>157</v>
      </c>
      <c r="E124" t="s">
        <v>1032</v>
      </c>
      <c r="F124" t="s">
        <v>1422</v>
      </c>
      <c r="G124" t="s">
        <v>1423</v>
      </c>
    </row>
    <row r="125" spans="4:7" x14ac:dyDescent="0.25">
      <c r="D125" t="s">
        <v>1421</v>
      </c>
      <c r="E125" t="s">
        <v>1423</v>
      </c>
      <c r="G125" s="35" t="s">
        <v>1473</v>
      </c>
    </row>
    <row r="126" spans="4:7" x14ac:dyDescent="0.25">
      <c r="D126" t="s">
        <v>740</v>
      </c>
      <c r="E126" s="224" t="s">
        <v>1426</v>
      </c>
      <c r="F126" t="s">
        <v>1422</v>
      </c>
      <c r="G126" t="s">
        <v>150</v>
      </c>
    </row>
    <row r="127" spans="4:7" x14ac:dyDescent="0.25">
      <c r="D127" t="s">
        <v>738</v>
      </c>
      <c r="E127" t="s">
        <v>1426</v>
      </c>
      <c r="F127" t="s">
        <v>1422</v>
      </c>
      <c r="G127" t="s">
        <v>150</v>
      </c>
    </row>
    <row r="128" spans="4:7" x14ac:dyDescent="0.25">
      <c r="D128" t="s">
        <v>739</v>
      </c>
      <c r="E128" t="s">
        <v>1426</v>
      </c>
      <c r="F128" t="s">
        <v>1422</v>
      </c>
      <c r="G128" t="s">
        <v>150</v>
      </c>
    </row>
  </sheetData>
  <customSheetViews>
    <customSheetView guid="{FECB4C41-27E8-4A22-AFB3-4F54CDD4960E}" scale="85" topLeftCell="A34">
      <selection activeCell="K9" sqref="K9"/>
      <pageMargins left="0.7" right="0.7" top="0.75" bottom="0.75" header="0.3" footer="0.3"/>
      <pageSetup orientation="portrait" horizontalDpi="300" verticalDpi="0" r:id="rId1"/>
    </customSheetView>
    <customSheetView guid="{3B3E6719-EACB-4D2C-89C1-05FFAB6020FD}" scale="85" topLeftCell="A73">
      <selection activeCell="A87" sqref="A87:XFD87"/>
      <pageMargins left="0.7" right="0.7" top="0.75" bottom="0.75" header="0.3" footer="0.3"/>
      <pageSetup orientation="portrait" horizontalDpi="300" verticalDpi="0" r:id="rId2"/>
    </customSheetView>
    <customSheetView guid="{4E06BDBF-2CED-473B-850B-2A6C7311FF41}" scale="85">
      <selection activeCell="A10" sqref="A10:XFD10"/>
      <pageMargins left="0.7" right="0.7" top="0.75" bottom="0.75" header="0.3" footer="0.3"/>
      <pageSetup orientation="portrait" horizontalDpi="300" r:id="rId3"/>
    </customSheetView>
    <customSheetView guid="{99BC1C51-34DC-4BF2-906C-1E31B6171D71}" scale="85">
      <selection activeCell="N94" sqref="N94:N99"/>
      <pageMargins left="0.7" right="0.7" top="0.75" bottom="0.75" header="0.3" footer="0.3"/>
      <pageSetup orientation="portrait" horizontalDpi="300" verticalDpi="0" r:id="rId4"/>
    </customSheetView>
    <customSheetView guid="{C94451EF-7A3E-4D72-B5A4-3D1B193192CC}" scale="85">
      <selection activeCell="A9" sqref="A9:XFD9"/>
      <pageMargins left="0.7" right="0.7" top="0.75" bottom="0.75" header="0.3" footer="0.3"/>
      <pageSetup orientation="portrait" horizontalDpi="300" verticalDpi="0" r:id="rId5"/>
    </customSheetView>
    <customSheetView guid="{7ECC2B8E-6A82-42F5-8AB0-4A51C54EA5EC}" scale="85">
      <selection activeCell="A12" sqref="A12:XFD12"/>
      <pageMargins left="0.7" right="0.7" top="0.75" bottom="0.75" header="0.3" footer="0.3"/>
      <pageSetup orientation="portrait" horizontalDpi="300" verticalDpi="0" r:id="rId6"/>
    </customSheetView>
    <customSheetView guid="{A2C66332-A809-458E-971B-FDB6D62C74C3}" scale="85">
      <selection activeCell="G23" sqref="G23"/>
      <pageMargins left="0.7" right="0.7" top="0.75" bottom="0.75" header="0.3" footer="0.3"/>
      <pageSetup orientation="portrait" horizontalDpi="300" verticalDpi="0" r:id="rId7"/>
    </customSheetView>
    <customSheetView guid="{89C03E1E-B6A8-49A1-B29C-5DC4FAB2FBC6}" scale="85">
      <selection activeCell="G16" sqref="G16"/>
      <pageMargins left="0.7" right="0.7" top="0.75" bottom="0.75" header="0.3" footer="0.3"/>
      <pageSetup orientation="portrait" horizontalDpi="300" verticalDpi="0" r:id="rId8"/>
    </customSheetView>
    <customSheetView guid="{60D2C030-4E31-4E07-8E1C-44D2EE84B177}" scale="85">
      <selection activeCell="T12" sqref="T12"/>
      <pageMargins left="0.7" right="0.7" top="0.75" bottom="0.75" header="0.3" footer="0.3"/>
      <pageSetup orientation="portrait" horizontalDpi="300" verticalDpi="0" r:id="rId9"/>
    </customSheetView>
    <customSheetView guid="{D33AC7AF-C8AB-4CE9-94C7-9237011A5FC3}" scale="85">
      <selection activeCell="K21" sqref="K21"/>
      <pageMargins left="0.7" right="0.7" top="0.75" bottom="0.75" header="0.3" footer="0.3"/>
      <pageSetup orientation="portrait" horizontalDpi="300" verticalDpi="0" r:id="rId10"/>
    </customSheetView>
    <customSheetView guid="{336B6883-2145-4B58-921E-CEC7185A847E}" scale="85">
      <selection activeCell="K21" sqref="K21"/>
      <pageMargins left="0.7" right="0.7" top="0.75" bottom="0.75" header="0.3" footer="0.3"/>
      <pageSetup orientation="portrait" horizontalDpi="300" verticalDpi="0" r:id="rId11"/>
    </customSheetView>
    <customSheetView guid="{970EE037-F5E5-47AF-896A-0F6222879EBC}" scale="85">
      <pageMargins left="0.7" right="0.7" top="0.75" bottom="0.75" header="0.3" footer="0.3"/>
      <pageSetup orientation="portrait" horizontalDpi="300" r:id="rId12"/>
    </customSheetView>
    <customSheetView guid="{F96FC7D9-4F89-4FE0-8D00-C0083DEB0472}" scale="85">
      <selection activeCell="G8" sqref="G8"/>
      <pageMargins left="0.7" right="0.7" top="0.75" bottom="0.75" header="0.3" footer="0.3"/>
      <pageSetup orientation="portrait" horizontalDpi="300" verticalDpi="0" r:id="rId13"/>
    </customSheetView>
    <customSheetView guid="{7E0EA425-A420-4443-B9E0-CDF0AA9E5D09}" scale="85" topLeftCell="A91">
      <selection activeCell="E116" sqref="E116"/>
      <pageMargins left="0.7" right="0.7" top="0.75" bottom="0.75" header="0.3" footer="0.3"/>
      <pageSetup orientation="portrait" horizontalDpi="300" verticalDpi="0" r:id="rId14"/>
    </customSheetView>
  </customSheetViews>
  <conditionalFormatting sqref="H30:H31 H5:H17">
    <cfRule type="cellIs" dxfId="11" priority="23" operator="equal">
      <formula>1</formula>
    </cfRule>
    <cfRule type="cellIs" dxfId="10" priority="24" operator="lessThan">
      <formula>1</formula>
    </cfRule>
  </conditionalFormatting>
  <conditionalFormatting sqref="R30:R31">
    <cfRule type="cellIs" dxfId="9" priority="13" operator="equal">
      <formula>1</formula>
    </cfRule>
    <cfRule type="cellIs" dxfId="8" priority="14" operator="lessThan">
      <formula>1</formula>
    </cfRule>
  </conditionalFormatting>
  <conditionalFormatting sqref="H18">
    <cfRule type="cellIs" dxfId="7" priority="1" operator="equal">
      <formula>1</formula>
    </cfRule>
    <cfRule type="cellIs" dxfId="6" priority="2" operator="lessThan">
      <formula>1</formula>
    </cfRule>
  </conditionalFormatting>
  <conditionalFormatting sqref="H4">
    <cfRule type="cellIs" dxfId="5" priority="5" operator="equal">
      <formula>1</formula>
    </cfRule>
    <cfRule type="cellIs" dxfId="4" priority="6" operator="lessThan">
      <formula>1</formula>
    </cfRule>
  </conditionalFormatting>
  <pageMargins left="0.7" right="0.7" top="0.75" bottom="0.75" header="0.3" footer="0.3"/>
  <pageSetup orientation="portrait" horizontalDpi="300" r:id="rId15"/>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G5:G18</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53"/>
  <sheetViews>
    <sheetView workbookViewId="0">
      <selection activeCell="D4" sqref="D4"/>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9" t="s">
        <v>11</v>
      </c>
    </row>
    <row r="3" spans="2:5" x14ac:dyDescent="0.25">
      <c r="B3" s="2" t="s">
        <v>4</v>
      </c>
      <c r="C3" s="10" t="s">
        <v>2</v>
      </c>
      <c r="D3" s="10" t="s">
        <v>3</v>
      </c>
    </row>
    <row r="4" spans="2:5" x14ac:dyDescent="0.25">
      <c r="B4" s="10">
        <v>1</v>
      </c>
      <c r="C4" s="11">
        <v>130</v>
      </c>
      <c r="D4" s="11">
        <v>450</v>
      </c>
    </row>
    <row r="6" spans="2:5" x14ac:dyDescent="0.25">
      <c r="B6" s="1" t="s">
        <v>45</v>
      </c>
    </row>
    <row r="7" spans="2:5" x14ac:dyDescent="0.25">
      <c r="B7" s="2" t="s">
        <v>0</v>
      </c>
      <c r="C7" s="2" t="s">
        <v>1</v>
      </c>
      <c r="D7" s="2" t="s">
        <v>50</v>
      </c>
      <c r="E7" s="4" t="s">
        <v>47</v>
      </c>
    </row>
    <row r="8" spans="2:5" ht="60" x14ac:dyDescent="0.25">
      <c r="B8" s="12">
        <v>1</v>
      </c>
      <c r="C8" s="12" t="s">
        <v>2</v>
      </c>
      <c r="D8" s="12" t="s">
        <v>48</v>
      </c>
      <c r="E8" s="13" t="s">
        <v>9</v>
      </c>
    </row>
    <row r="9" spans="2:5" ht="75" x14ac:dyDescent="0.25">
      <c r="B9" s="12">
        <v>2</v>
      </c>
      <c r="C9" s="12" t="s">
        <v>3</v>
      </c>
      <c r="D9" s="12" t="s">
        <v>49</v>
      </c>
      <c r="E9" s="13"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141</v>
      </c>
    </row>
    <row r="22" spans="2:5" x14ac:dyDescent="0.25">
      <c r="B22" s="3">
        <v>10</v>
      </c>
      <c r="C22" s="3" t="s">
        <v>142</v>
      </c>
    </row>
    <row r="23" spans="2:5" x14ac:dyDescent="0.25">
      <c r="B23" s="3">
        <v>11</v>
      </c>
      <c r="C23" s="3" t="s">
        <v>1430</v>
      </c>
    </row>
    <row r="24" spans="2:5" x14ac:dyDescent="0.25">
      <c r="B24" s="3">
        <v>12</v>
      </c>
      <c r="C24" s="3" t="s">
        <v>741</v>
      </c>
    </row>
    <row r="25" spans="2:5" x14ac:dyDescent="0.25">
      <c r="B25" s="3">
        <v>13</v>
      </c>
      <c r="C25" s="3" t="s">
        <v>742</v>
      </c>
    </row>
    <row r="26" spans="2:5" x14ac:dyDescent="0.25">
      <c r="B26" s="3">
        <v>14</v>
      </c>
      <c r="C26" s="3" t="s">
        <v>743</v>
      </c>
    </row>
    <row r="27" spans="2:5" x14ac:dyDescent="0.25">
      <c r="B27" s="3">
        <v>15</v>
      </c>
      <c r="C27" s="3"/>
    </row>
    <row r="29" spans="2:5" x14ac:dyDescent="0.25">
      <c r="B29" s="9" t="s">
        <v>19</v>
      </c>
    </row>
    <row r="30" spans="2:5" x14ac:dyDescent="0.25">
      <c r="B30" s="2" t="s">
        <v>0</v>
      </c>
      <c r="C30" s="2" t="s">
        <v>17</v>
      </c>
    </row>
    <row r="31" spans="2:5" x14ac:dyDescent="0.25">
      <c r="B31" s="2">
        <v>1</v>
      </c>
      <c r="C31" s="3" t="s">
        <v>20</v>
      </c>
      <c r="E31" s="23"/>
    </row>
    <row r="32" spans="2:5" x14ac:dyDescent="0.25">
      <c r="B32" s="2">
        <v>2</v>
      </c>
      <c r="C32" s="3" t="s">
        <v>23</v>
      </c>
    </row>
    <row r="33" spans="2:3" x14ac:dyDescent="0.25">
      <c r="B33" s="2">
        <v>3</v>
      </c>
      <c r="C33" s="3" t="s">
        <v>18</v>
      </c>
    </row>
    <row r="34" spans="2:3" x14ac:dyDescent="0.25">
      <c r="B34" s="2">
        <v>4</v>
      </c>
      <c r="C34" s="3" t="s">
        <v>73</v>
      </c>
    </row>
    <row r="35" spans="2:3" x14ac:dyDescent="0.25">
      <c r="B35" s="2">
        <v>5</v>
      </c>
      <c r="C35" s="3" t="s">
        <v>21</v>
      </c>
    </row>
    <row r="36" spans="2:3" x14ac:dyDescent="0.25">
      <c r="B36" s="2">
        <v>6</v>
      </c>
      <c r="C36" s="3" t="s">
        <v>93</v>
      </c>
    </row>
    <row r="37" spans="2:3" x14ac:dyDescent="0.25">
      <c r="B37" s="2">
        <v>7</v>
      </c>
      <c r="C37" s="3" t="s">
        <v>74</v>
      </c>
    </row>
    <row r="39" spans="2:3" x14ac:dyDescent="0.25">
      <c r="B39" s="9" t="s">
        <v>148</v>
      </c>
    </row>
    <row r="40" spans="2:3" x14ac:dyDescent="0.25">
      <c r="B40" s="2" t="s">
        <v>0</v>
      </c>
      <c r="C40" s="2" t="s">
        <v>17</v>
      </c>
    </row>
    <row r="41" spans="2:3" x14ac:dyDescent="0.25">
      <c r="B41" s="2">
        <v>1</v>
      </c>
      <c r="C41" s="3" t="s">
        <v>139</v>
      </c>
    </row>
    <row r="42" spans="2:3" x14ac:dyDescent="0.25">
      <c r="B42" s="2">
        <v>2</v>
      </c>
      <c r="C42" s="3" t="s">
        <v>149</v>
      </c>
    </row>
    <row r="43" spans="2:3" x14ac:dyDescent="0.25">
      <c r="B43" s="2">
        <v>3</v>
      </c>
      <c r="C43" s="3" t="s">
        <v>150</v>
      </c>
    </row>
    <row r="45" spans="2:3" x14ac:dyDescent="0.25">
      <c r="B45" s="1" t="s">
        <v>77</v>
      </c>
    </row>
    <row r="46" spans="2:3" x14ac:dyDescent="0.25">
      <c r="B46" s="2" t="s">
        <v>0</v>
      </c>
      <c r="C46" s="2" t="s">
        <v>17</v>
      </c>
    </row>
    <row r="47" spans="2:3" x14ac:dyDescent="0.25">
      <c r="B47" s="2">
        <v>1</v>
      </c>
      <c r="C47" s="3" t="s">
        <v>176</v>
      </c>
    </row>
    <row r="48" spans="2:3" x14ac:dyDescent="0.25">
      <c r="B48" s="2">
        <v>2</v>
      </c>
      <c r="C48" s="3" t="s">
        <v>177</v>
      </c>
    </row>
    <row r="50" spans="2:3" x14ac:dyDescent="0.25">
      <c r="B50" s="1" t="s">
        <v>144</v>
      </c>
    </row>
    <row r="51" spans="2:3" x14ac:dyDescent="0.25">
      <c r="B51" s="2" t="s">
        <v>0</v>
      </c>
      <c r="C51" s="2" t="s">
        <v>17</v>
      </c>
    </row>
    <row r="52" spans="2:3" x14ac:dyDescent="0.25">
      <c r="B52" s="2">
        <v>1</v>
      </c>
      <c r="C52" s="3" t="s">
        <v>146</v>
      </c>
    </row>
    <row r="53" spans="2:3" x14ac:dyDescent="0.25">
      <c r="B53" s="2">
        <v>2</v>
      </c>
      <c r="C53" s="3" t="s">
        <v>184</v>
      </c>
    </row>
  </sheetData>
  <customSheetViews>
    <customSheetView guid="{FECB4C41-27E8-4A22-AFB3-4F54CDD4960E}">
      <selection activeCell="D4" sqref="D4"/>
      <pageMargins left="0.7" right="0.7" top="0.75" bottom="0.75" header="0.3" footer="0.3"/>
      <pageSetup orientation="portrait" horizontalDpi="300" verticalDpi="0" r:id="rId1"/>
    </customSheetView>
    <customSheetView guid="{3B3E6719-EACB-4D2C-89C1-05FFAB6020FD}" topLeftCell="A64">
      <selection activeCell="N31" sqref="N31"/>
      <pageMargins left="0.7" right="0.7" top="0.75" bottom="0.75" header="0.3" footer="0.3"/>
    </customSheetView>
    <customSheetView guid="{4E06BDBF-2CED-473B-850B-2A6C7311FF41}">
      <selection activeCell="C13" sqref="C13:C22"/>
      <pageMargins left="0.7" right="0.7" top="0.75" bottom="0.75" header="0.3" footer="0.3"/>
      <pageSetup orientation="portrait" horizontalDpi="300" verticalDpi="0" r:id="rId2"/>
    </customSheetView>
    <customSheetView guid="{99BC1C51-34DC-4BF2-906C-1E31B6171D71}">
      <selection activeCell="E40" sqref="E40"/>
      <pageMargins left="0.7" right="0.7" top="0.75" bottom="0.75" header="0.3" footer="0.3"/>
    </customSheetView>
    <customSheetView guid="{C94451EF-7A3E-4D72-B5A4-3D1B193192CC}" topLeftCell="A28">
      <selection activeCell="A27" sqref="A27:XFD27"/>
      <pageMargins left="0.7" right="0.7" top="0.75" bottom="0.75" header="0.3" footer="0.3"/>
    </customSheetView>
    <customSheetView guid="{7ECC2B8E-6A82-42F5-8AB0-4A51C54EA5EC}">
      <selection activeCell="C39" sqref="C39"/>
      <pageMargins left="0.7" right="0.7" top="0.75" bottom="0.75" header="0.3" footer="0.3"/>
    </customSheetView>
    <customSheetView guid="{A2C66332-A809-458E-971B-FDB6D62C74C3}" topLeftCell="A16">
      <selection activeCell="C37" sqref="C37"/>
      <pageMargins left="0.7" right="0.7" top="0.75" bottom="0.75" header="0.3" footer="0.3"/>
    </customSheetView>
    <customSheetView guid="{89C03E1E-B6A8-49A1-B29C-5DC4FAB2FBC6}">
      <selection activeCell="D4" sqref="D4"/>
      <pageMargins left="0.7" right="0.7" top="0.75" bottom="0.75" header="0.3" footer="0.3"/>
      <pageSetup orientation="portrait" horizontalDpi="300" verticalDpi="0" r:id="rId3"/>
    </customSheetView>
    <customSheetView guid="{60D2C030-4E31-4E07-8E1C-44D2EE84B177}">
      <selection activeCell="E40" sqref="E40"/>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970EE037-F5E5-47AF-896A-0F6222879EBC}">
      <selection activeCell="E23" sqref="E23"/>
      <pageMargins left="0.7" right="0.7" top="0.75" bottom="0.75" header="0.3" footer="0.3"/>
      <pageSetup orientation="portrait" horizontalDpi="300" verticalDpi="0" r:id="rId4"/>
    </customSheetView>
    <customSheetView guid="{F96FC7D9-4F89-4FE0-8D00-C0083DEB0472}">
      <selection activeCell="D4" sqref="D4"/>
      <pageMargins left="0.7" right="0.7" top="0.75" bottom="0.75" header="0.3" footer="0.3"/>
      <pageSetup orientation="portrait" horizontalDpi="300" verticalDpi="0" r:id="rId5"/>
    </customSheetView>
    <customSheetView guid="{7E0EA425-A420-4443-B9E0-CDF0AA9E5D09}">
      <selection activeCell="D4" sqref="D4"/>
      <pageMargins left="0.7" right="0.7" top="0.75" bottom="0.75" header="0.3" footer="0.3"/>
      <pageSetup orientation="portrait" horizontalDpi="300" verticalDpi="0" r:id="rId6"/>
    </customSheetView>
  </customSheetViews>
  <pageMargins left="0.7" right="0.7" top="0.75" bottom="0.75" header="0.3" footer="0.3"/>
  <pageSetup orientation="portrait" horizontalDpi="300" verticalDpi="0"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C12" sqref="C12"/>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2" t="s">
        <v>86</v>
      </c>
      <c r="C2" t="s">
        <v>87</v>
      </c>
    </row>
    <row r="3" spans="1:9" x14ac:dyDescent="0.25">
      <c r="B3" s="22" t="s">
        <v>89</v>
      </c>
      <c r="C3" t="s">
        <v>88</v>
      </c>
    </row>
    <row r="4" spans="1:9" x14ac:dyDescent="0.25">
      <c r="B4" s="22"/>
    </row>
    <row r="5" spans="1:9" x14ac:dyDescent="0.25">
      <c r="B5" s="21" t="s">
        <v>82</v>
      </c>
    </row>
    <row r="6" spans="1:9" x14ac:dyDescent="0.25">
      <c r="B6" s="22" t="s">
        <v>90</v>
      </c>
      <c r="C6" t="s">
        <v>91</v>
      </c>
    </row>
    <row r="7" spans="1:9" x14ac:dyDescent="0.25">
      <c r="B7" s="22"/>
    </row>
    <row r="8" spans="1:9" x14ac:dyDescent="0.25">
      <c r="B8" s="21" t="s">
        <v>83</v>
      </c>
      <c r="C8" t="s">
        <v>85</v>
      </c>
    </row>
    <row r="11" spans="1:9" x14ac:dyDescent="0.25">
      <c r="B11" s="24" t="s">
        <v>56</v>
      </c>
      <c r="C11" s="24" t="s">
        <v>8</v>
      </c>
      <c r="D11" s="24" t="s">
        <v>98</v>
      </c>
      <c r="E11" s="24" t="s">
        <v>99</v>
      </c>
      <c r="F11" s="24" t="s">
        <v>100</v>
      </c>
    </row>
    <row r="12" spans="1:9" x14ac:dyDescent="0.25">
      <c r="B12" s="25" t="s">
        <v>871</v>
      </c>
      <c r="C12" s="178" t="s">
        <v>103</v>
      </c>
      <c r="D12" s="3" t="s">
        <v>1831</v>
      </c>
      <c r="E12" s="3">
        <v>2.02</v>
      </c>
      <c r="F12" s="3" t="s">
        <v>102</v>
      </c>
      <c r="I12" t="s">
        <v>101</v>
      </c>
    </row>
    <row r="13" spans="1:9" x14ac:dyDescent="0.25">
      <c r="B13" s="26"/>
      <c r="C13" s="3" t="s">
        <v>105</v>
      </c>
      <c r="D13" s="14" t="s">
        <v>1832</v>
      </c>
      <c r="E13" s="3">
        <v>1.76</v>
      </c>
      <c r="F13" s="3" t="s">
        <v>102</v>
      </c>
      <c r="I13" t="s">
        <v>103</v>
      </c>
    </row>
    <row r="14" spans="1:9" x14ac:dyDescent="0.25">
      <c r="B14" s="26"/>
      <c r="C14" s="252" t="s">
        <v>205</v>
      </c>
      <c r="D14" s="14" t="s">
        <v>1833</v>
      </c>
      <c r="E14" s="3">
        <v>2</v>
      </c>
      <c r="F14" s="3" t="s">
        <v>102</v>
      </c>
      <c r="I14" t="s">
        <v>104</v>
      </c>
    </row>
    <row r="15" spans="1:9" x14ac:dyDescent="0.25">
      <c r="B15" s="27"/>
      <c r="C15" s="252" t="s">
        <v>104</v>
      </c>
      <c r="D15" s="14" t="s">
        <v>1834</v>
      </c>
      <c r="E15" s="3">
        <v>1.89</v>
      </c>
      <c r="F15" s="3" t="s">
        <v>102</v>
      </c>
      <c r="I15" t="s">
        <v>105</v>
      </c>
    </row>
    <row r="16" spans="1:9" x14ac:dyDescent="0.25">
      <c r="I16" t="s">
        <v>205</v>
      </c>
    </row>
    <row r="18" spans="1:1" x14ac:dyDescent="0.25">
      <c r="A18" s="1" t="s">
        <v>111</v>
      </c>
    </row>
    <row r="38" spans="2:2" x14ac:dyDescent="0.25">
      <c r="B38" t="s">
        <v>112</v>
      </c>
    </row>
    <row r="39" spans="2:2" x14ac:dyDescent="0.25">
      <c r="B39" t="s">
        <v>113</v>
      </c>
    </row>
  </sheetData>
  <customSheetViews>
    <customSheetView guid="{FECB4C41-27E8-4A22-AFB3-4F54CDD4960E}">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4E06BDBF-2CED-473B-850B-2A6C7311FF41}">
      <selection activeCell="B11" sqref="B11:F15"/>
      <pageMargins left="0.7" right="0.7" top="0.75" bottom="0.75" header="0.3" footer="0.3"/>
    </customSheetView>
    <customSheetView guid="{99BC1C51-34DC-4BF2-906C-1E31B6171D71}">
      <selection activeCell="I27" sqref="I27"/>
      <pageMargins left="0.7" right="0.7" top="0.75" bottom="0.75" header="0.3" footer="0.3"/>
    </customSheetView>
    <customSheetView guid="{C94451EF-7A3E-4D72-B5A4-3D1B193192CC}">
      <selection activeCell="D14" sqref="D14"/>
      <pageMargins left="0.7" right="0.7" top="0.75" bottom="0.75" header="0.3" footer="0.3"/>
    </customSheetView>
    <customSheetView guid="{7ECC2B8E-6A82-42F5-8AB0-4A51C54EA5EC}">
      <selection activeCell="B11" sqref="B11:F15"/>
      <pageMargins left="0.7" right="0.7" top="0.75" bottom="0.75" header="0.3" footer="0.3"/>
    </customSheetView>
    <customSheetView guid="{A2C66332-A809-458E-971B-FDB6D62C74C3}">
      <selection activeCell="D14" sqref="D14"/>
      <pageMargins left="0.7" right="0.7" top="0.75" bottom="0.75" header="0.3" footer="0.3"/>
    </customSheetView>
    <customSheetView guid="{89C03E1E-B6A8-49A1-B29C-5DC4FAB2FBC6}">
      <selection activeCell="C12" sqref="C12"/>
      <pageMargins left="0.7" right="0.7" top="0.75" bottom="0.75" header="0.3" footer="0.3"/>
    </customSheetView>
    <customSheetView guid="{60D2C030-4E31-4E07-8E1C-44D2EE84B177}">
      <selection activeCell="I27" sqref="I27"/>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970EE037-F5E5-47AF-896A-0F6222879EBC}" topLeftCell="A22">
      <selection activeCell="B11" sqref="B11:F15"/>
      <pageMargins left="0.7" right="0.7" top="0.75" bottom="0.75" header="0.3" footer="0.3"/>
    </customSheetView>
    <customSheetView guid="{F96FC7D9-4F89-4FE0-8D00-C0083DEB0472}">
      <selection activeCell="C12" sqref="C12"/>
      <pageMargins left="0.7" right="0.7" top="0.75" bottom="0.75" header="0.3" footer="0.3"/>
    </customSheetView>
    <customSheetView guid="{7E0EA425-A420-4443-B9E0-CDF0AA9E5D09}">
      <selection activeCell="C12" sqref="C12"/>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FECB4C41-27E8-4A22-AFB3-4F54CDD4960E}">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99BC1C51-34DC-4BF2-906C-1E31B6171D71}">
      <selection activeCell="P30" sqref="P30"/>
      <pageMargins left="0.7" right="0.7" top="0.75" bottom="0.75" header="0.3" footer="0.3"/>
    </customSheetView>
    <customSheetView guid="{C94451EF-7A3E-4D72-B5A4-3D1B193192CC}">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89C03E1E-B6A8-49A1-B29C-5DC4FAB2FBC6}">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970EE037-F5E5-47AF-896A-0F6222879EBC}">
      <selection activeCell="P30" sqref="P30"/>
      <pageMargins left="0.7" right="0.7" top="0.75" bottom="0.75" header="0.3" footer="0.3"/>
    </customSheetView>
    <customSheetView guid="{F96FC7D9-4F89-4FE0-8D00-C0083DEB0472}">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106" workbookViewId="0">
      <selection activeCell="A6" sqref="A6:XFD6"/>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74" t="s">
        <v>178</v>
      </c>
      <c r="B1" s="74" t="s">
        <v>163</v>
      </c>
      <c r="J1" s="75"/>
      <c r="K1" s="74" t="s">
        <v>178</v>
      </c>
      <c r="L1" s="74" t="s">
        <v>162</v>
      </c>
    </row>
    <row r="2" spans="1:18" x14ac:dyDescent="0.25">
      <c r="J2" s="75"/>
    </row>
    <row r="3" spans="1:18" x14ac:dyDescent="0.25">
      <c r="A3" s="1" t="s">
        <v>38</v>
      </c>
      <c r="B3" s="34">
        <v>43972</v>
      </c>
      <c r="D3" s="34">
        <v>44002</v>
      </c>
      <c r="F3" s="6"/>
      <c r="J3" s="75"/>
      <c r="K3" s="1" t="s">
        <v>38</v>
      </c>
      <c r="L3" s="34">
        <v>43952</v>
      </c>
      <c r="N3" s="34">
        <v>43955</v>
      </c>
      <c r="P3" s="6"/>
    </row>
    <row r="4" spans="1:18" x14ac:dyDescent="0.25">
      <c r="A4" s="1" t="s">
        <v>30</v>
      </c>
      <c r="B4" s="7">
        <v>2</v>
      </c>
      <c r="J4" s="75"/>
      <c r="K4" s="1" t="s">
        <v>30</v>
      </c>
      <c r="L4" s="7">
        <v>2</v>
      </c>
    </row>
    <row r="5" spans="1:18" x14ac:dyDescent="0.25">
      <c r="A5" s="1" t="s">
        <v>136</v>
      </c>
      <c r="B5" s="7">
        <v>1</v>
      </c>
      <c r="C5" t="s">
        <v>172</v>
      </c>
      <c r="J5" s="75"/>
      <c r="K5" s="1" t="s">
        <v>136</v>
      </c>
      <c r="L5" s="7">
        <v>1</v>
      </c>
      <c r="M5" t="s">
        <v>172</v>
      </c>
    </row>
    <row r="6" spans="1:18" x14ac:dyDescent="0.25">
      <c r="A6" s="1" t="s">
        <v>108</v>
      </c>
      <c r="B6">
        <v>1</v>
      </c>
      <c r="J6" s="75"/>
      <c r="K6" s="1" t="s">
        <v>108</v>
      </c>
      <c r="L6">
        <v>1</v>
      </c>
    </row>
    <row r="7" spans="1:18" x14ac:dyDescent="0.25">
      <c r="A7" s="1"/>
      <c r="J7" s="75"/>
      <c r="K7" s="1"/>
    </row>
    <row r="8" spans="1:18" x14ac:dyDescent="0.25">
      <c r="B8" s="1" t="s">
        <v>189</v>
      </c>
      <c r="J8" s="75"/>
      <c r="L8" s="1" t="s">
        <v>189</v>
      </c>
    </row>
    <row r="9" spans="1:18" ht="75" x14ac:dyDescent="0.25">
      <c r="C9" s="54" t="s">
        <v>25</v>
      </c>
      <c r="D9" s="54" t="s">
        <v>26</v>
      </c>
      <c r="E9" s="54" t="s">
        <v>27</v>
      </c>
      <c r="F9" s="54" t="s">
        <v>28</v>
      </c>
      <c r="G9" s="8" t="s">
        <v>99</v>
      </c>
      <c r="H9" s="8" t="s">
        <v>29</v>
      </c>
      <c r="J9" s="75"/>
      <c r="M9" s="54" t="s">
        <v>25</v>
      </c>
      <c r="N9" s="54" t="s">
        <v>26</v>
      </c>
      <c r="O9" s="54" t="s">
        <v>27</v>
      </c>
      <c r="P9" s="54" t="s">
        <v>28</v>
      </c>
      <c r="Q9" s="8" t="s">
        <v>99</v>
      </c>
      <c r="R9" s="8" t="s">
        <v>29</v>
      </c>
    </row>
    <row r="10" spans="1:18" x14ac:dyDescent="0.25">
      <c r="C10" s="59">
        <v>1</v>
      </c>
      <c r="D10" s="59" t="s">
        <v>3</v>
      </c>
      <c r="E10" s="59">
        <v>11319</v>
      </c>
      <c r="F10" s="59">
        <v>0</v>
      </c>
      <c r="G10" s="59">
        <v>25.153333333333332</v>
      </c>
      <c r="H10" s="40">
        <v>0</v>
      </c>
      <c r="J10" s="75"/>
      <c r="M10" s="59">
        <v>1</v>
      </c>
      <c r="N10" s="59" t="s">
        <v>3</v>
      </c>
      <c r="O10" s="59">
        <v>3852.2249999999999</v>
      </c>
      <c r="P10" s="59">
        <v>0</v>
      </c>
      <c r="Q10" s="59">
        <v>8.5604999999999993</v>
      </c>
      <c r="R10" s="40">
        <v>0</v>
      </c>
    </row>
    <row r="11" spans="1:18" x14ac:dyDescent="0.25">
      <c r="C11" s="59">
        <v>2</v>
      </c>
      <c r="D11" s="59" t="s">
        <v>2</v>
      </c>
      <c r="E11" s="59">
        <v>136</v>
      </c>
      <c r="F11" s="59">
        <v>18</v>
      </c>
      <c r="G11" s="59">
        <v>1.0461538461538462</v>
      </c>
      <c r="H11" s="40">
        <v>0.13235294117647059</v>
      </c>
      <c r="J11" s="75"/>
      <c r="M11" s="59">
        <v>2</v>
      </c>
      <c r="N11" s="59" t="s">
        <v>2</v>
      </c>
      <c r="O11" s="59">
        <v>299</v>
      </c>
      <c r="P11" s="59">
        <v>0</v>
      </c>
      <c r="Q11" s="59">
        <v>2.2999999999999998</v>
      </c>
      <c r="R11" s="40">
        <v>0</v>
      </c>
    </row>
    <row r="12" spans="1:18" x14ac:dyDescent="0.25">
      <c r="C12" s="32"/>
      <c r="D12" s="30"/>
      <c r="E12" s="30"/>
      <c r="F12" s="30"/>
      <c r="G12" s="33"/>
      <c r="J12" s="75"/>
      <c r="M12" s="32"/>
      <c r="N12" s="30"/>
      <c r="O12" s="30"/>
      <c r="P12" s="30"/>
      <c r="Q12" s="33"/>
    </row>
    <row r="13" spans="1:18" x14ac:dyDescent="0.25">
      <c r="B13" s="1" t="s">
        <v>190</v>
      </c>
      <c r="J13" s="75"/>
      <c r="L13" s="1" t="s">
        <v>190</v>
      </c>
    </row>
    <row r="14" spans="1:18" ht="45" x14ac:dyDescent="0.25">
      <c r="C14" s="54" t="s">
        <v>25</v>
      </c>
      <c r="D14" s="54" t="s">
        <v>31</v>
      </c>
      <c r="E14" s="8" t="s">
        <v>32</v>
      </c>
      <c r="F14" s="8" t="s">
        <v>33</v>
      </c>
      <c r="G14" s="8" t="s">
        <v>133</v>
      </c>
      <c r="H14" s="8" t="s">
        <v>134</v>
      </c>
      <c r="J14" s="75"/>
      <c r="M14" s="54" t="s">
        <v>25</v>
      </c>
      <c r="N14" s="54" t="s">
        <v>31</v>
      </c>
      <c r="O14" s="8" t="s">
        <v>32</v>
      </c>
      <c r="P14" s="8" t="s">
        <v>33</v>
      </c>
      <c r="Q14" s="8" t="s">
        <v>133</v>
      </c>
      <c r="R14" s="8" t="s">
        <v>134</v>
      </c>
    </row>
    <row r="15" spans="1:18" x14ac:dyDescent="0.25">
      <c r="C15" s="59">
        <v>1</v>
      </c>
      <c r="D15" s="28" t="s">
        <v>114</v>
      </c>
      <c r="E15" s="59">
        <v>0</v>
      </c>
      <c r="F15" s="59">
        <v>0</v>
      </c>
      <c r="G15" s="59">
        <v>0</v>
      </c>
      <c r="H15" s="59">
        <v>0</v>
      </c>
      <c r="J15" s="75"/>
      <c r="M15" s="59">
        <v>1</v>
      </c>
      <c r="N15" s="28" t="s">
        <v>114</v>
      </c>
      <c r="O15" s="59">
        <v>0</v>
      </c>
      <c r="P15" s="59">
        <v>0</v>
      </c>
      <c r="Q15" s="59">
        <v>0</v>
      </c>
      <c r="R15" s="59">
        <v>0</v>
      </c>
    </row>
    <row r="16" spans="1:18" x14ac:dyDescent="0.25">
      <c r="C16" s="59">
        <v>2</v>
      </c>
      <c r="D16" s="28" t="s">
        <v>115</v>
      </c>
      <c r="E16" s="59">
        <v>0</v>
      </c>
      <c r="F16" s="59">
        <v>0</v>
      </c>
      <c r="G16" s="59">
        <v>0</v>
      </c>
      <c r="H16" s="59">
        <v>0</v>
      </c>
      <c r="J16" s="75"/>
      <c r="M16" s="59">
        <v>2</v>
      </c>
      <c r="N16" s="28" t="s">
        <v>115</v>
      </c>
      <c r="O16" s="59">
        <v>0</v>
      </c>
      <c r="P16" s="59">
        <v>0</v>
      </c>
      <c r="Q16" s="59">
        <v>0</v>
      </c>
      <c r="R16" s="59">
        <v>0</v>
      </c>
    </row>
    <row r="17" spans="2:18" x14ac:dyDescent="0.25">
      <c r="C17" s="59">
        <v>3</v>
      </c>
      <c r="D17" s="28" t="s">
        <v>116</v>
      </c>
      <c r="E17" s="59">
        <v>0</v>
      </c>
      <c r="F17" s="59">
        <v>0</v>
      </c>
      <c r="G17" s="59">
        <v>0</v>
      </c>
      <c r="H17" s="59">
        <v>0</v>
      </c>
      <c r="J17" s="75"/>
      <c r="M17" s="59">
        <v>3</v>
      </c>
      <c r="N17" s="28" t="s">
        <v>116</v>
      </c>
      <c r="O17" s="59">
        <v>0</v>
      </c>
      <c r="P17" s="59">
        <v>0</v>
      </c>
      <c r="Q17" s="59">
        <v>0</v>
      </c>
      <c r="R17" s="59">
        <v>0</v>
      </c>
    </row>
    <row r="18" spans="2:18" x14ac:dyDescent="0.25">
      <c r="C18" s="59">
        <v>4</v>
      </c>
      <c r="D18" s="28" t="s">
        <v>117</v>
      </c>
      <c r="E18" s="59">
        <v>0</v>
      </c>
      <c r="F18" s="59">
        <v>0</v>
      </c>
      <c r="G18" s="59">
        <v>0</v>
      </c>
      <c r="H18" s="59">
        <v>0</v>
      </c>
      <c r="J18" s="75"/>
      <c r="M18" s="59">
        <v>4</v>
      </c>
      <c r="N18" s="28" t="s">
        <v>117</v>
      </c>
      <c r="O18" s="59">
        <v>0</v>
      </c>
      <c r="P18" s="59">
        <v>0</v>
      </c>
      <c r="Q18" s="59">
        <v>0</v>
      </c>
      <c r="R18" s="59">
        <v>0</v>
      </c>
    </row>
    <row r="19" spans="2:18" x14ac:dyDescent="0.25">
      <c r="C19" s="59">
        <v>5</v>
      </c>
      <c r="D19" s="28" t="s">
        <v>167</v>
      </c>
      <c r="E19" s="59">
        <v>0</v>
      </c>
      <c r="F19" s="59">
        <v>0</v>
      </c>
      <c r="G19" s="59">
        <v>0</v>
      </c>
      <c r="H19" s="59">
        <v>0</v>
      </c>
      <c r="J19" s="75"/>
      <c r="M19" s="59">
        <v>5</v>
      </c>
      <c r="N19" s="28" t="s">
        <v>167</v>
      </c>
      <c r="O19" s="59">
        <v>0</v>
      </c>
      <c r="P19" s="59">
        <v>0</v>
      </c>
      <c r="Q19" s="59">
        <v>0</v>
      </c>
      <c r="R19" s="59">
        <v>0</v>
      </c>
    </row>
    <row r="20" spans="2:18" x14ac:dyDescent="0.25">
      <c r="C20" s="59">
        <v>6</v>
      </c>
      <c r="D20" s="28" t="s">
        <v>168</v>
      </c>
      <c r="E20" s="59">
        <v>0</v>
      </c>
      <c r="F20" s="59">
        <v>0</v>
      </c>
      <c r="G20" s="59">
        <v>0</v>
      </c>
      <c r="H20" s="59">
        <v>0</v>
      </c>
      <c r="J20" s="75"/>
      <c r="M20" s="59">
        <v>6</v>
      </c>
      <c r="N20" s="28" t="s">
        <v>168</v>
      </c>
      <c r="O20" s="59">
        <v>0</v>
      </c>
      <c r="P20" s="59">
        <v>0</v>
      </c>
      <c r="Q20" s="59">
        <v>0</v>
      </c>
      <c r="R20" s="59">
        <v>0</v>
      </c>
    </row>
    <row r="21" spans="2:18" x14ac:dyDescent="0.25">
      <c r="C21" s="59">
        <v>7</v>
      </c>
      <c r="D21" s="28" t="s">
        <v>169</v>
      </c>
      <c r="E21" s="59">
        <v>0</v>
      </c>
      <c r="F21" s="59">
        <v>18</v>
      </c>
      <c r="G21" s="59">
        <v>0</v>
      </c>
      <c r="H21" s="59">
        <v>0.13846153846153847</v>
      </c>
      <c r="J21" s="75"/>
      <c r="M21" s="59">
        <v>7</v>
      </c>
      <c r="N21" s="28" t="s">
        <v>169</v>
      </c>
      <c r="O21" s="59">
        <v>0</v>
      </c>
      <c r="P21" s="59">
        <v>0</v>
      </c>
      <c r="Q21" s="59">
        <v>0</v>
      </c>
      <c r="R21" s="59">
        <v>0</v>
      </c>
    </row>
    <row r="22" spans="2:18" x14ac:dyDescent="0.25">
      <c r="C22" s="59">
        <v>8</v>
      </c>
      <c r="D22" s="28" t="s">
        <v>170</v>
      </c>
      <c r="E22" s="59">
        <v>0</v>
      </c>
      <c r="F22" s="59">
        <v>0</v>
      </c>
      <c r="G22" s="59">
        <v>0</v>
      </c>
      <c r="H22" s="59">
        <v>0</v>
      </c>
      <c r="J22" s="75"/>
      <c r="M22" s="59">
        <v>8</v>
      </c>
      <c r="N22" s="28" t="s">
        <v>170</v>
      </c>
      <c r="O22" s="59">
        <v>0</v>
      </c>
      <c r="P22" s="59">
        <v>0</v>
      </c>
      <c r="Q22" s="59">
        <v>0</v>
      </c>
      <c r="R22" s="59">
        <v>0</v>
      </c>
    </row>
    <row r="23" spans="2:18" x14ac:dyDescent="0.25">
      <c r="C23" s="59">
        <v>9</v>
      </c>
      <c r="D23" s="28" t="s">
        <v>158</v>
      </c>
      <c r="E23" s="59">
        <v>0</v>
      </c>
      <c r="F23" s="59">
        <v>0</v>
      </c>
      <c r="G23" s="59">
        <v>0</v>
      </c>
      <c r="H23" s="59">
        <v>0</v>
      </c>
      <c r="J23" s="75"/>
      <c r="M23" s="59">
        <v>9</v>
      </c>
      <c r="N23" s="28" t="s">
        <v>158</v>
      </c>
      <c r="O23" s="59">
        <v>0</v>
      </c>
      <c r="P23" s="59">
        <v>0</v>
      </c>
      <c r="Q23" s="59">
        <v>0</v>
      </c>
      <c r="R23" s="59">
        <v>0</v>
      </c>
    </row>
    <row r="24" spans="2:18" x14ac:dyDescent="0.25">
      <c r="C24" s="59">
        <v>10</v>
      </c>
      <c r="D24" s="28" t="s">
        <v>157</v>
      </c>
      <c r="E24" s="59">
        <v>0</v>
      </c>
      <c r="F24" s="59">
        <v>0</v>
      </c>
      <c r="G24" s="59">
        <v>0</v>
      </c>
      <c r="H24" s="59">
        <v>0</v>
      </c>
      <c r="J24" s="75"/>
      <c r="M24" s="59">
        <v>10</v>
      </c>
      <c r="N24" s="28" t="s">
        <v>157</v>
      </c>
      <c r="O24" s="59">
        <v>0</v>
      </c>
      <c r="P24" s="59">
        <v>0</v>
      </c>
      <c r="Q24" s="59">
        <v>0</v>
      </c>
      <c r="R24" s="59">
        <v>0</v>
      </c>
    </row>
    <row r="25" spans="2:18" x14ac:dyDescent="0.25">
      <c r="C25" s="29"/>
      <c r="D25" s="29"/>
      <c r="E25" s="30"/>
      <c r="F25" s="30"/>
      <c r="J25" s="75"/>
      <c r="M25" s="29"/>
      <c r="N25" s="29"/>
      <c r="O25" s="30"/>
      <c r="P25" s="30"/>
    </row>
    <row r="26" spans="2:18" x14ac:dyDescent="0.25">
      <c r="B26" s="1" t="s">
        <v>34</v>
      </c>
      <c r="J26" s="75"/>
      <c r="L26" s="1" t="s">
        <v>34</v>
      </c>
    </row>
    <row r="27" spans="2:18" x14ac:dyDescent="0.25">
      <c r="C27" s="54" t="s">
        <v>25</v>
      </c>
      <c r="D27" s="49" t="s">
        <v>35</v>
      </c>
      <c r="E27" s="50"/>
      <c r="F27" s="51"/>
      <c r="J27" s="75"/>
      <c r="M27" s="54" t="s">
        <v>25</v>
      </c>
      <c r="N27" s="49" t="s">
        <v>35</v>
      </c>
      <c r="O27" s="50"/>
      <c r="P27" s="51"/>
    </row>
    <row r="28" spans="2:18" x14ac:dyDescent="0.25">
      <c r="C28" s="59">
        <v>1</v>
      </c>
      <c r="D28" s="36" t="s">
        <v>61</v>
      </c>
      <c r="E28" s="37"/>
      <c r="F28" s="38"/>
      <c r="J28" s="75"/>
      <c r="M28" s="59">
        <v>1</v>
      </c>
      <c r="N28" s="36" t="s">
        <v>61</v>
      </c>
      <c r="O28" s="37"/>
      <c r="P28" s="38"/>
    </row>
    <row r="29" spans="2:18" x14ac:dyDescent="0.25">
      <c r="C29" s="59">
        <v>2</v>
      </c>
      <c r="D29" s="36" t="s">
        <v>61</v>
      </c>
      <c r="E29" s="37"/>
      <c r="F29" s="38"/>
      <c r="J29" s="75"/>
      <c r="M29" s="59">
        <v>2</v>
      </c>
      <c r="N29" s="36" t="s">
        <v>61</v>
      </c>
      <c r="O29" s="37"/>
      <c r="P29" s="38"/>
    </row>
    <row r="30" spans="2:18" x14ac:dyDescent="0.25">
      <c r="C30" s="59">
        <v>3</v>
      </c>
      <c r="D30" s="36" t="s">
        <v>61</v>
      </c>
      <c r="E30" s="37"/>
      <c r="F30" s="38"/>
      <c r="J30" s="75"/>
      <c r="M30" s="59">
        <v>3</v>
      </c>
      <c r="N30" s="36" t="s">
        <v>61</v>
      </c>
      <c r="O30" s="37"/>
      <c r="P30" s="38"/>
    </row>
    <row r="31" spans="2:18" x14ac:dyDescent="0.25">
      <c r="C31" s="59">
        <v>4</v>
      </c>
      <c r="D31" s="36" t="s">
        <v>61</v>
      </c>
      <c r="E31" s="37"/>
      <c r="F31" s="38"/>
      <c r="J31" s="75"/>
      <c r="M31" s="59">
        <v>4</v>
      </c>
      <c r="N31" s="36" t="s">
        <v>61</v>
      </c>
      <c r="O31" s="37"/>
      <c r="P31" s="38"/>
    </row>
    <row r="32" spans="2:18" x14ac:dyDescent="0.25">
      <c r="J32" s="75"/>
    </row>
    <row r="33" spans="2:16" x14ac:dyDescent="0.25">
      <c r="B33" s="1" t="s">
        <v>191</v>
      </c>
      <c r="J33" s="75"/>
      <c r="L33" s="1" t="s">
        <v>191</v>
      </c>
    </row>
    <row r="34" spans="2:16" ht="30" x14ac:dyDescent="0.25">
      <c r="C34" s="54" t="s">
        <v>25</v>
      </c>
      <c r="D34" s="54" t="s">
        <v>31</v>
      </c>
      <c r="E34" s="8" t="s">
        <v>131</v>
      </c>
      <c r="F34" s="8" t="s">
        <v>132</v>
      </c>
      <c r="J34" s="75"/>
      <c r="M34" s="54" t="s">
        <v>25</v>
      </c>
      <c r="N34" s="54" t="s">
        <v>31</v>
      </c>
      <c r="O34" s="8" t="s">
        <v>131</v>
      </c>
      <c r="P34" s="8" t="s">
        <v>132</v>
      </c>
    </row>
    <row r="35" spans="2:16" x14ac:dyDescent="0.25">
      <c r="C35" s="59">
        <v>1</v>
      </c>
      <c r="D35" s="28" t="s">
        <v>114</v>
      </c>
      <c r="E35" s="58">
        <v>0</v>
      </c>
      <c r="F35" s="59">
        <v>0</v>
      </c>
      <c r="J35" s="75"/>
      <c r="M35" s="59">
        <v>1</v>
      </c>
      <c r="N35" s="28" t="s">
        <v>114</v>
      </c>
      <c r="O35" s="58">
        <v>0</v>
      </c>
      <c r="P35" s="59">
        <v>0</v>
      </c>
    </row>
    <row r="36" spans="2:16" x14ac:dyDescent="0.25">
      <c r="C36" s="59">
        <v>2</v>
      </c>
      <c r="D36" s="28" t="s">
        <v>115</v>
      </c>
      <c r="E36" s="58">
        <v>0</v>
      </c>
      <c r="F36" s="59">
        <v>0</v>
      </c>
      <c r="J36" s="75"/>
      <c r="M36" s="59">
        <v>2</v>
      </c>
      <c r="N36" s="28" t="s">
        <v>115</v>
      </c>
      <c r="O36" s="58">
        <v>0</v>
      </c>
      <c r="P36" s="59">
        <v>0</v>
      </c>
    </row>
    <row r="37" spans="2:16" x14ac:dyDescent="0.25">
      <c r="C37" s="59">
        <v>3</v>
      </c>
      <c r="D37" s="28" t="s">
        <v>116</v>
      </c>
      <c r="E37" s="58">
        <v>0</v>
      </c>
      <c r="F37" s="59">
        <v>0</v>
      </c>
      <c r="J37" s="75"/>
      <c r="M37" s="59">
        <v>3</v>
      </c>
      <c r="N37" s="28" t="s">
        <v>116</v>
      </c>
      <c r="O37" s="58">
        <v>0</v>
      </c>
      <c r="P37" s="59">
        <v>0</v>
      </c>
    </row>
    <row r="38" spans="2:16" x14ac:dyDescent="0.25">
      <c r="C38" s="59">
        <v>4</v>
      </c>
      <c r="D38" s="28" t="s">
        <v>117</v>
      </c>
      <c r="E38" s="58">
        <v>0</v>
      </c>
      <c r="F38" s="59">
        <v>0</v>
      </c>
      <c r="J38" s="75"/>
      <c r="M38" s="59">
        <v>4</v>
      </c>
      <c r="N38" s="28" t="s">
        <v>117</v>
      </c>
      <c r="O38" s="58">
        <v>0</v>
      </c>
      <c r="P38" s="59">
        <v>0</v>
      </c>
    </row>
    <row r="39" spans="2:16" x14ac:dyDescent="0.25">
      <c r="C39" s="59">
        <v>5</v>
      </c>
      <c r="D39" s="28" t="s">
        <v>167</v>
      </c>
      <c r="E39" s="58">
        <v>0</v>
      </c>
      <c r="F39" s="59">
        <v>0</v>
      </c>
      <c r="J39" s="75"/>
      <c r="M39" s="59">
        <v>5</v>
      </c>
      <c r="N39" s="28" t="s">
        <v>167</v>
      </c>
      <c r="O39" s="58">
        <v>0</v>
      </c>
      <c r="P39" s="59">
        <v>0</v>
      </c>
    </row>
    <row r="40" spans="2:16" x14ac:dyDescent="0.25">
      <c r="C40" s="59">
        <v>6</v>
      </c>
      <c r="D40" s="28" t="s">
        <v>168</v>
      </c>
      <c r="E40" s="58">
        <v>0</v>
      </c>
      <c r="F40" s="59">
        <v>0</v>
      </c>
      <c r="J40" s="75"/>
      <c r="M40" s="59">
        <v>6</v>
      </c>
      <c r="N40" s="28" t="s">
        <v>168</v>
      </c>
      <c r="O40" s="58">
        <v>0</v>
      </c>
      <c r="P40" s="59">
        <v>0</v>
      </c>
    </row>
    <row r="41" spans="2:16" x14ac:dyDescent="0.25">
      <c r="C41" s="59">
        <v>7</v>
      </c>
      <c r="D41" s="28" t="s">
        <v>169</v>
      </c>
      <c r="E41" s="58">
        <v>0</v>
      </c>
      <c r="F41" s="59">
        <v>0</v>
      </c>
      <c r="J41" s="75"/>
      <c r="M41" s="59">
        <v>7</v>
      </c>
      <c r="N41" s="28" t="s">
        <v>169</v>
      </c>
      <c r="O41" s="58">
        <v>0</v>
      </c>
      <c r="P41" s="59">
        <v>0</v>
      </c>
    </row>
    <row r="42" spans="2:16" x14ac:dyDescent="0.25">
      <c r="C42" s="59">
        <v>8</v>
      </c>
      <c r="D42" s="28" t="s">
        <v>170</v>
      </c>
      <c r="E42" s="58">
        <v>0</v>
      </c>
      <c r="F42" s="59">
        <v>0</v>
      </c>
      <c r="J42" s="75"/>
      <c r="M42" s="59">
        <v>8</v>
      </c>
      <c r="N42" s="28" t="s">
        <v>170</v>
      </c>
      <c r="O42" s="58">
        <v>0</v>
      </c>
      <c r="P42" s="59">
        <v>0</v>
      </c>
    </row>
    <row r="43" spans="2:16" x14ac:dyDescent="0.25">
      <c r="C43" s="59">
        <v>9</v>
      </c>
      <c r="D43" s="28" t="s">
        <v>158</v>
      </c>
      <c r="E43" s="58">
        <v>0</v>
      </c>
      <c r="F43" s="59">
        <v>0</v>
      </c>
      <c r="J43" s="75"/>
      <c r="M43" s="59">
        <v>9</v>
      </c>
      <c r="N43" s="28" t="s">
        <v>158</v>
      </c>
      <c r="O43" s="58">
        <v>0</v>
      </c>
      <c r="P43" s="59">
        <v>0</v>
      </c>
    </row>
    <row r="44" spans="2:16" x14ac:dyDescent="0.25">
      <c r="C44" s="59">
        <v>10</v>
      </c>
      <c r="D44" s="28" t="s">
        <v>157</v>
      </c>
      <c r="E44" s="58">
        <v>0</v>
      </c>
      <c r="F44" s="59">
        <v>0</v>
      </c>
      <c r="J44" s="75"/>
      <c r="M44" s="59">
        <v>10</v>
      </c>
      <c r="N44" s="28" t="s">
        <v>157</v>
      </c>
      <c r="O44" s="58">
        <v>0</v>
      </c>
      <c r="P44" s="59">
        <v>0</v>
      </c>
    </row>
    <row r="45" spans="2:16" x14ac:dyDescent="0.25">
      <c r="C45" s="30"/>
      <c r="D45" s="29"/>
      <c r="E45" s="60"/>
      <c r="F45" s="30"/>
      <c r="J45" s="75"/>
      <c r="M45" s="30"/>
      <c r="N45" s="29"/>
      <c r="O45" s="60"/>
      <c r="P45" s="30"/>
    </row>
    <row r="46" spans="2:16" x14ac:dyDescent="0.25">
      <c r="B46" s="1" t="s">
        <v>192</v>
      </c>
      <c r="J46" s="75"/>
      <c r="L46" s="1" t="s">
        <v>192</v>
      </c>
    </row>
    <row r="47" spans="2:16" ht="30" x14ac:dyDescent="0.25">
      <c r="C47" s="54" t="s">
        <v>25</v>
      </c>
      <c r="D47" s="54" t="s">
        <v>31</v>
      </c>
      <c r="E47" s="8" t="s">
        <v>36</v>
      </c>
      <c r="F47" s="8" t="s">
        <v>37</v>
      </c>
      <c r="J47" s="75"/>
      <c r="M47" s="54" t="s">
        <v>25</v>
      </c>
      <c r="N47" s="54" t="s">
        <v>31</v>
      </c>
      <c r="O47" s="8" t="s">
        <v>36</v>
      </c>
      <c r="P47" s="8" t="s">
        <v>37</v>
      </c>
    </row>
    <row r="48" spans="2:16" x14ac:dyDescent="0.25">
      <c r="C48" s="59">
        <v>1</v>
      </c>
      <c r="D48" s="28" t="s">
        <v>114</v>
      </c>
      <c r="E48" s="58" t="s">
        <v>61</v>
      </c>
      <c r="F48" s="58" t="s">
        <v>61</v>
      </c>
      <c r="J48" s="75"/>
      <c r="M48" s="59">
        <v>1</v>
      </c>
      <c r="N48" s="28" t="s">
        <v>114</v>
      </c>
      <c r="O48" s="58" t="s">
        <v>61</v>
      </c>
      <c r="P48" s="58" t="s">
        <v>61</v>
      </c>
    </row>
    <row r="49" spans="2:16" x14ac:dyDescent="0.25">
      <c r="C49" s="59">
        <v>2</v>
      </c>
      <c r="D49" s="28" t="s">
        <v>115</v>
      </c>
      <c r="E49" s="58" t="s">
        <v>61</v>
      </c>
      <c r="F49" s="58" t="s">
        <v>61</v>
      </c>
      <c r="J49" s="75"/>
      <c r="M49" s="59">
        <v>2</v>
      </c>
      <c r="N49" s="28" t="s">
        <v>115</v>
      </c>
      <c r="O49" s="58" t="s">
        <v>61</v>
      </c>
      <c r="P49" s="58" t="s">
        <v>61</v>
      </c>
    </row>
    <row r="50" spans="2:16" x14ac:dyDescent="0.25">
      <c r="C50" s="59">
        <v>3</v>
      </c>
      <c r="D50" s="28" t="s">
        <v>116</v>
      </c>
      <c r="E50" s="58" t="s">
        <v>61</v>
      </c>
      <c r="F50" s="58" t="s">
        <v>61</v>
      </c>
      <c r="J50" s="75"/>
      <c r="M50" s="59">
        <v>3</v>
      </c>
      <c r="N50" s="28" t="s">
        <v>116</v>
      </c>
      <c r="O50" s="58" t="s">
        <v>61</v>
      </c>
      <c r="P50" s="58" t="s">
        <v>61</v>
      </c>
    </row>
    <row r="51" spans="2:16" x14ac:dyDescent="0.25">
      <c r="C51" s="59">
        <v>4</v>
      </c>
      <c r="D51" s="28" t="s">
        <v>117</v>
      </c>
      <c r="E51" s="58" t="s">
        <v>61</v>
      </c>
      <c r="F51" s="58" t="s">
        <v>61</v>
      </c>
      <c r="J51" s="75"/>
      <c r="M51" s="59">
        <v>4</v>
      </c>
      <c r="N51" s="28" t="s">
        <v>117</v>
      </c>
      <c r="O51" s="58" t="s">
        <v>61</v>
      </c>
      <c r="P51" s="58" t="s">
        <v>61</v>
      </c>
    </row>
    <row r="52" spans="2:16" x14ac:dyDescent="0.25">
      <c r="C52" s="59">
        <v>5</v>
      </c>
      <c r="D52" s="28" t="s">
        <v>167</v>
      </c>
      <c r="E52" s="58" t="s">
        <v>61</v>
      </c>
      <c r="F52" s="58" t="s">
        <v>61</v>
      </c>
      <c r="J52" s="75"/>
      <c r="M52" s="59">
        <v>5</v>
      </c>
      <c r="N52" s="28" t="s">
        <v>167</v>
      </c>
      <c r="O52" s="58" t="s">
        <v>61</v>
      </c>
      <c r="P52" s="58" t="s">
        <v>61</v>
      </c>
    </row>
    <row r="53" spans="2:16" x14ac:dyDescent="0.25">
      <c r="C53" s="59">
        <v>6</v>
      </c>
      <c r="D53" s="28" t="s">
        <v>168</v>
      </c>
      <c r="E53" s="58" t="s">
        <v>61</v>
      </c>
      <c r="F53" s="58" t="s">
        <v>61</v>
      </c>
      <c r="J53" s="75"/>
      <c r="M53" s="59">
        <v>6</v>
      </c>
      <c r="N53" s="28" t="s">
        <v>168</v>
      </c>
      <c r="O53" s="58" t="s">
        <v>61</v>
      </c>
      <c r="P53" s="58" t="s">
        <v>61</v>
      </c>
    </row>
    <row r="54" spans="2:16" x14ac:dyDescent="0.25">
      <c r="C54" s="59">
        <v>7</v>
      </c>
      <c r="D54" s="28" t="s">
        <v>169</v>
      </c>
      <c r="E54" s="58" t="s">
        <v>61</v>
      </c>
      <c r="F54" s="58" t="s">
        <v>61</v>
      </c>
      <c r="J54" s="75"/>
      <c r="M54" s="59">
        <v>7</v>
      </c>
      <c r="N54" s="28" t="s">
        <v>169</v>
      </c>
      <c r="O54" s="58" t="s">
        <v>61</v>
      </c>
      <c r="P54" s="58" t="s">
        <v>61</v>
      </c>
    </row>
    <row r="55" spans="2:16" x14ac:dyDescent="0.25">
      <c r="C55" s="59">
        <v>8</v>
      </c>
      <c r="D55" s="28" t="s">
        <v>170</v>
      </c>
      <c r="E55" s="58" t="s">
        <v>61</v>
      </c>
      <c r="F55" s="58" t="s">
        <v>61</v>
      </c>
      <c r="J55" s="75"/>
      <c r="M55" s="59">
        <v>8</v>
      </c>
      <c r="N55" s="28" t="s">
        <v>170</v>
      </c>
      <c r="O55" s="58" t="s">
        <v>61</v>
      </c>
      <c r="P55" s="58" t="s">
        <v>61</v>
      </c>
    </row>
    <row r="56" spans="2:16" x14ac:dyDescent="0.25">
      <c r="C56" s="59">
        <v>9</v>
      </c>
      <c r="D56" s="28" t="s">
        <v>158</v>
      </c>
      <c r="E56" s="58" t="s">
        <v>61</v>
      </c>
      <c r="F56" s="58" t="s">
        <v>61</v>
      </c>
      <c r="J56" s="75"/>
      <c r="M56" s="59">
        <v>9</v>
      </c>
      <c r="N56" s="28" t="s">
        <v>158</v>
      </c>
      <c r="O56" s="58" t="s">
        <v>61</v>
      </c>
      <c r="P56" s="58" t="s">
        <v>61</v>
      </c>
    </row>
    <row r="57" spans="2:16" x14ac:dyDescent="0.25">
      <c r="C57" s="59">
        <v>10</v>
      </c>
      <c r="D57" s="28" t="s">
        <v>157</v>
      </c>
      <c r="E57" s="58" t="s">
        <v>61</v>
      </c>
      <c r="F57" s="58" t="s">
        <v>61</v>
      </c>
      <c r="J57" s="75"/>
      <c r="M57" s="59">
        <v>10</v>
      </c>
      <c r="N57" s="28" t="s">
        <v>157</v>
      </c>
      <c r="O57" s="58" t="s">
        <v>61</v>
      </c>
      <c r="P57" s="58" t="s">
        <v>61</v>
      </c>
    </row>
    <row r="58" spans="2:16" x14ac:dyDescent="0.25">
      <c r="C58" s="30"/>
      <c r="D58" s="29"/>
      <c r="E58" s="60"/>
      <c r="F58" s="60"/>
      <c r="J58" s="75"/>
      <c r="M58" s="30"/>
      <c r="N58" s="29"/>
      <c r="O58" s="60"/>
      <c r="P58" s="60"/>
    </row>
    <row r="59" spans="2:16" x14ac:dyDescent="0.25">
      <c r="C59" s="30"/>
      <c r="D59" s="29"/>
      <c r="E59" s="60"/>
      <c r="F59" s="60"/>
      <c r="J59" s="75"/>
      <c r="M59" s="30"/>
      <c r="N59" s="29"/>
      <c r="O59" s="60"/>
      <c r="P59" s="60"/>
    </row>
    <row r="60" spans="2:16" x14ac:dyDescent="0.25">
      <c r="B60" s="1" t="s">
        <v>39</v>
      </c>
      <c r="J60" s="75"/>
      <c r="L60" s="1" t="s">
        <v>39</v>
      </c>
    </row>
    <row r="61" spans="2:16" x14ac:dyDescent="0.25">
      <c r="C61" s="1" t="s">
        <v>41</v>
      </c>
      <c r="J61" s="75"/>
      <c r="M61" s="1" t="s">
        <v>41</v>
      </c>
    </row>
    <row r="62" spans="2:16" x14ac:dyDescent="0.25">
      <c r="D62" t="s">
        <v>40</v>
      </c>
      <c r="J62" s="75"/>
      <c r="N62" t="s">
        <v>40</v>
      </c>
    </row>
    <row r="63" spans="2:16" x14ac:dyDescent="0.25">
      <c r="D63" t="s">
        <v>97</v>
      </c>
      <c r="J63" s="75"/>
      <c r="N63" t="s">
        <v>97</v>
      </c>
    </row>
    <row r="64" spans="2:16" x14ac:dyDescent="0.25">
      <c r="C64" s="1" t="s">
        <v>42</v>
      </c>
      <c r="J64" s="75"/>
      <c r="M64" s="1" t="s">
        <v>42</v>
      </c>
    </row>
    <row r="65" spans="2:14" x14ac:dyDescent="0.25">
      <c r="D65" t="s">
        <v>43</v>
      </c>
      <c r="J65" s="75"/>
      <c r="N65" t="s">
        <v>43</v>
      </c>
    </row>
    <row r="66" spans="2:14" x14ac:dyDescent="0.25">
      <c r="D66" t="s">
        <v>44</v>
      </c>
      <c r="J66" s="75"/>
      <c r="N66" t="s">
        <v>44</v>
      </c>
    </row>
    <row r="67" spans="2:14" x14ac:dyDescent="0.25">
      <c r="C67" s="1" t="s">
        <v>164</v>
      </c>
      <c r="J67" s="75"/>
      <c r="M67" s="1" t="s">
        <v>164</v>
      </c>
    </row>
    <row r="68" spans="2:14" x14ac:dyDescent="0.25">
      <c r="D68" t="s">
        <v>165</v>
      </c>
      <c r="J68" s="75"/>
      <c r="N68" t="s">
        <v>165</v>
      </c>
    </row>
    <row r="69" spans="2:14" x14ac:dyDescent="0.25">
      <c r="D69" t="s">
        <v>166</v>
      </c>
      <c r="J69" s="75"/>
      <c r="N69" t="s">
        <v>166</v>
      </c>
    </row>
    <row r="70" spans="2:14" x14ac:dyDescent="0.25">
      <c r="J70" s="75"/>
    </row>
    <row r="71" spans="2:14" x14ac:dyDescent="0.25">
      <c r="J71" s="75"/>
    </row>
    <row r="72" spans="2:14" x14ac:dyDescent="0.25">
      <c r="B72" t="s">
        <v>175</v>
      </c>
      <c r="C72" t="s">
        <v>163</v>
      </c>
      <c r="J72" s="75"/>
      <c r="K72" t="s">
        <v>162</v>
      </c>
    </row>
    <row r="73" spans="2:14" x14ac:dyDescent="0.25">
      <c r="D73" s="28" t="s">
        <v>114</v>
      </c>
      <c r="J73" s="75"/>
      <c r="L73" s="28" t="s">
        <v>117</v>
      </c>
    </row>
    <row r="74" spans="2:14" x14ac:dyDescent="0.25">
      <c r="D74" s="28" t="s">
        <v>115</v>
      </c>
      <c r="J74" s="75"/>
      <c r="L74" s="28" t="s">
        <v>158</v>
      </c>
    </row>
    <row r="75" spans="2:14" x14ac:dyDescent="0.25">
      <c r="D75" s="28" t="s">
        <v>116</v>
      </c>
      <c r="J75" s="75"/>
    </row>
    <row r="76" spans="2:14" x14ac:dyDescent="0.25">
      <c r="D76" s="28" t="s">
        <v>167</v>
      </c>
      <c r="J76" s="75"/>
    </row>
    <row r="77" spans="2:14" x14ac:dyDescent="0.25">
      <c r="D77" s="28" t="s">
        <v>168</v>
      </c>
      <c r="J77" s="75"/>
    </row>
    <row r="78" spans="2:14" x14ac:dyDescent="0.25">
      <c r="D78" s="28" t="s">
        <v>169</v>
      </c>
      <c r="J78" s="75"/>
    </row>
    <row r="79" spans="2:14" x14ac:dyDescent="0.25">
      <c r="D79" s="28" t="s">
        <v>170</v>
      </c>
      <c r="J79" s="75"/>
    </row>
    <row r="80" spans="2:14" x14ac:dyDescent="0.25">
      <c r="D80" s="28" t="s">
        <v>157</v>
      </c>
      <c r="J80" s="75"/>
    </row>
  </sheetData>
  <customSheetViews>
    <customSheetView guid="{FECB4C41-27E8-4A22-AFB3-4F54CDD4960E}" topLeftCell="A106">
      <selection activeCell="A6" sqref="A6:XFD6"/>
      <pageMargins left="0.7" right="0.7" top="0.75" bottom="0.75" header="0.3" footer="0.3"/>
      <pageSetup orientation="portrait" horizontalDpi="300" verticalDpi="0" r:id="rId1"/>
    </customSheetView>
    <customSheetView guid="{3B3E6719-EACB-4D2C-89C1-05FFAB6020FD}">
      <selection activeCell="A44" sqref="A44:XFD44"/>
      <pageMargins left="0.7" right="0.7" top="0.75" bottom="0.75" header="0.3" footer="0.3"/>
      <pageSetup orientation="portrait" horizontalDpi="300" verticalDpi="0" r:id="rId2"/>
    </customSheetView>
    <customSheetView guid="{4E06BDBF-2CED-473B-850B-2A6C7311FF41}">
      <selection activeCell="B5" sqref="B5"/>
      <pageMargins left="0.7" right="0.7" top="0.75" bottom="0.75" header="0.3" footer="0.3"/>
      <pageSetup orientation="portrait" horizontalDpi="300" verticalDpi="0" r:id="rId3"/>
    </customSheetView>
    <customSheetView guid="{99BC1C51-34DC-4BF2-906C-1E31B6171D71}" topLeftCell="A106">
      <selection activeCell="D4" sqref="D4"/>
      <pageMargins left="0.7" right="0.7" top="0.75" bottom="0.75" header="0.3" footer="0.3"/>
      <pageSetup orientation="portrait" horizontalDpi="300" verticalDpi="0" r:id="rId4"/>
    </customSheetView>
    <customSheetView guid="{C94451EF-7A3E-4D72-B5A4-3D1B193192CC}">
      <selection activeCell="A31" sqref="A31"/>
      <pageMargins left="0.7" right="0.7" top="0.75" bottom="0.75" header="0.3" footer="0.3"/>
      <pageSetup orientation="portrait" horizontalDpi="300" verticalDpi="0" r:id="rId5"/>
    </customSheetView>
    <customSheetView guid="{7ECC2B8E-6A82-42F5-8AB0-4A51C54EA5EC}" topLeftCell="A4">
      <selection activeCell="O10" sqref="O10"/>
      <pageMargins left="0.7" right="0.7" top="0.75" bottom="0.75" header="0.3" footer="0.3"/>
      <pageSetup orientation="portrait" horizontalDpi="300" verticalDpi="0" r:id="rId6"/>
    </customSheetView>
    <customSheetView guid="{A2C66332-A809-458E-971B-FDB6D62C74C3}">
      <selection activeCell="A31" sqref="A31"/>
      <pageMargins left="0.7" right="0.7" top="0.75" bottom="0.75" header="0.3" footer="0.3"/>
      <pageSetup orientation="portrait" horizontalDpi="300" verticalDpi="0" r:id="rId7"/>
    </customSheetView>
    <customSheetView guid="{89C03E1E-B6A8-49A1-B29C-5DC4FAB2FBC6}" topLeftCell="A106">
      <selection activeCell="A6" sqref="A6:XFD6"/>
      <pageMargins left="0.7" right="0.7" top="0.75" bottom="0.75" header="0.3" footer="0.3"/>
      <pageSetup orientation="portrait" horizontalDpi="300" verticalDpi="0" r:id="rId8"/>
    </customSheetView>
    <customSheetView guid="{60D2C030-4E31-4E07-8E1C-44D2EE84B177}" topLeftCell="A106">
      <selection activeCell="D4" sqref="D4"/>
      <pageMargins left="0.7" right="0.7" top="0.75" bottom="0.75" header="0.3" footer="0.3"/>
      <pageSetup orientation="portrait" horizontalDpi="300" verticalDpi="0" r:id="rId9"/>
    </customSheetView>
    <customSheetView guid="{D33AC7AF-C8AB-4CE9-94C7-9237011A5FC3}">
      <selection activeCell="A31" sqref="A31"/>
      <pageMargins left="0.7" right="0.7" top="0.75" bottom="0.75" header="0.3" footer="0.3"/>
      <pageSetup orientation="portrait" horizontalDpi="300" verticalDpi="0" r:id="rId10"/>
    </customSheetView>
    <customSheetView guid="{336B6883-2145-4B58-921E-CEC7185A847E}">
      <selection activeCell="A31" sqref="A31"/>
      <pageMargins left="0.7" right="0.7" top="0.75" bottom="0.75" header="0.3" footer="0.3"/>
      <pageSetup orientation="portrait" horizontalDpi="300" verticalDpi="0" r:id="rId11"/>
    </customSheetView>
    <customSheetView guid="{970EE037-F5E5-47AF-896A-0F6222879EBC}">
      <selection activeCell="B6" sqref="B6"/>
      <pageMargins left="0.7" right="0.7" top="0.75" bottom="0.75" header="0.3" footer="0.3"/>
      <pageSetup orientation="portrait" horizontalDpi="300" verticalDpi="0" r:id="rId12"/>
    </customSheetView>
    <customSheetView guid="{F96FC7D9-4F89-4FE0-8D00-C0083DEB0472}" topLeftCell="A106">
      <selection activeCell="A6" sqref="A6:XFD6"/>
      <pageMargins left="0.7" right="0.7" top="0.75" bottom="0.75" header="0.3" footer="0.3"/>
      <pageSetup orientation="portrait" horizontalDpi="300" verticalDpi="0" r:id="rId13"/>
    </customSheetView>
    <customSheetView guid="{7E0EA425-A420-4443-B9E0-CDF0AA9E5D09}" topLeftCell="A106">
      <selection activeCell="A6" sqref="A6:XFD6"/>
      <pageMargins left="0.7" right="0.7" top="0.75" bottom="0.75" header="0.3" footer="0.3"/>
      <pageSetup orientation="portrait" horizontalDpi="300" verticalDpi="0" r:id="rId14"/>
    </customSheetView>
  </customSheetViews>
  <pageMargins left="0.7" right="0.7" top="0.75" bottom="0.75" header="0.3" footer="0.3"/>
  <pageSetup orientation="portrait" horizontalDpi="300" verticalDpi="0" r:id="rId1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2020-06-26T04:52:34Z</dcterms:modified>
</cp:coreProperties>
</file>