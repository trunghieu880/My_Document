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revisions/userNames1.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Headers.xml" ContentType="application/vnd.openxmlformats-officedocument.spreadsheetml.revisionHeaders+xml"/>
  <Override PartName="/xl/revisions/revisionLog8.xml" ContentType="application/vnd.openxmlformats-officedocument.spreadsheetml.revisionLog+xml"/>
  <Override PartName="/xl/revisions/revisionLog13.xml" ContentType="application/vnd.openxmlformats-officedocument.spreadsheetml.revisionLog+xml"/>
  <Override PartName="/xl/revisions/revisionLog18.xml" ContentType="application/vnd.openxmlformats-officedocument.spreadsheetml.revisionLog+xml"/>
  <Override PartName="/xl/revisions/revisionLog3.xml" ContentType="application/vnd.openxmlformats-officedocument.spreadsheetml.revisionLog+xml"/>
  <Override PartName="/xl/revisions/revisionLog21.xml" ContentType="application/vnd.openxmlformats-officedocument.spreadsheetml.revisionLog+xml"/>
  <Override PartName="/xl/revisions/revisionLog7.xml" ContentType="application/vnd.openxmlformats-officedocument.spreadsheetml.revisionLog+xml"/>
  <Override PartName="/xl/revisions/revisionLog12.xml" ContentType="application/vnd.openxmlformats-officedocument.spreadsheetml.revisionLog+xml"/>
  <Override PartName="/xl/revisions/revisionLog17.xml" ContentType="application/vnd.openxmlformats-officedocument.spreadsheetml.revisionLog+xml"/>
  <Override PartName="/xl/revisions/revisionLog2.xml" ContentType="application/vnd.openxmlformats-officedocument.spreadsheetml.revisionLog+xml"/>
  <Override PartName="/xl/revisions/revisionLog16.xml" ContentType="application/vnd.openxmlformats-officedocument.spreadsheetml.revisionLog+xml"/>
  <Override PartName="/xl/revisions/revisionLog20.xml" ContentType="application/vnd.openxmlformats-officedocument.spreadsheetml.revisionLog+xml"/>
  <Override PartName="/xl/revisions/revisionLog1.xml" ContentType="application/vnd.openxmlformats-officedocument.spreadsheetml.revisionLog+xml"/>
  <Override PartName="/xl/revisions/revisionLog6.xml" ContentType="application/vnd.openxmlformats-officedocument.spreadsheetml.revisionLog+xml"/>
  <Override PartName="/xl/revisions/revisionLog11.xml" ContentType="application/vnd.openxmlformats-officedocument.spreadsheetml.revisionLog+xml"/>
  <Override PartName="/xl/revisions/revisionLog5.xml" ContentType="application/vnd.openxmlformats-officedocument.spreadsheetml.revisionLog+xml"/>
  <Override PartName="/xl/revisions/revisionLog15.xml" ContentType="application/vnd.openxmlformats-officedocument.spreadsheetml.revisionLog+xml"/>
  <Override PartName="/xl/revisions/revisionLog10.xml" ContentType="application/vnd.openxmlformats-officedocument.spreadsheetml.revisionLog+xml"/>
  <Override PartName="/xl/revisions/revisionLog19.xml" ContentType="application/vnd.openxmlformats-officedocument.spreadsheetml.revisionLog+xml"/>
  <Override PartName="/xl/revisions/revisionLog4.xml" ContentType="application/vnd.openxmlformats-officedocument.spreadsheetml.revisionLog+xml"/>
  <Override PartName="/xl/revisions/revisionLog9.xml" ContentType="application/vnd.openxmlformats-officedocument.spreadsheetml.revisionLog+xml"/>
  <Override PartName="/xl/revisions/revisionLog14.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hc-ut40346c\NHI5HC\hieunguyen\0000_Project\001_Prj\02_JOEM\"/>
    </mc:Choice>
  </mc:AlternateContent>
  <bookViews>
    <workbookView xWindow="-120" yWindow="-120" windowWidth="15480" windowHeight="6585" activeTab="5"/>
  </bookViews>
  <sheets>
    <sheet name="Merged_COEM" sheetId="1" r:id="rId1"/>
    <sheet name="Merged_JOEM" sheetId="2" r:id="rId2"/>
    <sheet name="|-&gt;" sheetId="3" r:id="rId3"/>
    <sheet name="Report_For_Each_Project_COEM" sheetId="4" r:id="rId4"/>
    <sheet name="Report_For_Each_Project_JOEM" sheetId="5" r:id="rId5"/>
    <sheet name="Template_Total_Report" sheetId="6" r:id="rId6"/>
    <sheet name="Table" sheetId="7" r:id="rId7"/>
    <sheet name="Check_List" sheetId="8" r:id="rId8"/>
    <sheet name="|--&gt;" sheetId="9" r:id="rId9"/>
    <sheet name="Monthly_20200520" sheetId="10" r:id="rId10"/>
  </sheets>
  <definedNames>
    <definedName name="_xlnm._FilterDatabase" localSheetId="0" hidden="1">Merged_COEM!$B$47:$AN$422</definedName>
    <definedName name="_xlnm._FilterDatabase" localSheetId="1" hidden="1">Merged_JOEM!$B$47:$AN$187</definedName>
    <definedName name="Z_004AE50D_49C9_4A96_B731_3C42CAA0B01D_.wvu.FilterData" localSheetId="0" hidden="1">Merged_COEM!$B$47:$AN$172</definedName>
    <definedName name="Z_01DDD800_722F_415D_AA66_9ADBFD04888B_.wvu.FilterData" localSheetId="1" hidden="1">Merged_JOEM!$B$47:$AN$145</definedName>
    <definedName name="Z_055B52FC_2B7B_42BC_9AD2_87565E082A86_.wvu.FilterData" localSheetId="0" hidden="1">Merged_COEM!$B$47:$AN$422</definedName>
    <definedName name="Z_069C8E6F_B807_4CFF_804F_569E084B63E0_.wvu.FilterData" localSheetId="0" hidden="1">Merged_COEM!$B$47:$AN$111</definedName>
    <definedName name="Z_069C8E6F_B807_4CFF_804F_569E084B63E0_.wvu.FilterData" localSheetId="1" hidden="1">Merged_JOEM!$B$47:$AN$108</definedName>
    <definedName name="Z_06F3585B_DEF9_4D3E_A982_B08A4935ED38_.wvu.FilterData" localSheetId="0" hidden="1">Merged_COEM!$B$47:$AN$113</definedName>
    <definedName name="Z_06F3585B_DEF9_4D3E_A982_B08A4935ED38_.wvu.FilterData" localSheetId="1" hidden="1">Merged_JOEM!$B$47:$AN$108</definedName>
    <definedName name="Z_0D1BA331_ECC5_4B76_BF88_3D8E1D7061B4_.wvu.FilterData" localSheetId="0" hidden="1">Merged_COEM!$B$47:$AN$111</definedName>
    <definedName name="Z_0D1BA331_ECC5_4B76_BF88_3D8E1D7061B4_.wvu.FilterData" localSheetId="1" hidden="1">Merged_JOEM!$B$47:$AN$108</definedName>
    <definedName name="Z_0E0A1A84_274E_4C87_84D6_9771A179FB59_.wvu.FilterData" localSheetId="0" hidden="1">Merged_COEM!$B$47:$AN$422</definedName>
    <definedName name="Z_0EF03E06_FF78_44D3_8575_221339472074_.wvu.FilterData" localSheetId="0" hidden="1">Merged_COEM!$B$47:$AN$152</definedName>
    <definedName name="Z_0F860EF4_5649_4931_8506_A849C414452A_.wvu.FilterData" localSheetId="0" hidden="1">Merged_COEM!$B$47:$AN$142</definedName>
    <definedName name="Z_116C406F_56EF_4929_AB69_7B88A04CBA56_.wvu.FilterData" localSheetId="0" hidden="1">Merged_COEM!$B$47:$AN$47</definedName>
    <definedName name="Z_132C6898_7BD8_4053_9284_49B13D9C8D59_.wvu.FilterData" localSheetId="0" hidden="1">Merged_COEM!$B$47:$AN$422</definedName>
    <definedName name="Z_132C6898_7BD8_4053_9284_49B13D9C8D59_.wvu.FilterData" localSheetId="1" hidden="1">Merged_JOEM!$B$47:$AN$145</definedName>
    <definedName name="Z_16F63D1D_5D08_4984_94E5_2BF0D97B7171_.wvu.FilterData" localSheetId="0" hidden="1">Merged_COEM!$B$47:$AN$422</definedName>
    <definedName name="Z_1838E38E_0617_4284_B70D_EE93F3730ED0_.wvu.FilterData" localSheetId="0" hidden="1">Merged_COEM!$B$47:$AN$422</definedName>
    <definedName name="Z_1A40DE1E_71BB_4C99_BB8D_F9966378505E_.wvu.FilterData" localSheetId="0" hidden="1">Merged_COEM!$B$47:$AN$113</definedName>
    <definedName name="Z_1B4D24DE_B85A_4A3A_8CD0_1A40E6C2EC53_.wvu.FilterData" localSheetId="0" hidden="1">Merged_COEM!$B$47:$AN$422</definedName>
    <definedName name="Z_1BFCAE6D_00EB_4CA0_9800_157E5C060610_.wvu.FilterData" localSheetId="0" hidden="1">Merged_COEM!$B$47:$AN$152</definedName>
    <definedName name="Z_243D98C0_AF41_4E98_98EA_8605BD375B77_.wvu.FilterData" localSheetId="0" hidden="1">Merged_COEM!$B$47:$AN$422</definedName>
    <definedName name="Z_250915DF_0B97_45D7_B29D_7EED4C89C1C1_.wvu.FilterData" localSheetId="0" hidden="1">Merged_COEM!$B$47:$AN$422</definedName>
    <definedName name="Z_250915DF_0B97_45D7_B29D_7EED4C89C1C1_.wvu.FilterData" localSheetId="1" hidden="1">Merged_JOEM!$B$47:$AN$187</definedName>
    <definedName name="Z_25FBC392_575A_46D5_8F77_708EBF5D79D6_.wvu.FilterData" localSheetId="0" hidden="1">Merged_COEM!$B$47:$AN$422</definedName>
    <definedName name="Z_25FBC392_575A_46D5_8F77_708EBF5D79D6_.wvu.FilterData" localSheetId="1" hidden="1">Merged_JOEM!$B$47:$AN$187</definedName>
    <definedName name="Z_26D1F5A5_96D6_4E71_B7C1_A23D5D0DBEB6_.wvu.FilterData" localSheetId="0" hidden="1">Merged_COEM!$B$47:$AN$422</definedName>
    <definedName name="Z_28129A8E_4F11_454E_8B08_01465DFCCE16_.wvu.FilterData" localSheetId="0" hidden="1">Merged_COEM!$B$47:$AN$142</definedName>
    <definedName name="Z_28129A8E_4F11_454E_8B08_01465DFCCE16_.wvu.FilterData" localSheetId="1" hidden="1">Merged_JOEM!$B$47:$AN$108</definedName>
    <definedName name="Z_283D4045_5188_4FA2_AA4A_D83AF43FEE1E_.wvu.FilterData" localSheetId="0" hidden="1">Merged_COEM!$A$47:$AN$422</definedName>
    <definedName name="Z_285DD5EF_1CB5_4C35_A533_25F2740DEC08_.wvu.FilterData" localSheetId="0" hidden="1">Merged_COEM!$B$47:$AN$195</definedName>
    <definedName name="Z_29839EDF_F2F9_4AC5_A497_0424D917FB56_.wvu.FilterData" localSheetId="0" hidden="1">Merged_COEM!$B$47:$AN$195</definedName>
    <definedName name="Z_2A9975D9_7C20_4632_A4AA_EE470CC19EE0_.wvu.FilterData" localSheetId="0" hidden="1">Merged_COEM!$B$47:$AN$422</definedName>
    <definedName name="Z_2C3435F1_E81D_47F6_BD8B_DF1F8AAB8E69_.wvu.FilterData" localSheetId="1" hidden="1">Merged_JOEM!$B$47:$AN$145</definedName>
    <definedName name="Z_2E715778_0FD5_4002_A3DD_663BBC9D2879_.wvu.FilterData" localSheetId="0" hidden="1">Merged_COEM!$B$47:$AN$172</definedName>
    <definedName name="Z_336B6883_2145_4B58_921E_CEC7185A847E_.wvu.FilterData" localSheetId="0" hidden="1">Merged_COEM!$P$47:$P$423</definedName>
    <definedName name="Z_336B6883_2145_4B58_921E_CEC7185A847E_.wvu.FilterData" localSheetId="1" hidden="1">Merged_JOEM!$B$47:$AN$187</definedName>
    <definedName name="Z_3B3E6719_EACB_4D2C_89C1_05FFAB6020FD_.wvu.FilterData" localSheetId="0" hidden="1">Merged_COEM!$B$47:$AN$422</definedName>
    <definedName name="Z_3B3E6719_EACB_4D2C_89C1_05FFAB6020FD_.wvu.FilterData" localSheetId="1" hidden="1">Merged_JOEM!$B$47:$AN$187</definedName>
    <definedName name="Z_3D91D09F_6D0C_4255_BA2B_6BD947E2FF0E_.wvu.FilterData" localSheetId="0" hidden="1">Merged_COEM!$B$47:$AN$422</definedName>
    <definedName name="Z_43B967EC_0D7C_46DF_9BEA_C0266BCF49B2_.wvu.FilterData" localSheetId="0" hidden="1">Merged_COEM!$B$47:$AN$422</definedName>
    <definedName name="Z_4631CDC9_3CB0_46A0_A411_DA030B1C25C6_.wvu.FilterData" localSheetId="0" hidden="1">Merged_COEM!$B$47:$AN$422</definedName>
    <definedName name="Z_4631CDC9_3CB0_46A0_A411_DA030B1C25C6_.wvu.FilterData" localSheetId="1" hidden="1">Merged_JOEM!$B$47:$AN$187</definedName>
    <definedName name="Z_471F4494_0449_4884_B80A_27DCFF4E79A7_.wvu.FilterData" localSheetId="0" hidden="1">Merged_COEM!$P$47:$P$423</definedName>
    <definedName name="Z_49C41633_B7C8_4854_8F3B_012C131B8151_.wvu.FilterData" localSheetId="0" hidden="1">Merged_COEM!$B$47:$AN$422</definedName>
    <definedName name="Z_4D18CEA0_D888_4F4D_AE86_1305F839E5A9_.wvu.FilterData" localSheetId="0" hidden="1">Merged_COEM!$B$47:$AN$422</definedName>
    <definedName name="Z_4E06BDBF_2CED_473B_850B_2A6C7311FF41_.wvu.FilterData" localSheetId="0" hidden="1">Merged_COEM!$A$47:$AN$422</definedName>
    <definedName name="Z_4E06BDBF_2CED_473B_850B_2A6C7311FF41_.wvu.FilterData" localSheetId="1" hidden="1">Merged_JOEM!$B$47:$AN$187</definedName>
    <definedName name="Z_4E40C96A_1DEC_426A_8589_DE34E4915A35_.wvu.FilterData" localSheetId="0" hidden="1">Merged_COEM!$B$47:$AN$422</definedName>
    <definedName name="Z_4E40C96A_1DEC_426A_8589_DE34E4915A35_.wvu.FilterData" localSheetId="1" hidden="1">Merged_JOEM!$B$47:$AN$187</definedName>
    <definedName name="Z_4F06BBAE_E91E_44B6_8F57_972D5EE0D29B_.wvu.FilterData" localSheetId="0" hidden="1">Merged_COEM!$B$47:$AN$192</definedName>
    <definedName name="Z_52019DA7_9246_4B08_9F51_34B8F5416A98_.wvu.FilterData" localSheetId="0" hidden="1">Merged_COEM!$B$47:$AN$422</definedName>
    <definedName name="Z_542EBC9D_64B9_4ABA_A324_302A387E309D_.wvu.FilterData" localSheetId="0" hidden="1">Merged_COEM!$B$47:$AN$422</definedName>
    <definedName name="Z_55512613_14D7_4168_A76D_6593BA530EA5_.wvu.FilterData" localSheetId="0" hidden="1">Merged_COEM!$B$47:$AN$113</definedName>
    <definedName name="Z_55512613_14D7_4168_A76D_6593BA530EA5_.wvu.FilterData" localSheetId="1" hidden="1">Merged_JOEM!$B$47:$AN$108</definedName>
    <definedName name="Z_555F3FCB_2741_40F9_A2E8_4947D8EA1113_.wvu.FilterData" localSheetId="0" hidden="1">Merged_COEM!$B$47:$AN$152</definedName>
    <definedName name="Z_55DD069B_3978_4FE9_9C83_8FBEED3226A1_.wvu.FilterData" localSheetId="1" hidden="1">Merged_JOEM!$B$47:$AN$108</definedName>
    <definedName name="Z_56EF2257_F8BF_4AD9_8AEB_55C432255099_.wvu.FilterData" localSheetId="0" hidden="1">Merged_COEM!$B$47:$AN$152</definedName>
    <definedName name="Z_56EF2257_F8BF_4AD9_8AEB_55C432255099_.wvu.FilterData" localSheetId="1" hidden="1">Merged_JOEM!$B$47:$AN$116</definedName>
    <definedName name="Z_584FB3CE_102E_4394_9BBE_155B20E57E5A_.wvu.FilterData" localSheetId="0" hidden="1">Merged_COEM!$B$47:$AN$47</definedName>
    <definedName name="Z_5C3799C0_C642_426B_89BE_BE1EE5249DB4_.wvu.FilterData" localSheetId="0" hidden="1">Merged_COEM!$P$47:$P$423</definedName>
    <definedName name="Z_5C3799C0_C642_426B_89BE_BE1EE5249DB4_.wvu.FilterData" localSheetId="1" hidden="1">Merged_JOEM!$B$47:$AN$108</definedName>
    <definedName name="Z_5CFC70B4_1A78_4D4E_9FE4_E799626D57F8_.wvu.FilterData" localSheetId="0" hidden="1">Merged_COEM!$B$47:$AN$142</definedName>
    <definedName name="Z_5CFC70B4_1A78_4D4E_9FE4_E799626D57F8_.wvu.FilterData" localSheetId="1" hidden="1">Merged_JOEM!$B$47:$AN$108</definedName>
    <definedName name="Z_5EDC2EFF_5E79_4466_BF9D_79C6A5B40ED9_.wvu.FilterData" localSheetId="0" hidden="1">Merged_COEM!$B$47:$AN$422</definedName>
    <definedName name="Z_60AC2527_814D_446F_96A2_688DF4B3FB31_.wvu.FilterData" localSheetId="0" hidden="1">Merged_COEM!$B$47:$AN$422</definedName>
    <definedName name="Z_60D2C030_4E31_4E07_8E1C_44D2EE84B177_.wvu.FilterData" localSheetId="0" hidden="1">Merged_COEM!$B$47:$AN$422</definedName>
    <definedName name="Z_60D2C030_4E31_4E07_8E1C_44D2EE84B177_.wvu.FilterData" localSheetId="1" hidden="1">Merged_JOEM!$B$47:$AN$187</definedName>
    <definedName name="Z_64D01CE5_FE18_455E_9C99_8DEE681E7DA8_.wvu.FilterData" localSheetId="0" hidden="1">Merged_COEM!$B$47:$AN$172</definedName>
    <definedName name="Z_656025FA_CC5B_4D55_9B87_DB7CD14FDC3E_.wvu.FilterData" localSheetId="0" hidden="1">Merged_COEM!$B$47:$AN$152</definedName>
    <definedName name="Z_6607199E_6F59_49CF_9E27_CD16D2C15F5A_.wvu.FilterData" localSheetId="0" hidden="1">Merged_COEM!$B$47:$AN$422</definedName>
    <definedName name="Z_6607199E_6F59_49CF_9E27_CD16D2C15F5A_.wvu.FilterData" localSheetId="1" hidden="1">Merged_JOEM!$B$47:$AN$145</definedName>
    <definedName name="Z_686C29B7_8607_4292_9041_CB1F6097339C_.wvu.FilterData" localSheetId="0" hidden="1">Merged_COEM!$B$47:$AN$47</definedName>
    <definedName name="Z_6A5804B2_391C_4C29_93A5_DA8848A9C0A9_.wvu.FilterData" localSheetId="0" hidden="1">Merged_COEM!$B$47:$AN$422</definedName>
    <definedName name="Z_6B374A4D_249C_4C23_AA17_86959F27F346_.wvu.FilterData" localSheetId="0" hidden="1">Merged_COEM!$B$47:$AN$422</definedName>
    <definedName name="Z_6B374A4D_249C_4C23_AA17_86959F27F346_.wvu.FilterData" localSheetId="1" hidden="1">Merged_JOEM!$B$47:$AN$187</definedName>
    <definedName name="Z_6B638F14_A9F5_4448_A254_1C4B412009F0_.wvu.FilterData" localSheetId="0" hidden="1">Merged_COEM!$B$47:$AN$142</definedName>
    <definedName name="Z_6B638F14_A9F5_4448_A254_1C4B412009F0_.wvu.FilterData" localSheetId="1" hidden="1">Merged_JOEM!$B$47:$AN$108</definedName>
    <definedName name="Z_6B713E76_ED25_4678_A716_879278BE9607_.wvu.FilterData" localSheetId="1" hidden="1">Merged_JOEM!$B$47:$AN$145</definedName>
    <definedName name="Z_6CABF124_200E_4AC7_9AB1_549B637A0FFC_.wvu.FilterData" localSheetId="0" hidden="1">Merged_COEM!$B$47:$AN$152</definedName>
    <definedName name="Z_6DE17C78_E65F_476D_9F32_90CC12C01E83_.wvu.FilterData" localSheetId="0" hidden="1">Merged_COEM!$A$47:$AN$422</definedName>
    <definedName name="Z_6FCAA524_7D77_4BB4_8962_4E73EBC6BB43_.wvu.FilterData" localSheetId="0" hidden="1">Merged_COEM!$B$47:$AN$172</definedName>
    <definedName name="Z_7261821D_1D33_4FAC_B604_2D03A21B59EC_.wvu.FilterData" localSheetId="0" hidden="1">Merged_COEM!$A$47:$AN$422</definedName>
    <definedName name="Z_72A6EB0A_84D5_4B8A_AC51_54CCD061630B_.wvu.FilterData" localSheetId="0" hidden="1">Merged_COEM!$B$47:$AN$422</definedName>
    <definedName name="Z_72A6EB0A_84D5_4B8A_AC51_54CCD061630B_.wvu.FilterData" localSheetId="1" hidden="1">Merged_JOEM!$B$47:$AN$187</definedName>
    <definedName name="Z_730EFCB3_2402_4578_8B7C_79704658095C_.wvu.FilterData" localSheetId="1" hidden="1">Merged_JOEM!$B$47:$AN$145</definedName>
    <definedName name="Z_74F104B0_C4E5_41FD_9F43_0DFCE277A292_.wvu.FilterData" localSheetId="0" hidden="1">Merged_COEM!$B$47:$AN$422</definedName>
    <definedName name="Z_76551960_825E_460F_979A_E5C4C2C41114_.wvu.FilterData" localSheetId="0" hidden="1">Merged_COEM!$B$47:$AN$422</definedName>
    <definedName name="Z_76551960_825E_460F_979A_E5C4C2C41114_.wvu.FilterData" localSheetId="1" hidden="1">Merged_JOEM!$B$47:$AN$187</definedName>
    <definedName name="Z_7BCF790B_B0C0_4842_8AD7_5E2098ABB76A_.wvu.FilterData" localSheetId="0" hidden="1">Merged_COEM!$B$47:$AN$422</definedName>
    <definedName name="Z_7E0EA425_A420_4443_B9E0_CDF0AA9E5D09_.wvu.FilterData" localSheetId="0" hidden="1">Merged_COEM!$B$47:$AN$422</definedName>
    <definedName name="Z_7E0EA425_A420_4443_B9E0_CDF0AA9E5D09_.wvu.FilterData" localSheetId="1" hidden="1">Merged_JOEM!$B$47:$AN$187</definedName>
    <definedName name="Z_7E9E86EE_4E86_464D_A02D_88BA33E6F7E1_.wvu.FilterData" localSheetId="0" hidden="1">Merged_COEM!$B$47:$AN$422</definedName>
    <definedName name="Z_7ECC2B8E_6A82_42F5_8AB0_4A51C54EA5EC_.wvu.FilterData" localSheetId="0" hidden="1">Merged_COEM!$B$47:$AN$422</definedName>
    <definedName name="Z_7ECC2B8E_6A82_42F5_8AB0_4A51C54EA5EC_.wvu.FilterData" localSheetId="1" hidden="1">Merged_JOEM!$B$47:$AN$187</definedName>
    <definedName name="Z_803CD872_D993_4AEC_ABDC_098E41A41D56_.wvu.FilterData" localSheetId="0" hidden="1">Merged_COEM!$B$47:$AN$422</definedName>
    <definedName name="Z_85A0930F_259C_45E1_BAE2_0EEDD0B3722A_.wvu.FilterData" localSheetId="0" hidden="1">Merged_COEM!$B$47:$AN$422</definedName>
    <definedName name="Z_8AF3B40C_4A62_4CCD_B7A0_B85E971B5DE3_.wvu.FilterData" localSheetId="0" hidden="1">Merged_COEM!$B$47:$AN$422</definedName>
    <definedName name="Z_8C93A640_930B_411B_8D78_081C9283D060_.wvu.FilterData" localSheetId="0" hidden="1">Merged_COEM!$B$47:$AN$422</definedName>
    <definedName name="Z_8C93A640_930B_411B_8D78_081C9283D060_.wvu.FilterData" localSheetId="1" hidden="1">Merged_JOEM!$B$47:$AN$145</definedName>
    <definedName name="Z_8CFDC2B1_A931_463F_B4B3_66F2BDFB2938_.wvu.FilterData" localSheetId="0" hidden="1">Merged_COEM!$B$47:$AN$195</definedName>
    <definedName name="Z_8CFDC2B1_A931_463F_B4B3_66F2BDFB2938_.wvu.FilterData" localSheetId="1" hidden="1">Merged_JOEM!$B$47:$AN$145</definedName>
    <definedName name="Z_90215879_D202_47D7_95B0_308EB9360CBB_.wvu.FilterData" localSheetId="0" hidden="1">Merged_COEM!$B$47:$AN$152</definedName>
    <definedName name="Z_92C3B6E0_E822_4BCF_8785_C7C14B2ADD22_.wvu.FilterData" localSheetId="0" hidden="1">Merged_COEM!$B$47:$AN$422</definedName>
    <definedName name="Z_97218D6F_FBE0_4BB8_82A5_9A2B9CDAE672_.wvu.FilterData" localSheetId="0" hidden="1">Merged_COEM!$B$47:$AN$422</definedName>
    <definedName name="Z_97A9DF88_B70E_4292_BE2C_86AD0A2D47DE_.wvu.FilterData" localSheetId="0" hidden="1">Merged_COEM!$B$47:$AN$422</definedName>
    <definedName name="Z_99E5354C_71C6_436F_9EE1_C848EB01C814_.wvu.FilterData" localSheetId="0" hidden="1">Merged_COEM!$B$47:$AN$113</definedName>
    <definedName name="Z_99E5354C_71C6_436F_9EE1_C848EB01C814_.wvu.FilterData" localSheetId="1" hidden="1">Merged_JOEM!$B$47:$AN$108</definedName>
    <definedName name="Z_9AD1B165_0807_4FC0_AD7A_19295CA7995A_.wvu.FilterData" localSheetId="0" hidden="1">Merged_COEM!$B$47:$AN$192</definedName>
    <definedName name="Z_9AD1B165_0807_4FC0_AD7A_19295CA7995A_.wvu.FilterData" localSheetId="1" hidden="1">Merged_JOEM!$B$47:$AN$145</definedName>
    <definedName name="Z_9E145E8C_2B31_4DB8_B4B0_C616F5D01119_.wvu.FilterData" localSheetId="0" hidden="1">Merged_COEM!$B$47:$AN$111</definedName>
    <definedName name="Z_A2A917F4_F661_4683_88C9_57D64E10A4C2_.wvu.FilterData" localSheetId="0" hidden="1">Merged_COEM!$B$47:$AN$422</definedName>
    <definedName name="Z_A2C66332_A809_458E_971B_FDB6D62C74C3_.wvu.FilterData" localSheetId="0" hidden="1">Merged_COEM!$B$47:$AN$422</definedName>
    <definedName name="Z_A2C66332_A809_458E_971B_FDB6D62C74C3_.wvu.FilterData" localSheetId="1" hidden="1">Merged_JOEM!$B$47:$AN$187</definedName>
    <definedName name="Z_A41FDE28_6FFB_43B6_B43B_9101088A5207_.wvu.FilterData" localSheetId="0" hidden="1">Merged_COEM!$B$47:$AN$111</definedName>
    <definedName name="Z_A4227727_9F71_47E1_8C2E_042438D3D073_.wvu.FilterData" localSheetId="0" hidden="1">Merged_COEM!$B$47:$AN$111</definedName>
    <definedName name="Z_A660862E_E137_45E6_9126_F71C85FD8B0C_.wvu.FilterData" localSheetId="0" hidden="1">Merged_COEM!$B$47:$AN$47</definedName>
    <definedName name="Z_A6A46D6D_F867_4FA0_8E53_62A7F47A4E88_.wvu.FilterData" localSheetId="0" hidden="1">Merged_COEM!$P$47:$P$423</definedName>
    <definedName name="Z_A744FF6C_D2CD_4F7F_AB46_8716E1600217_.wvu.FilterData" localSheetId="0" hidden="1">Merged_COEM!$B$47:$AN$142</definedName>
    <definedName name="Z_AA3A2856_F934_43FD_A71B_100B2ECD9F4A_.wvu.FilterData" localSheetId="0" hidden="1">Merged_COEM!$B$47:$AN$172</definedName>
    <definedName name="Z_AA85FADB_94FF_41A1_80F2_8EF99C6BD443_.wvu.FilterData" localSheetId="0" hidden="1">Merged_COEM!$B$47:$AN$129</definedName>
    <definedName name="Z_ABE1B979_D75D_42A3_AB3C_1BC48A1ABE90_.wvu.FilterData" localSheetId="0" hidden="1">Merged_COEM!$B$47:$AN$422</definedName>
    <definedName name="Z_AC999F38_EF0E_452F_99C6_511671044A11_.wvu.FilterData" localSheetId="0" hidden="1">Merged_COEM!$B$47:$AN$422</definedName>
    <definedName name="Z_AC999F38_EF0E_452F_99C6_511671044A11_.wvu.FilterData" localSheetId="1" hidden="1">Merged_JOEM!$B$47:$AN$187</definedName>
    <definedName name="Z_AD31D473_ABF1_4543_84A5_D817CF174F0C_.wvu.FilterData" localSheetId="0" hidden="1">Merged_COEM!$B$47:$AN$422</definedName>
    <definedName name="Z_B28487AD_1FF3_420C_9816_908EA83E5D3C_.wvu.FilterData" localSheetId="0" hidden="1">Merged_COEM!$A$47:$AN$422</definedName>
    <definedName name="Z_B28487AD_1FF3_420C_9816_908EA83E5D3C_.wvu.FilterData" localSheetId="1" hidden="1">Merged_JOEM!$B$47:$AN$187</definedName>
    <definedName name="Z_B28746A6_3784_4E4C_9E3E_05917653FE5F_.wvu.FilterData" localSheetId="0" hidden="1">Merged_COEM!$B$47:$AN$422</definedName>
    <definedName name="Z_B63DD65C_9EF8_4E01_9252_9D7B6691A477_.wvu.FilterData" localSheetId="0" hidden="1">Merged_COEM!$B$47:$AN$152</definedName>
    <definedName name="Z_B6B30A94_A4FB_42AF_BB3D_564C0E1E2210_.wvu.FilterData" localSheetId="0" hidden="1">Merged_COEM!$B$47:$AN$129</definedName>
    <definedName name="Z_B6B30A94_A4FB_42AF_BB3D_564C0E1E2210_.wvu.FilterData" localSheetId="1" hidden="1">Merged_JOEM!$B$47:$AN$108</definedName>
    <definedName name="Z_B6ED238C_0DE9_471E_909B_1EAB15BEA059_.wvu.FilterData" localSheetId="0" hidden="1">Merged_COEM!$P$47:$P$423</definedName>
    <definedName name="Z_BC173873_A7A3_429A_A2F2_06B8E17D4E2D_.wvu.FilterData" localSheetId="0" hidden="1">Merged_COEM!$P$47:$P$423</definedName>
    <definedName name="Z_BC173873_A7A3_429A_A2F2_06B8E17D4E2D_.wvu.FilterData" localSheetId="1" hidden="1">Merged_JOEM!$B$47:$AN$108</definedName>
    <definedName name="Z_BF1F7491_F461_4810_B06E_8AF629E4946B_.wvu.FilterData" localSheetId="0" hidden="1">Merged_COEM!$B$47:$AN$422</definedName>
    <definedName name="Z_BFE28FD3_FC05_47D2_B394_F3516A4D0AB3_.wvu.FilterData" localSheetId="0" hidden="1">Merged_COEM!$B$47:$AN$47</definedName>
    <definedName name="Z_C0E51FCA_4F01_4943_98A0_011C2CAE2D2E_.wvu.FilterData" localSheetId="0" hidden="1">Merged_COEM!$B$47:$AN$192</definedName>
    <definedName name="Z_C3B26110_BB96_4041_9E86_8FB1D3595EC3_.wvu.FilterData" localSheetId="0" hidden="1">Merged_COEM!$P$47:$P$423</definedName>
    <definedName name="Z_CD235416_A5FA_481B_8E55_C60A832823B9_.wvu.FilterData" localSheetId="0" hidden="1">Merged_COEM!$B$47:$AN$422</definedName>
    <definedName name="Z_CD27DB33_53E8_44D2_9D7B_46C7E0D8406D_.wvu.FilterData" localSheetId="1" hidden="1">Merged_JOEM!$B$47:$AN$187</definedName>
    <definedName name="Z_CDA0C6D7_3A34_4603_A386_6EC3B3F2C1A3_.wvu.FilterData" localSheetId="0" hidden="1">Merged_COEM!$B$47:$AN$152</definedName>
    <definedName name="Z_CEBE8AC3_188B_4F97_A24F_371A11C4421A_.wvu.FilterData" localSheetId="0" hidden="1">Merged_COEM!$B$47:$AN$152</definedName>
    <definedName name="Z_D27A9719_CA1F_4F10_B026_6793A25D97CF_.wvu.FilterData" localSheetId="0" hidden="1">Merged_COEM!$B$47:$AN$152</definedName>
    <definedName name="Z_D27A9719_CA1F_4F10_B026_6793A25D97CF_.wvu.FilterData" localSheetId="1" hidden="1">Merged_JOEM!$B$47:$AN$116</definedName>
    <definedName name="Z_D33AC7AF_C8AB_4CE9_94C7_9237011A5FC3_.wvu.FilterData" localSheetId="0" hidden="1">Merged_COEM!$B$47:$AN$422</definedName>
    <definedName name="Z_D33AC7AF_C8AB_4CE9_94C7_9237011A5FC3_.wvu.FilterData" localSheetId="1" hidden="1">Merged_JOEM!$B$47:$AN$187</definedName>
    <definedName name="Z_D5ACA420_0704_4A7B_8271_EFB400689CE3_.wvu.FilterData" localSheetId="0" hidden="1">Merged_COEM!$B$47:$AN$113</definedName>
    <definedName name="Z_D5ACA420_0704_4A7B_8271_EFB400689CE3_.wvu.FilterData" localSheetId="1" hidden="1">Merged_JOEM!$B$47:$AN$108</definedName>
    <definedName name="Z_D6832C49_66A5_40BB_A73B_0C25E4D9B698_.wvu.FilterData" localSheetId="0" hidden="1">Merged_COEM!$B$47:$AN$113</definedName>
    <definedName name="Z_D68AA120_23E6_4E33_B593_B08CB8C9A9E2_.wvu.FilterData" localSheetId="0" hidden="1">Merged_COEM!$A$47:$AN$422</definedName>
    <definedName name="Z_D6B6CCCC_9FFF_4FFF_98B0_4EA5B228ED4B_.wvu.FilterData" localSheetId="0" hidden="1">Merged_COEM!$A$47:$AN$422</definedName>
    <definedName name="Z_D872AF61_C529_4DF8_A0AD_23C1DBB7ABFF_.wvu.FilterData" localSheetId="0" hidden="1">Merged_COEM!$B$47:$AN$422</definedName>
    <definedName name="Z_DA781726_B906_42BF_9F10_92770707708D_.wvu.FilterData" localSheetId="0" hidden="1">Merged_COEM!$B$47:$AN$152</definedName>
    <definedName name="Z_DDB52F07_9CA6_4C4D_B256_178082EC8245_.wvu.FilterData" localSheetId="0" hidden="1">Merged_COEM!$B$47:$AN$422</definedName>
    <definedName name="Z_DDB52F07_9CA6_4C4D_B256_178082EC8245_.wvu.FilterData" localSheetId="1" hidden="1">Merged_JOEM!$B$47:$AN$145</definedName>
    <definedName name="Z_E0DA618F_5168_4BDA_B90D_1071596CF2FC_.wvu.FilterData" localSheetId="0" hidden="1">Merged_COEM!$B$47:$AN$192</definedName>
    <definedName name="Z_E0F05845_7B3E_4BDE_9641_919043CF8853_.wvu.FilterData" localSheetId="0" hidden="1">Merged_COEM!$B$47:$AN$422</definedName>
    <definedName name="Z_E6180E73_1E02_47C0_826F_065429E1DBB3_.wvu.FilterData" localSheetId="0" hidden="1">Merged_COEM!$B$47:$AN$172</definedName>
    <definedName name="Z_E72CA2CF_6FE7_4387_B8FB_A8EC0BD159B1_.wvu.FilterData" localSheetId="0" hidden="1">Merged_COEM!$B$47:$AN$422</definedName>
    <definedName name="Z_E73B0B7F_6007_4682_BC1D_F46CD41654E9_.wvu.FilterData" localSheetId="0" hidden="1">Merged_COEM!$B$47:$AN$422</definedName>
    <definedName name="Z_EB30279F_71BB_4BBD_A7EE_691D83FBCC50_.wvu.FilterData" localSheetId="0" hidden="1">Merged_COEM!$B$47:$AN$47</definedName>
    <definedName name="Z_F2F80064_51A8_4D52_A123_C0058F84AA1A_.wvu.FilterData" localSheetId="0" hidden="1">Merged_COEM!$B$47:$AN$422</definedName>
    <definedName name="Z_F3C62E6E_7BB8_439B_825E_263944F8EEFB_.wvu.FilterData" localSheetId="0" hidden="1">Merged_COEM!$B$47:$AN$422</definedName>
    <definedName name="Z_F42B3598_EC4C_4CA4_96A7_EB7E4FD7B31F_.wvu.FilterData" localSheetId="0" hidden="1">Merged_COEM!$B$47:$AN$152</definedName>
    <definedName name="Z_F687CD9E_1B76_4957_9426_4ECD58D5D7D3_.wvu.FilterData" localSheetId="0" hidden="1">Merged_COEM!$B$47:$AN$152</definedName>
    <definedName name="Z_FDF8FFD6_749D_4772_99C1_B3E079EA1F04_.wvu.FilterData" localSheetId="0" hidden="1">Merged_COEM!$B$47:$AN$422</definedName>
    <definedName name="Z_FF8C4B39_B2F5_497E_BC38_7C8656C296DA_.wvu.FilterData" localSheetId="0" hidden="1">Merged_COEM!$B$47:$AN$172</definedName>
  </definedNames>
  <calcPr calcId="162913" calcOnSave="0"/>
  <customWorkbookViews>
    <customWorkbookView name="EXTERNAL Nguyen Trung Hieu (Ban Vien, RBVH/EPS45) - Personal View" guid="{250915DF-0B97-45D7-B29D-7EED4C89C1C1}" mergeInterval="0" personalView="1" maximized="1" xWindow="-8" yWindow="-8" windowWidth="1936" windowHeight="1176" activeSheetId="1"/>
    <customWorkbookView name="EXTERNAL Nguyen Tuan Duong (Ban Vien, RBVH/EPS45) - Personal View" guid="{7E0EA425-A420-4443-B9E0-CDF0AA9E5D09}" mergeInterval="0" personalView="1" maximized="1" xWindow="-8" yWindow="-8" windowWidth="1936" windowHeight="1176" activeSheetId="1"/>
    <customWorkbookView name="gup7hc - Personal View" guid="{3B3E6719-EACB-4D2C-89C1-05FFAB6020FD}" mergeInterval="0" personalView="1" maximized="1" xWindow="-8" yWindow="-8" windowWidth="1936" windowHeight="1186" activeSheetId="1"/>
    <customWorkbookView name="EXTERNAL Do Phu Loc (Ban Vien, RBVH/EPS45) - Personal View" guid="{72A6EB0A-84D5-4B8A-AC51-54CCD061630B}" mergeInterval="0" personalView="1" maximized="1" xWindow="-8" yWindow="-8" windowWidth="1936" windowHeight="1176" tabRatio="327" activeSheetId="1"/>
    <customWorkbookView name="EXTERNAL Nguyen Kim Thanh (Ban Vien, RBVH/EPS45) - Personal View" guid="{4E06BDBF-2CED-473B-850B-2A6C7311FF41}" mergeInterval="0" personalView="1" maximized="1" xWindow="-8" yWindow="-8" windowWidth="1936" windowHeight="1176" activeSheetId="1"/>
    <customWorkbookView name="EXTERNAL Nguyen Tai Hau (Ban Vien, RBVH/EPS45) - Personal View" guid="{7ECC2B8E-6A82-42F5-8AB0-4A51C54EA5EC}" mergeInterval="0" personalView="1" maximized="1" xWindow="-8" yWindow="-8" windowWidth="1936" windowHeight="1176" activeSheetId="1"/>
    <customWorkbookView name="EXTERNAL Nguyen Duy Bang (Ban Vien, RBVH/EPS45) - Personal View" guid="{A2C66332-A809-458E-971B-FDB6D62C74C3}" mergeInterval="0" personalView="1" maximized="1" xWindow="-8" yWindow="-8" windowWidth="1936" windowHeight="1176" activeSheetId="1"/>
    <customWorkbookView name="EXTERNAL Ly Chung (Ban Vien, RBVH/EPS45) - Personal View" guid="{60D2C030-4E31-4E07-8E1C-44D2EE84B177}" mergeInterval="0" personalView="1" maximized="1" xWindow="-8" yWindow="-8" windowWidth="1936" windowHeight="1176" tabRatio="495" activeSheetId="1"/>
    <customWorkbookView name="EXTERNAL Do Anh Huy (Ban Vien Company, RBVH/EPS45) - Personal View" guid="{D33AC7AF-C8AB-4CE9-94C7-9237011A5FC3}" mergeInterval="0" personalView="1" maximized="1" xWindow="-8" yWindow="-8" windowWidth="1936" windowHeight="1176" activeSheetId="2"/>
    <customWorkbookView name="EXTERNAL Luu Cong Dac (Ban Vien, RBVH/EPS45) - Personal View" guid="{336B6883-2145-4B58-921E-CEC7185A847E}" mergeInterval="0" personalView="1" maximized="1" xWindow="-8" yWindow="-8" windowWidth="1936" windowHeight="1176" tabRatio="428"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360" i="1" l="1"/>
  <c r="X359" i="1"/>
  <c r="X358" i="1"/>
  <c r="X357" i="1" l="1"/>
  <c r="W345" i="1" l="1"/>
  <c r="Y345" i="1" s="1"/>
  <c r="Z345" i="1" s="1"/>
  <c r="X273" i="1"/>
  <c r="X279" i="1"/>
  <c r="W364" i="1"/>
  <c r="Y364" i="1" s="1"/>
  <c r="W363" i="1"/>
  <c r="Y363" i="1" s="1"/>
  <c r="W362" i="1"/>
  <c r="Y362" i="1" s="1"/>
  <c r="W361" i="1"/>
  <c r="Y361" i="1" s="1"/>
  <c r="X278" i="1"/>
  <c r="X277" i="1"/>
  <c r="U10" i="4"/>
  <c r="S10" i="4"/>
  <c r="X9" i="4"/>
  <c r="W9" i="4"/>
  <c r="Q10" i="4"/>
  <c r="R10" i="4" s="1"/>
  <c r="Q9" i="4"/>
  <c r="X8" i="4"/>
  <c r="X10" i="4" s="1"/>
  <c r="W8" i="4"/>
  <c r="W10" i="4" s="1"/>
  <c r="G166" i="4"/>
  <c r="E166" i="4"/>
  <c r="D166" i="4"/>
  <c r="F166" i="4" s="1"/>
  <c r="D165" i="4"/>
  <c r="K164" i="4"/>
  <c r="K166" i="4" s="1"/>
  <c r="J164" i="4"/>
  <c r="J166" i="4" s="1"/>
  <c r="D153" i="4"/>
  <c r="H153" i="4" s="1"/>
  <c r="D152" i="4"/>
  <c r="K151" i="4"/>
  <c r="K153" i="4" s="1"/>
  <c r="J151" i="4"/>
  <c r="J153" i="4" s="1"/>
  <c r="G140" i="4"/>
  <c r="F140" i="4"/>
  <c r="E140" i="4"/>
  <c r="D140" i="4"/>
  <c r="H140" i="4" s="1"/>
  <c r="D139" i="4"/>
  <c r="K138" i="4"/>
  <c r="K140" i="4" s="1"/>
  <c r="J138" i="4"/>
  <c r="J140" i="4" s="1"/>
  <c r="G127" i="4"/>
  <c r="E127" i="4"/>
  <c r="D127" i="4"/>
  <c r="H127" i="4" s="1"/>
  <c r="D126" i="4"/>
  <c r="K125" i="4"/>
  <c r="K127" i="4" s="1"/>
  <c r="J125" i="4"/>
  <c r="J127" i="4" s="1"/>
  <c r="G114" i="4"/>
  <c r="F114" i="4"/>
  <c r="E114" i="4"/>
  <c r="D114" i="4"/>
  <c r="H114" i="4" s="1"/>
  <c r="D113" i="4"/>
  <c r="H113" i="4" s="1"/>
  <c r="K112" i="4"/>
  <c r="K114" i="4" s="1"/>
  <c r="J112" i="4"/>
  <c r="J114" i="4" s="1"/>
  <c r="D101" i="4"/>
  <c r="H101" i="4" s="1"/>
  <c r="D100" i="4"/>
  <c r="H100" i="4" s="1"/>
  <c r="K99" i="4"/>
  <c r="K101" i="4" s="1"/>
  <c r="J99" i="4"/>
  <c r="J101" i="4" s="1"/>
  <c r="D88" i="4"/>
  <c r="D87" i="4"/>
  <c r="H87" i="4" s="1"/>
  <c r="K86" i="4"/>
  <c r="K88" i="4" s="1"/>
  <c r="J86" i="4"/>
  <c r="J88" i="4" s="1"/>
  <c r="G75" i="4"/>
  <c r="E75" i="4"/>
  <c r="D75" i="4"/>
  <c r="H75" i="4" s="1"/>
  <c r="D74" i="4"/>
  <c r="H74" i="4" s="1"/>
  <c r="K73" i="4"/>
  <c r="K75" i="4" s="1"/>
  <c r="J73" i="4"/>
  <c r="J75" i="4" s="1"/>
  <c r="G62" i="4"/>
  <c r="F62" i="4"/>
  <c r="E62" i="4"/>
  <c r="D62" i="4"/>
  <c r="H62" i="4" s="1"/>
  <c r="D61" i="4"/>
  <c r="H61" i="4" s="1"/>
  <c r="K60" i="4"/>
  <c r="K62" i="4" s="1"/>
  <c r="J60" i="4"/>
  <c r="J62" i="4" s="1"/>
  <c r="G49" i="4"/>
  <c r="E49" i="4"/>
  <c r="D49" i="4"/>
  <c r="H49" i="4" s="1"/>
  <c r="D48" i="4"/>
  <c r="H48" i="4" s="1"/>
  <c r="K47" i="4"/>
  <c r="K49" i="4" s="1"/>
  <c r="J47" i="4"/>
  <c r="J49" i="4" s="1"/>
  <c r="F36" i="4"/>
  <c r="D36" i="4"/>
  <c r="H36" i="4" s="1"/>
  <c r="D35" i="4"/>
  <c r="H35" i="4" s="1"/>
  <c r="K34" i="4"/>
  <c r="K36" i="4" s="1"/>
  <c r="J34" i="4"/>
  <c r="J36" i="4" s="1"/>
  <c r="D23" i="4"/>
  <c r="H23" i="4" s="1"/>
  <c r="D22" i="4"/>
  <c r="H22" i="4" s="1"/>
  <c r="K21" i="4"/>
  <c r="K23" i="4" s="1"/>
  <c r="J21" i="4"/>
  <c r="J23" i="4" s="1"/>
  <c r="J10" i="4"/>
  <c r="K9" i="4"/>
  <c r="K9" i="5"/>
  <c r="K10" i="5"/>
  <c r="J10" i="5"/>
  <c r="J9" i="5"/>
  <c r="X276" i="1"/>
  <c r="D36" i="5"/>
  <c r="G36" i="5" s="1"/>
  <c r="D35" i="5"/>
  <c r="K35" i="5" s="1"/>
  <c r="K34" i="5"/>
  <c r="K36" i="5" s="1"/>
  <c r="J34" i="5"/>
  <c r="J36" i="5" s="1"/>
  <c r="G23" i="5"/>
  <c r="D23" i="5"/>
  <c r="H23" i="5" s="1"/>
  <c r="K22" i="5"/>
  <c r="G22" i="5"/>
  <c r="D22" i="5"/>
  <c r="H22" i="5" s="1"/>
  <c r="K21" i="5"/>
  <c r="K23" i="5" s="1"/>
  <c r="J21" i="5"/>
  <c r="J22" i="5" s="1"/>
  <c r="G9" i="5"/>
  <c r="D10" i="5"/>
  <c r="H10" i="5" s="1"/>
  <c r="D9" i="5"/>
  <c r="K8" i="5"/>
  <c r="J8" i="5"/>
  <c r="K8" i="4"/>
  <c r="K10" i="4" s="1"/>
  <c r="J8" i="4"/>
  <c r="D10" i="4"/>
  <c r="D9" i="4"/>
  <c r="F10" i="4"/>
  <c r="H9" i="4"/>
  <c r="W279" i="1"/>
  <c r="W278" i="1"/>
  <c r="W277" i="1"/>
  <c r="W276" i="1"/>
  <c r="X345" i="1" l="1"/>
  <c r="I114" i="4"/>
  <c r="I166" i="4"/>
  <c r="I62" i="4"/>
  <c r="I140" i="4"/>
  <c r="V10" i="4"/>
  <c r="K35" i="4"/>
  <c r="K61" i="4"/>
  <c r="K87" i="4"/>
  <c r="K113" i="4"/>
  <c r="K139" i="4"/>
  <c r="K165" i="4"/>
  <c r="J22" i="4"/>
  <c r="J48" i="4"/>
  <c r="F49" i="4"/>
  <c r="I49" i="4" s="1"/>
  <c r="J74" i="4"/>
  <c r="F75" i="4"/>
  <c r="I75" i="4" s="1"/>
  <c r="J100" i="4"/>
  <c r="J126" i="4"/>
  <c r="F127" i="4"/>
  <c r="I127" i="4" s="1"/>
  <c r="J152" i="4"/>
  <c r="H166" i="4"/>
  <c r="T10" i="4"/>
  <c r="K22" i="4"/>
  <c r="K48" i="4"/>
  <c r="K74" i="4"/>
  <c r="K100" i="4"/>
  <c r="K126" i="4"/>
  <c r="K152" i="4"/>
  <c r="J35" i="4"/>
  <c r="J61" i="4"/>
  <c r="J87" i="4"/>
  <c r="J113" i="4"/>
  <c r="J139" i="4"/>
  <c r="J165" i="4"/>
  <c r="H10" i="4"/>
  <c r="G10" i="4"/>
  <c r="E10" i="4"/>
  <c r="J23" i="5"/>
  <c r="H35" i="5"/>
  <c r="H36" i="5"/>
  <c r="J9" i="4"/>
  <c r="G10" i="5"/>
  <c r="J35" i="5"/>
  <c r="G35" i="5"/>
  <c r="X275" i="1" l="1"/>
  <c r="W360" i="1" l="1"/>
  <c r="Y360" i="1" s="1"/>
  <c r="W359" i="1"/>
  <c r="Y359" i="1" s="1"/>
  <c r="W358" i="1"/>
  <c r="Y358" i="1" s="1"/>
  <c r="C161" i="4"/>
  <c r="C160" i="4"/>
  <c r="Y357" i="1" l="1"/>
  <c r="W356" i="1"/>
  <c r="W355" i="1"/>
  <c r="W352" i="1"/>
  <c r="W351" i="1"/>
  <c r="W350" i="1"/>
  <c r="W349" i="1"/>
  <c r="X272" i="1"/>
  <c r="W252" i="1"/>
  <c r="Y252" i="1" s="1"/>
  <c r="Z252" i="1" s="1"/>
  <c r="W254" i="1"/>
  <c r="X254" i="1" s="1"/>
  <c r="Y356" i="1" l="1"/>
  <c r="X356" i="1"/>
  <c r="Y355" i="1"/>
  <c r="X355" i="1"/>
  <c r="Y350" i="1"/>
  <c r="X350" i="1"/>
  <c r="Y349" i="1"/>
  <c r="X349" i="1"/>
  <c r="Y351" i="1"/>
  <c r="Z351" i="1" s="1"/>
  <c r="H165" i="4" s="1"/>
  <c r="X351" i="1"/>
  <c r="Y352" i="1"/>
  <c r="Z352" i="1" s="1"/>
  <c r="X352" i="1"/>
  <c r="X252" i="1"/>
  <c r="Y254" i="1"/>
  <c r="Z254" i="1" s="1"/>
  <c r="W256" i="1"/>
  <c r="X256" i="1" s="1"/>
  <c r="W354" i="1"/>
  <c r="Y354" i="1" s="1"/>
  <c r="W353" i="1"/>
  <c r="Y353" i="1" s="1"/>
  <c r="W348" i="1"/>
  <c r="W347" i="1"/>
  <c r="W346" i="1"/>
  <c r="W344" i="1"/>
  <c r="Y344" i="1" s="1"/>
  <c r="W343" i="1"/>
  <c r="Y343" i="1" s="1"/>
  <c r="W342" i="1"/>
  <c r="Y342" i="1" s="1"/>
  <c r="W341" i="1"/>
  <c r="Y341" i="1" s="1"/>
  <c r="W340" i="1"/>
  <c r="W339" i="1"/>
  <c r="Y339" i="1" s="1"/>
  <c r="W338" i="1"/>
  <c r="W337" i="1"/>
  <c r="Y337" i="1" s="1"/>
  <c r="W336" i="1"/>
  <c r="Y336" i="1" s="1"/>
  <c r="W335" i="1"/>
  <c r="E165" i="4" s="1"/>
  <c r="Y348" i="1" l="1"/>
  <c r="X348" i="1"/>
  <c r="Y338" i="1"/>
  <c r="X338" i="1"/>
  <c r="Y335" i="1"/>
  <c r="G165" i="4" s="1"/>
  <c r="Y346" i="1"/>
  <c r="X346" i="1"/>
  <c r="Y347" i="1"/>
  <c r="X347" i="1"/>
  <c r="Y340" i="1"/>
  <c r="X340" i="1"/>
  <c r="Y256" i="1"/>
  <c r="Z256" i="1" s="1"/>
  <c r="C147" i="4"/>
  <c r="F165" i="4" l="1"/>
  <c r="I165" i="4" s="1"/>
  <c r="C148" i="4"/>
  <c r="W334" i="1"/>
  <c r="Y334" i="1" s="1"/>
  <c r="W333" i="1"/>
  <c r="Y333" i="1" s="1"/>
  <c r="W332" i="1"/>
  <c r="Y332" i="1" s="1"/>
  <c r="W331" i="1"/>
  <c r="Y331" i="1" s="1"/>
  <c r="W330" i="1"/>
  <c r="W329" i="1"/>
  <c r="W328" i="1"/>
  <c r="W327" i="1"/>
  <c r="W326" i="1"/>
  <c r="W325" i="1"/>
  <c r="Y325" i="1" s="1"/>
  <c r="W324" i="1"/>
  <c r="Y324" i="1" s="1"/>
  <c r="W323" i="1"/>
  <c r="W322" i="1"/>
  <c r="W321" i="1"/>
  <c r="Y321" i="1" s="1"/>
  <c r="W320" i="1"/>
  <c r="W319" i="1"/>
  <c r="W318" i="1"/>
  <c r="W317" i="1"/>
  <c r="W316" i="1"/>
  <c r="W315" i="1"/>
  <c r="W314" i="1"/>
  <c r="W313" i="1"/>
  <c r="W312" i="1"/>
  <c r="W311" i="1"/>
  <c r="Y311" i="1" s="1"/>
  <c r="W310" i="1"/>
  <c r="W309" i="1"/>
  <c r="W308" i="1"/>
  <c r="W307" i="1"/>
  <c r="E152" i="4" l="1"/>
  <c r="R9" i="4"/>
  <c r="E153" i="4"/>
  <c r="Y328" i="1"/>
  <c r="C159" i="4"/>
  <c r="C162" i="4"/>
  <c r="Y329" i="1"/>
  <c r="X329" i="1"/>
  <c r="Y319" i="1"/>
  <c r="X319" i="1"/>
  <c r="Y326" i="1"/>
  <c r="X326" i="1"/>
  <c r="Y330" i="1"/>
  <c r="X330" i="1"/>
  <c r="Y320" i="1"/>
  <c r="X320" i="1"/>
  <c r="Y323" i="1"/>
  <c r="X323" i="1"/>
  <c r="Y327" i="1"/>
  <c r="X327" i="1"/>
  <c r="Y322" i="1"/>
  <c r="X322" i="1"/>
  <c r="Y313" i="1"/>
  <c r="X313" i="1"/>
  <c r="Y317" i="1"/>
  <c r="X317" i="1"/>
  <c r="Y314" i="1"/>
  <c r="X314" i="1"/>
  <c r="Y318" i="1"/>
  <c r="Z318" i="1" s="1"/>
  <c r="X318" i="1"/>
  <c r="Y309" i="1"/>
  <c r="X309" i="1"/>
  <c r="Y315" i="1"/>
  <c r="X315" i="1"/>
  <c r="Y312" i="1"/>
  <c r="Z312" i="1" s="1"/>
  <c r="X312" i="1"/>
  <c r="Y316" i="1"/>
  <c r="X316" i="1"/>
  <c r="Y308" i="1"/>
  <c r="X308" i="1"/>
  <c r="Y310" i="1"/>
  <c r="X310" i="1"/>
  <c r="Y307" i="1"/>
  <c r="X307" i="1"/>
  <c r="W157" i="2"/>
  <c r="X157" i="2" s="1"/>
  <c r="W156" i="2"/>
  <c r="X156" i="2" s="1"/>
  <c r="W155" i="2"/>
  <c r="X155" i="2" s="1"/>
  <c r="W154" i="2"/>
  <c r="X154" i="2" s="1"/>
  <c r="W153" i="2"/>
  <c r="X153" i="2" s="1"/>
  <c r="W152" i="2"/>
  <c r="X152" i="2" s="1"/>
  <c r="W151" i="2"/>
  <c r="X151" i="2" s="1"/>
  <c r="W150" i="2"/>
  <c r="X150" i="2" s="1"/>
  <c r="W149" i="2"/>
  <c r="X149" i="2" s="1"/>
  <c r="W148" i="2"/>
  <c r="X148" i="2" s="1"/>
  <c r="W147" i="2"/>
  <c r="W146" i="2"/>
  <c r="X146" i="2" s="1"/>
  <c r="C135" i="4"/>
  <c r="C134" i="4"/>
  <c r="C122" i="4"/>
  <c r="C121" i="4"/>
  <c r="C109" i="4"/>
  <c r="C108" i="4"/>
  <c r="F152" i="4" l="1"/>
  <c r="I152" i="4" s="1"/>
  <c r="G153" i="4"/>
  <c r="F153" i="4"/>
  <c r="I153" i="4" s="1"/>
  <c r="G152" i="4"/>
  <c r="S9" i="4"/>
  <c r="V9" i="4" s="1"/>
  <c r="Z319" i="1"/>
  <c r="U9" i="4" s="1"/>
  <c r="T9" i="4"/>
  <c r="H152" i="4"/>
  <c r="C146" i="4"/>
  <c r="W306" i="1"/>
  <c r="W305" i="1"/>
  <c r="W304" i="1"/>
  <c r="W303" i="1"/>
  <c r="W302" i="1"/>
  <c r="W301" i="1"/>
  <c r="W300" i="1"/>
  <c r="W299" i="1"/>
  <c r="W298" i="1"/>
  <c r="W297" i="1"/>
  <c r="W296" i="1"/>
  <c r="W295" i="1"/>
  <c r="W294" i="1"/>
  <c r="Y298" i="1" l="1"/>
  <c r="X298" i="1"/>
  <c r="Y297" i="1"/>
  <c r="X297" i="1"/>
  <c r="Y295" i="1"/>
  <c r="X295" i="1"/>
  <c r="Y296" i="1"/>
  <c r="X296" i="1"/>
  <c r="Y306" i="1"/>
  <c r="X306" i="1"/>
  <c r="C149" i="4"/>
  <c r="Y303" i="1"/>
  <c r="X303" i="1"/>
  <c r="Y304" i="1"/>
  <c r="X304" i="1"/>
  <c r="Y301" i="1"/>
  <c r="X301" i="1"/>
  <c r="Y302" i="1"/>
  <c r="X302" i="1"/>
  <c r="Y299" i="1"/>
  <c r="X299" i="1"/>
  <c r="Y300" i="1"/>
  <c r="X300" i="1"/>
  <c r="Y294" i="1"/>
  <c r="X294" i="1"/>
  <c r="W245" i="1"/>
  <c r="Y245" i="1" s="1"/>
  <c r="Z245" i="1" s="1"/>
  <c r="W246" i="1"/>
  <c r="Y246" i="1" s="1"/>
  <c r="Z246" i="1" s="1"/>
  <c r="W247" i="1"/>
  <c r="Y247" i="1" s="1"/>
  <c r="W248" i="1"/>
  <c r="W249" i="1"/>
  <c r="W250" i="1"/>
  <c r="W251" i="1"/>
  <c r="W253" i="1"/>
  <c r="W255" i="1"/>
  <c r="W257" i="1"/>
  <c r="W258" i="1"/>
  <c r="W259" i="1"/>
  <c r="W260" i="1"/>
  <c r="W261" i="1"/>
  <c r="W262" i="1"/>
  <c r="W263" i="1"/>
  <c r="W264" i="1"/>
  <c r="W265" i="1"/>
  <c r="W266" i="1"/>
  <c r="W267" i="1"/>
  <c r="W268" i="1"/>
  <c r="W269" i="1"/>
  <c r="W270" i="1"/>
  <c r="W271" i="1"/>
  <c r="Y272" i="1"/>
  <c r="Y273" i="1"/>
  <c r="W274" i="1"/>
  <c r="Y275" i="1"/>
  <c r="Y276" i="1"/>
  <c r="Y277" i="1"/>
  <c r="Y278" i="1"/>
  <c r="Y279" i="1"/>
  <c r="W280" i="1"/>
  <c r="W281" i="1"/>
  <c r="Y281" i="1" s="1"/>
  <c r="W282" i="1"/>
  <c r="W283" i="1"/>
  <c r="W284" i="1"/>
  <c r="W285" i="1"/>
  <c r="W286" i="1"/>
  <c r="W287" i="1"/>
  <c r="W288" i="1"/>
  <c r="W289" i="1"/>
  <c r="W290" i="1"/>
  <c r="W291" i="1"/>
  <c r="W292" i="1"/>
  <c r="W293" i="1"/>
  <c r="W244" i="1"/>
  <c r="E139" i="4" l="1"/>
  <c r="Y288" i="1"/>
  <c r="X288" i="1"/>
  <c r="Y274" i="1"/>
  <c r="Z274" i="1" s="1"/>
  <c r="X274" i="1"/>
  <c r="Y250" i="1"/>
  <c r="Z250" i="1" s="1"/>
  <c r="X250" i="1"/>
  <c r="Y249" i="1"/>
  <c r="Z249" i="1" s="1"/>
  <c r="X249" i="1"/>
  <c r="Y259" i="1"/>
  <c r="Z259" i="1" s="1"/>
  <c r="X259" i="1"/>
  <c r="Y268" i="1"/>
  <c r="X268" i="1"/>
  <c r="Y260" i="1"/>
  <c r="X260" i="1"/>
  <c r="Y265" i="1"/>
  <c r="Z265" i="1" s="1"/>
  <c r="X265" i="1"/>
  <c r="Y267" i="1"/>
  <c r="Z267" i="1" s="1"/>
  <c r="X267" i="1"/>
  <c r="Y269" i="1"/>
  <c r="Z269" i="1" s="1"/>
  <c r="X269" i="1"/>
  <c r="Y271" i="1"/>
  <c r="Z271" i="1" s="1"/>
  <c r="X271" i="1"/>
  <c r="Y253" i="1"/>
  <c r="X253" i="1"/>
  <c r="Y286" i="1"/>
  <c r="X286" i="1"/>
  <c r="Y287" i="1"/>
  <c r="X287" i="1"/>
  <c r="Y284" i="1"/>
  <c r="X284" i="1"/>
  <c r="Y291" i="1"/>
  <c r="Z291" i="1" s="1"/>
  <c r="X291" i="1"/>
  <c r="Y283" i="1"/>
  <c r="X283" i="1"/>
  <c r="Y282" i="1"/>
  <c r="Z282" i="1" s="1"/>
  <c r="X282" i="1"/>
  <c r="Y289" i="1"/>
  <c r="X289" i="1"/>
  <c r="Y290" i="1"/>
  <c r="X290" i="1"/>
  <c r="Y244" i="1"/>
  <c r="Y293" i="1"/>
  <c r="X293" i="1"/>
  <c r="Y292" i="1"/>
  <c r="X292" i="1"/>
  <c r="Y266" i="1"/>
  <c r="X266" i="1"/>
  <c r="Y263" i="1"/>
  <c r="X263" i="1"/>
  <c r="Y257" i="1"/>
  <c r="X257" i="1"/>
  <c r="Y258" i="1"/>
  <c r="X258" i="1"/>
  <c r="Y248" i="1"/>
  <c r="X248" i="1"/>
  <c r="Y264" i="1"/>
  <c r="X264" i="1"/>
  <c r="Y255" i="1"/>
  <c r="X255" i="1"/>
  <c r="Y251" i="1"/>
  <c r="X251" i="1"/>
  <c r="Y270" i="1"/>
  <c r="X270" i="1"/>
  <c r="Y262" i="1"/>
  <c r="X262" i="1"/>
  <c r="Y261" i="1"/>
  <c r="X261" i="1"/>
  <c r="Y280" i="1"/>
  <c r="Z280" i="1" s="1"/>
  <c r="X280" i="1"/>
  <c r="Y285" i="1"/>
  <c r="X285" i="1"/>
  <c r="X244" i="1"/>
  <c r="X247" i="1"/>
  <c r="X245" i="1"/>
  <c r="X246" i="1"/>
  <c r="X281" i="1"/>
  <c r="X189" i="1"/>
  <c r="H139" i="4" l="1"/>
  <c r="G139" i="4"/>
  <c r="C133" i="4" s="1"/>
  <c r="F139" i="4"/>
  <c r="I139" i="4" s="1"/>
  <c r="Y189" i="1"/>
  <c r="C136" i="4" l="1"/>
  <c r="W232" i="1"/>
  <c r="W233" i="1"/>
  <c r="W234" i="1"/>
  <c r="W235" i="1"/>
  <c r="W236" i="1"/>
  <c r="W237" i="1"/>
  <c r="W238" i="1"/>
  <c r="W239" i="1"/>
  <c r="W240" i="1"/>
  <c r="W241" i="1"/>
  <c r="W242" i="1"/>
  <c r="W243" i="1"/>
  <c r="X243" i="1" s="1"/>
  <c r="W231" i="1"/>
  <c r="E126" i="4" s="1"/>
  <c r="X231" i="1" l="1"/>
  <c r="Y238" i="1"/>
  <c r="X238" i="1"/>
  <c r="Y240" i="1"/>
  <c r="X240" i="1"/>
  <c r="Y236" i="1"/>
  <c r="Z236" i="1" s="1"/>
  <c r="X236" i="1"/>
  <c r="Y239" i="1"/>
  <c r="Z239" i="1" s="1"/>
  <c r="X239" i="1"/>
  <c r="Y235" i="1"/>
  <c r="Z235" i="1" s="1"/>
  <c r="X235" i="1"/>
  <c r="Y241" i="1"/>
  <c r="Z241" i="1" s="1"/>
  <c r="X241" i="1"/>
  <c r="Y237" i="1"/>
  <c r="Z237" i="1" s="1"/>
  <c r="X237" i="1"/>
  <c r="Y233" i="1"/>
  <c r="X233" i="1"/>
  <c r="Y234" i="1"/>
  <c r="Z234" i="1" s="1"/>
  <c r="X234" i="1"/>
  <c r="Y232" i="1"/>
  <c r="Z232" i="1" s="1"/>
  <c r="X232" i="1"/>
  <c r="Y242" i="1"/>
  <c r="X242" i="1"/>
  <c r="Y243" i="1"/>
  <c r="Y231" i="1"/>
  <c r="G126" i="4" s="1"/>
  <c r="C96" i="4"/>
  <c r="C95" i="4"/>
  <c r="W230" i="1"/>
  <c r="X230" i="1" s="1"/>
  <c r="W229" i="1"/>
  <c r="X229" i="1" s="1"/>
  <c r="W228" i="1"/>
  <c r="Y228" i="1" s="1"/>
  <c r="H126" i="4" l="1"/>
  <c r="F126" i="4"/>
  <c r="I126" i="4" s="1"/>
  <c r="C120" i="4"/>
  <c r="X228" i="1"/>
  <c r="Y230" i="1"/>
  <c r="Y229" i="1"/>
  <c r="W227" i="1"/>
  <c r="W226" i="1"/>
  <c r="W225" i="1"/>
  <c r="W224" i="1"/>
  <c r="W223" i="1"/>
  <c r="W222" i="1"/>
  <c r="W221" i="1"/>
  <c r="W220" i="1"/>
  <c r="W219" i="1"/>
  <c r="W218" i="1"/>
  <c r="W217" i="1"/>
  <c r="W216" i="1"/>
  <c r="W215" i="1"/>
  <c r="W214" i="1"/>
  <c r="W213" i="1"/>
  <c r="W212" i="1"/>
  <c r="W211" i="1"/>
  <c r="W210" i="1"/>
  <c r="W209" i="1"/>
  <c r="W208" i="1"/>
  <c r="W207" i="1"/>
  <c r="W206" i="1"/>
  <c r="W205" i="1"/>
  <c r="W204" i="1"/>
  <c r="W203" i="1"/>
  <c r="W202" i="1"/>
  <c r="W201" i="1"/>
  <c r="W200" i="1"/>
  <c r="W199" i="1"/>
  <c r="W198" i="1"/>
  <c r="W197" i="1"/>
  <c r="W196" i="1"/>
  <c r="E113" i="4" l="1"/>
  <c r="C123" i="4"/>
  <c r="X196" i="1"/>
  <c r="Y204" i="1"/>
  <c r="X204" i="1"/>
  <c r="Y205" i="1"/>
  <c r="X205" i="1"/>
  <c r="Y202" i="1"/>
  <c r="X202" i="1"/>
  <c r="Y203" i="1"/>
  <c r="X203" i="1"/>
  <c r="Y200" i="1"/>
  <c r="X200" i="1"/>
  <c r="Y197" i="1"/>
  <c r="X197" i="1"/>
  <c r="Y201" i="1"/>
  <c r="X201" i="1"/>
  <c r="Y198" i="1"/>
  <c r="X198" i="1"/>
  <c r="Y199" i="1"/>
  <c r="X199" i="1"/>
  <c r="Y221" i="1"/>
  <c r="X221" i="1"/>
  <c r="Y207" i="1"/>
  <c r="X207" i="1"/>
  <c r="Y211" i="1"/>
  <c r="X211" i="1"/>
  <c r="Y208" i="1"/>
  <c r="X208" i="1"/>
  <c r="Y212" i="1"/>
  <c r="X212" i="1"/>
  <c r="Y209" i="1"/>
  <c r="X209" i="1"/>
  <c r="Y213" i="1"/>
  <c r="X213" i="1"/>
  <c r="Y206" i="1"/>
  <c r="X206" i="1"/>
  <c r="Y210" i="1"/>
  <c r="X210" i="1"/>
  <c r="Y214" i="1"/>
  <c r="X214" i="1"/>
  <c r="Y226" i="1"/>
  <c r="X226" i="1"/>
  <c r="Y215" i="1"/>
  <c r="X215" i="1"/>
  <c r="Y219" i="1"/>
  <c r="X219" i="1"/>
  <c r="Y223" i="1"/>
  <c r="X223" i="1"/>
  <c r="Y227" i="1"/>
  <c r="X227" i="1"/>
  <c r="Y220" i="1"/>
  <c r="X220" i="1"/>
  <c r="Y224" i="1"/>
  <c r="X224" i="1"/>
  <c r="Y225" i="1"/>
  <c r="X225" i="1"/>
  <c r="Y222" i="1"/>
  <c r="X222" i="1"/>
  <c r="Y217" i="1"/>
  <c r="X217" i="1"/>
  <c r="Y218" i="1"/>
  <c r="X218" i="1"/>
  <c r="Y216" i="1"/>
  <c r="X216" i="1"/>
  <c r="Y196" i="1"/>
  <c r="W195" i="1"/>
  <c r="E101" i="4" s="1"/>
  <c r="W194" i="1"/>
  <c r="Y194" i="1" s="1"/>
  <c r="W193" i="1"/>
  <c r="G113" i="4" l="1"/>
  <c r="C107" i="4" s="1"/>
  <c r="E100" i="4"/>
  <c r="F113" i="4"/>
  <c r="I113" i="4" s="1"/>
  <c r="X193" i="1"/>
  <c r="Y195" i="1"/>
  <c r="G101" i="4" s="1"/>
  <c r="X195" i="1"/>
  <c r="F101" i="4" s="1"/>
  <c r="I101" i="4" s="1"/>
  <c r="X194" i="1"/>
  <c r="Y193" i="1"/>
  <c r="G100" i="4" s="1"/>
  <c r="M14" i="6"/>
  <c r="F100" i="4" l="1"/>
  <c r="I100" i="4" s="1"/>
  <c r="C110" i="4"/>
  <c r="C94" i="4"/>
  <c r="C97" i="4"/>
  <c r="W192" i="1"/>
  <c r="Y192" i="1" l="1"/>
  <c r="X192" i="1"/>
  <c r="C83" i="4"/>
  <c r="C82" i="4"/>
  <c r="C70" i="4"/>
  <c r="C69" i="4"/>
  <c r="C31" i="4"/>
  <c r="C30" i="4"/>
  <c r="C44" i="4"/>
  <c r="C43" i="4"/>
  <c r="C57" i="4"/>
  <c r="C56" i="4"/>
  <c r="W145" i="2" l="1"/>
  <c r="X145" i="2" s="1"/>
  <c r="W144" i="2"/>
  <c r="X144" i="2" s="1"/>
  <c r="W143" i="2"/>
  <c r="X143" i="2" s="1"/>
  <c r="W142" i="2"/>
  <c r="X142" i="2" s="1"/>
  <c r="W141" i="2"/>
  <c r="X141" i="2" s="1"/>
  <c r="W140" i="2"/>
  <c r="X140" i="2" s="1"/>
  <c r="W139" i="2"/>
  <c r="X139" i="2" s="1"/>
  <c r="W138" i="2"/>
  <c r="X138" i="2" s="1"/>
  <c r="W137" i="2"/>
  <c r="X137" i="2" s="1"/>
  <c r="W136" i="2"/>
  <c r="X136" i="2" s="1"/>
  <c r="W191" i="1"/>
  <c r="W190" i="1"/>
  <c r="W188" i="1"/>
  <c r="W187" i="1"/>
  <c r="W186" i="1"/>
  <c r="W185" i="1"/>
  <c r="W184" i="1"/>
  <c r="W183" i="1"/>
  <c r="W182" i="1"/>
  <c r="W181" i="1"/>
  <c r="W180" i="1"/>
  <c r="W179" i="1"/>
  <c r="W178" i="1"/>
  <c r="W177" i="1"/>
  <c r="W176" i="1"/>
  <c r="W175" i="1"/>
  <c r="X175" i="1" s="1"/>
  <c r="W174" i="1"/>
  <c r="W173" i="1"/>
  <c r="Y162" i="1"/>
  <c r="W172" i="1"/>
  <c r="Y172" i="1" s="1"/>
  <c r="W171" i="1"/>
  <c r="Y171" i="1" s="1"/>
  <c r="W170" i="1"/>
  <c r="Y170" i="1" s="1"/>
  <c r="W169" i="1"/>
  <c r="Y169" i="1" s="1"/>
  <c r="W168" i="1"/>
  <c r="E74" i="4" s="1"/>
  <c r="E87" i="4" l="1"/>
  <c r="E88" i="4"/>
  <c r="X173" i="1"/>
  <c r="X176" i="1"/>
  <c r="Y178" i="1"/>
  <c r="X178" i="1"/>
  <c r="Y182" i="1"/>
  <c r="X182" i="1"/>
  <c r="Y186" i="1"/>
  <c r="X186" i="1"/>
  <c r="Y175" i="1"/>
  <c r="Y179" i="1"/>
  <c r="X179" i="1"/>
  <c r="Y183" i="1"/>
  <c r="X183" i="1"/>
  <c r="Y177" i="1"/>
  <c r="X177" i="1"/>
  <c r="Y181" i="1"/>
  <c r="X181" i="1"/>
  <c r="Y180" i="1"/>
  <c r="X180" i="1"/>
  <c r="Y184" i="1"/>
  <c r="X184" i="1"/>
  <c r="Y185" i="1"/>
  <c r="X185" i="1"/>
  <c r="Y174" i="1"/>
  <c r="X174" i="1"/>
  <c r="Y190" i="1"/>
  <c r="X190" i="1"/>
  <c r="Y188" i="1"/>
  <c r="X188" i="1"/>
  <c r="Y187" i="1"/>
  <c r="X187" i="1"/>
  <c r="Y191" i="1"/>
  <c r="Z191" i="1" s="1"/>
  <c r="H88" i="4" s="1"/>
  <c r="X191" i="1"/>
  <c r="Y173" i="1"/>
  <c r="Y168" i="1"/>
  <c r="G74" i="4" s="1"/>
  <c r="Y176" i="1"/>
  <c r="G87" i="4" s="1"/>
  <c r="X169" i="1"/>
  <c r="X170" i="1"/>
  <c r="X171" i="1"/>
  <c r="X168" i="1"/>
  <c r="F74" i="4" s="1"/>
  <c r="I74" i="4" s="1"/>
  <c r="X172" i="1"/>
  <c r="C31" i="5"/>
  <c r="C30" i="5"/>
  <c r="W135" i="2"/>
  <c r="X135" i="2" s="1"/>
  <c r="W134" i="2"/>
  <c r="X134" i="2" s="1"/>
  <c r="W133" i="2"/>
  <c r="X133" i="2" s="1"/>
  <c r="W132" i="2"/>
  <c r="X132" i="2" s="1"/>
  <c r="W131" i="2"/>
  <c r="X131" i="2" s="1"/>
  <c r="W130" i="2"/>
  <c r="X130" i="2" s="1"/>
  <c r="W129" i="2"/>
  <c r="X129" i="2" s="1"/>
  <c r="W128" i="2"/>
  <c r="X128" i="2" s="1"/>
  <c r="W127" i="2"/>
  <c r="W126" i="2"/>
  <c r="X126" i="2" s="1"/>
  <c r="W125" i="2"/>
  <c r="X125" i="2" s="1"/>
  <c r="W124" i="2"/>
  <c r="X124" i="2" s="1"/>
  <c r="W123" i="2"/>
  <c r="W122" i="2"/>
  <c r="X122" i="2" s="1"/>
  <c r="W121" i="2"/>
  <c r="W120" i="2"/>
  <c r="W119" i="2"/>
  <c r="W118" i="2"/>
  <c r="W117" i="2"/>
  <c r="G88" i="4" l="1"/>
  <c r="F87" i="4"/>
  <c r="I87" i="4" s="1"/>
  <c r="E36" i="5"/>
  <c r="F88" i="4"/>
  <c r="I88" i="4" s="1"/>
  <c r="X127" i="2"/>
  <c r="F35" i="5" s="1"/>
  <c r="E35" i="5"/>
  <c r="X123" i="2"/>
  <c r="F36" i="5" s="1"/>
  <c r="I36" i="5" s="1"/>
  <c r="C29" i="5"/>
  <c r="C68" i="4"/>
  <c r="C71" i="4"/>
  <c r="C32" i="5"/>
  <c r="I35" i="5" l="1"/>
  <c r="C81" i="4"/>
  <c r="C84" i="4"/>
  <c r="W118" i="1"/>
  <c r="Y118" i="1" s="1"/>
  <c r="X118" i="1" l="1"/>
  <c r="W152" i="1" l="1"/>
  <c r="Y152" i="1" s="1"/>
  <c r="W151" i="1"/>
  <c r="Y151" i="1" s="1"/>
  <c r="W150" i="1"/>
  <c r="W149" i="1"/>
  <c r="X149" i="1" s="1"/>
  <c r="W148" i="1"/>
  <c r="W147" i="1"/>
  <c r="W146" i="1"/>
  <c r="W145" i="1"/>
  <c r="X145" i="1" s="1"/>
  <c r="W144" i="1"/>
  <c r="W143" i="1"/>
  <c r="E61" i="4" s="1"/>
  <c r="X150" i="1" l="1"/>
  <c r="Y150" i="1"/>
  <c r="Y149" i="1"/>
  <c r="X151" i="1"/>
  <c r="Y148" i="1"/>
  <c r="X148" i="1"/>
  <c r="Y145" i="1"/>
  <c r="Y147" i="1"/>
  <c r="X147" i="1"/>
  <c r="Y146" i="1"/>
  <c r="X146" i="1"/>
  <c r="Y143" i="1"/>
  <c r="X143" i="1"/>
  <c r="Y144" i="1"/>
  <c r="X144" i="1"/>
  <c r="X152" i="1"/>
  <c r="W133" i="1"/>
  <c r="X133" i="1" s="1"/>
  <c r="F61" i="4" l="1"/>
  <c r="I61" i="4" s="1"/>
  <c r="G61" i="4"/>
  <c r="Y133" i="1"/>
  <c r="W131" i="1"/>
  <c r="W132" i="1"/>
  <c r="W134" i="1"/>
  <c r="W135" i="1"/>
  <c r="W136" i="1"/>
  <c r="W137" i="1"/>
  <c r="W138" i="1"/>
  <c r="W139" i="1"/>
  <c r="W140" i="1"/>
  <c r="W141" i="1"/>
  <c r="W142" i="1"/>
  <c r="W130" i="1"/>
  <c r="C18" i="5"/>
  <c r="C17" i="5"/>
  <c r="W116" i="2"/>
  <c r="X116" i="2" s="1"/>
  <c r="W115" i="2"/>
  <c r="X115" i="2" s="1"/>
  <c r="W114" i="2"/>
  <c r="X114" i="2" s="1"/>
  <c r="W113" i="2"/>
  <c r="X113" i="2" s="1"/>
  <c r="W112" i="2"/>
  <c r="X112" i="2" s="1"/>
  <c r="W111" i="2"/>
  <c r="W110" i="2"/>
  <c r="X110" i="2" s="1"/>
  <c r="W109" i="2"/>
  <c r="W73" i="1"/>
  <c r="X73" i="1" s="1"/>
  <c r="X111" i="2" l="1"/>
  <c r="F23" i="5" s="1"/>
  <c r="I23" i="5" s="1"/>
  <c r="E23" i="5"/>
  <c r="X109" i="2"/>
  <c r="F22" i="5" s="1"/>
  <c r="I22" i="5" s="1"/>
  <c r="E22" i="5"/>
  <c r="Y137" i="1"/>
  <c r="X137" i="1"/>
  <c r="C55" i="4"/>
  <c r="C58" i="4"/>
  <c r="Y136" i="1"/>
  <c r="X136" i="1"/>
  <c r="Y130" i="1"/>
  <c r="X130" i="1"/>
  <c r="C16" i="5"/>
  <c r="C19" i="5"/>
  <c r="Y142" i="1"/>
  <c r="X142" i="1"/>
  <c r="Y138" i="1"/>
  <c r="X138" i="1"/>
  <c r="Y134" i="1"/>
  <c r="X134" i="1"/>
  <c r="Y141" i="1"/>
  <c r="X141" i="1"/>
  <c r="Y132" i="1"/>
  <c r="X132" i="1"/>
  <c r="Y140" i="1"/>
  <c r="X140" i="1"/>
  <c r="Y139" i="1"/>
  <c r="X139" i="1"/>
  <c r="Y131" i="1"/>
  <c r="X131" i="1"/>
  <c r="Y135" i="1"/>
  <c r="X135" i="1"/>
  <c r="W129" i="1"/>
  <c r="W128" i="1"/>
  <c r="W127" i="1"/>
  <c r="W126" i="1"/>
  <c r="W125" i="1"/>
  <c r="W124" i="1"/>
  <c r="W123" i="1"/>
  <c r="W122" i="1"/>
  <c r="W121" i="1"/>
  <c r="W120" i="1"/>
  <c r="W119" i="1"/>
  <c r="W117" i="1"/>
  <c r="W116" i="1"/>
  <c r="W115" i="1"/>
  <c r="W114" i="1"/>
  <c r="E48" i="4" l="1"/>
  <c r="X114" i="1"/>
  <c r="E4" i="1"/>
  <c r="Y115" i="1"/>
  <c r="X115" i="1"/>
  <c r="Y116" i="1"/>
  <c r="X116" i="1"/>
  <c r="Y117" i="1"/>
  <c r="X117" i="1"/>
  <c r="Y129" i="1"/>
  <c r="X129" i="1"/>
  <c r="Y128" i="1"/>
  <c r="X128" i="1"/>
  <c r="Y119" i="1"/>
  <c r="X119" i="1"/>
  <c r="Y123" i="1"/>
  <c r="X123" i="1"/>
  <c r="Y127" i="1"/>
  <c r="X127" i="1"/>
  <c r="Y126" i="1"/>
  <c r="X126" i="1"/>
  <c r="Y120" i="1"/>
  <c r="X120" i="1"/>
  <c r="Y121" i="1"/>
  <c r="X121" i="1"/>
  <c r="Y122" i="1"/>
  <c r="X122" i="1"/>
  <c r="Y124" i="1"/>
  <c r="X124" i="1"/>
  <c r="Y125" i="1"/>
  <c r="X125" i="1"/>
  <c r="Y114" i="1"/>
  <c r="Y66" i="1"/>
  <c r="X66" i="1"/>
  <c r="W112" i="1"/>
  <c r="E35" i="4" s="1"/>
  <c r="G48" i="4" l="1"/>
  <c r="C42" i="4" s="1"/>
  <c r="F48" i="4"/>
  <c r="I48" i="4" s="1"/>
  <c r="X112" i="1"/>
  <c r="F35" i="4" s="1"/>
  <c r="I35" i="4" s="1"/>
  <c r="Z89" i="1"/>
  <c r="X61" i="1"/>
  <c r="C45" i="4" l="1"/>
  <c r="Y112" i="1"/>
  <c r="G35" i="4" s="1"/>
  <c r="W113" i="1"/>
  <c r="E36" i="4" s="1"/>
  <c r="I36" i="4" s="1"/>
  <c r="V74" i="1"/>
  <c r="V72" i="1"/>
  <c r="V71" i="1"/>
  <c r="V68" i="1"/>
  <c r="Y113" i="1" l="1"/>
  <c r="G36" i="4" s="1"/>
  <c r="D4" i="1"/>
  <c r="C29" i="4" l="1"/>
  <c r="Z107" i="2"/>
  <c r="Z106" i="2"/>
  <c r="Z104" i="2"/>
  <c r="Z103" i="2"/>
  <c r="Z71" i="2"/>
  <c r="Z67" i="2"/>
  <c r="Z66" i="2"/>
  <c r="Z65" i="2"/>
  <c r="Z64" i="2"/>
  <c r="Z63" i="2"/>
  <c r="Z62" i="2"/>
  <c r="Z61" i="2"/>
  <c r="Z60" i="2"/>
  <c r="Z59" i="2"/>
  <c r="Z58" i="2"/>
  <c r="Z57" i="2"/>
  <c r="Z56" i="2"/>
  <c r="Z55" i="2"/>
  <c r="Z54" i="2"/>
  <c r="H9" i="5" s="1"/>
  <c r="V70" i="1"/>
  <c r="V69" i="1"/>
  <c r="C32" i="4" l="1"/>
  <c r="W108" i="2"/>
  <c r="X108" i="2" s="1"/>
  <c r="C18" i="4" l="1"/>
  <c r="C17" i="4"/>
  <c r="W75" i="1" l="1"/>
  <c r="W76" i="1"/>
  <c r="Y76" i="1" s="1"/>
  <c r="Y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Y80" i="1" l="1"/>
  <c r="X80" i="1"/>
  <c r="Y96" i="1"/>
  <c r="X96" i="1"/>
  <c r="Y75" i="1"/>
  <c r="X75" i="1"/>
  <c r="Y86" i="1"/>
  <c r="X86" i="1"/>
  <c r="Y104" i="1"/>
  <c r="X104" i="1"/>
  <c r="Y106" i="1"/>
  <c r="X106" i="1"/>
  <c r="Y105" i="1"/>
  <c r="X105" i="1"/>
  <c r="Y111" i="1"/>
  <c r="X111" i="1"/>
  <c r="Y107" i="1"/>
  <c r="X107" i="1"/>
  <c r="Y94" i="1"/>
  <c r="X94" i="1"/>
  <c r="Y95" i="1"/>
  <c r="X95" i="1"/>
  <c r="Y101" i="1"/>
  <c r="X101" i="1"/>
  <c r="Y99" i="1"/>
  <c r="X99" i="1"/>
  <c r="Y79" i="1"/>
  <c r="X79" i="1"/>
  <c r="Y109" i="1"/>
  <c r="X109" i="1"/>
  <c r="Y103" i="1"/>
  <c r="X103" i="1"/>
  <c r="Y110" i="1"/>
  <c r="X110" i="1"/>
  <c r="Y108" i="1"/>
  <c r="X108" i="1"/>
  <c r="Y100" i="1"/>
  <c r="X100" i="1"/>
  <c r="Y98" i="1"/>
  <c r="X98" i="1"/>
  <c r="Y92" i="1"/>
  <c r="X92" i="1"/>
  <c r="Y88" i="1"/>
  <c r="X88" i="1"/>
  <c r="Y102" i="1"/>
  <c r="X102" i="1"/>
  <c r="Y90" i="1"/>
  <c r="X90" i="1"/>
  <c r="Y91" i="1"/>
  <c r="X91" i="1"/>
  <c r="Y83" i="1"/>
  <c r="X83" i="1"/>
  <c r="Y93" i="1"/>
  <c r="X93" i="1"/>
  <c r="Y89" i="1"/>
  <c r="X89" i="1"/>
  <c r="Y78" i="1"/>
  <c r="X78" i="1"/>
  <c r="Y97" i="1"/>
  <c r="X97" i="1"/>
  <c r="Y87" i="1"/>
  <c r="X87" i="1"/>
  <c r="Y82" i="1"/>
  <c r="X82" i="1"/>
  <c r="Y85" i="1"/>
  <c r="X85" i="1"/>
  <c r="Y81" i="1"/>
  <c r="X81" i="1"/>
  <c r="Y84" i="1"/>
  <c r="X84" i="1"/>
  <c r="W68" i="1"/>
  <c r="W69" i="1"/>
  <c r="W70" i="1"/>
  <c r="W71" i="1"/>
  <c r="W72" i="1"/>
  <c r="Y73" i="1"/>
  <c r="W74" i="1"/>
  <c r="Y74" i="1" s="1"/>
  <c r="E23" i="4" l="1"/>
  <c r="X68" i="1"/>
  <c r="Y72" i="1"/>
  <c r="X72" i="1"/>
  <c r="Y69" i="1"/>
  <c r="X69" i="1"/>
  <c r="Y68" i="1"/>
  <c r="G23" i="4" s="1"/>
  <c r="Y70" i="1"/>
  <c r="X70" i="1"/>
  <c r="Y71" i="1"/>
  <c r="X71" i="1"/>
  <c r="W67" i="1"/>
  <c r="W65" i="1"/>
  <c r="W64" i="1"/>
  <c r="E22" i="4" l="1"/>
  <c r="F23" i="4"/>
  <c r="I23" i="4" s="1"/>
  <c r="X64" i="1"/>
  <c r="Y67" i="1"/>
  <c r="X67" i="1"/>
  <c r="Y65" i="1"/>
  <c r="X65" i="1"/>
  <c r="Y64" i="1"/>
  <c r="L21" i="6"/>
  <c r="L19" i="6"/>
  <c r="I34" i="1"/>
  <c r="J35" i="1"/>
  <c r="G22" i="4" l="1"/>
  <c r="C19" i="4" s="1"/>
  <c r="F22" i="4"/>
  <c r="I22" i="4" s="1"/>
  <c r="F52" i="6"/>
  <c r="E51" i="6"/>
  <c r="J43" i="2"/>
  <c r="P60" i="6" s="1"/>
  <c r="I43" i="2"/>
  <c r="O60" i="6" s="1"/>
  <c r="J42" i="2"/>
  <c r="P59" i="6" s="1"/>
  <c r="I42" i="2"/>
  <c r="O59" i="6" s="1"/>
  <c r="J41" i="2"/>
  <c r="P58" i="6" s="1"/>
  <c r="I41" i="2"/>
  <c r="O58" i="6" s="1"/>
  <c r="J40" i="2"/>
  <c r="P57" i="6" s="1"/>
  <c r="I40" i="2"/>
  <c r="O57" i="6" s="1"/>
  <c r="J39" i="2"/>
  <c r="P56" i="6" s="1"/>
  <c r="I39" i="2"/>
  <c r="O56" i="6" s="1"/>
  <c r="J38" i="2"/>
  <c r="P55" i="6" s="1"/>
  <c r="I38" i="2"/>
  <c r="O55" i="6" s="1"/>
  <c r="J37" i="2"/>
  <c r="P54" i="6" s="1"/>
  <c r="I37" i="2"/>
  <c r="O54" i="6" s="1"/>
  <c r="J36" i="2"/>
  <c r="P53" i="6" s="1"/>
  <c r="I36" i="2"/>
  <c r="O53" i="6" s="1"/>
  <c r="J35" i="2"/>
  <c r="P52" i="6" s="1"/>
  <c r="I35" i="2"/>
  <c r="O52" i="6" s="1"/>
  <c r="J34" i="2"/>
  <c r="P51" i="6" s="1"/>
  <c r="I34" i="2"/>
  <c r="O51" i="6" s="1"/>
  <c r="J43" i="1"/>
  <c r="J42" i="1"/>
  <c r="J41" i="1"/>
  <c r="J40" i="1"/>
  <c r="J39" i="1"/>
  <c r="J38" i="1"/>
  <c r="J37" i="1"/>
  <c r="J36" i="1"/>
  <c r="J34" i="1"/>
  <c r="I35" i="1"/>
  <c r="I36" i="1"/>
  <c r="I37" i="1"/>
  <c r="I38" i="1"/>
  <c r="I39" i="1"/>
  <c r="I40" i="1"/>
  <c r="I41" i="1"/>
  <c r="I42" i="1"/>
  <c r="I43" i="1"/>
  <c r="E5" i="2"/>
  <c r="O32" i="6" s="1"/>
  <c r="Q32" i="6" s="1"/>
  <c r="E13" i="2"/>
  <c r="O40" i="6" s="1"/>
  <c r="Q40" i="6" s="1"/>
  <c r="W107" i="2"/>
  <c r="X107" i="2" s="1"/>
  <c r="W106" i="2"/>
  <c r="X106" i="2" s="1"/>
  <c r="W105" i="2"/>
  <c r="X105" i="2" s="1"/>
  <c r="W104" i="2"/>
  <c r="X104" i="2" s="1"/>
  <c r="W103" i="2"/>
  <c r="X103" i="2" s="1"/>
  <c r="W102" i="2"/>
  <c r="X102" i="2" s="1"/>
  <c r="W101" i="2"/>
  <c r="X101" i="2" s="1"/>
  <c r="W100" i="2"/>
  <c r="X100" i="2" s="1"/>
  <c r="W99" i="2"/>
  <c r="X99" i="2" s="1"/>
  <c r="W98" i="2"/>
  <c r="X98" i="2" s="1"/>
  <c r="W97" i="2"/>
  <c r="X97" i="2" s="1"/>
  <c r="W96" i="2"/>
  <c r="X96" i="2" s="1"/>
  <c r="W95" i="2"/>
  <c r="X95" i="2" s="1"/>
  <c r="W94" i="2"/>
  <c r="X94" i="2" s="1"/>
  <c r="W93" i="2"/>
  <c r="X93" i="2" s="1"/>
  <c r="W92" i="2"/>
  <c r="X92" i="2" s="1"/>
  <c r="W91" i="2"/>
  <c r="X91" i="2" s="1"/>
  <c r="W90" i="2"/>
  <c r="X90" i="2" s="1"/>
  <c r="W89" i="2"/>
  <c r="X89" i="2" s="1"/>
  <c r="W88" i="2"/>
  <c r="X88" i="2" s="1"/>
  <c r="W87" i="2"/>
  <c r="X87" i="2" s="1"/>
  <c r="W86" i="2"/>
  <c r="X86" i="2" s="1"/>
  <c r="W85" i="2"/>
  <c r="X85" i="2" s="1"/>
  <c r="W84" i="2"/>
  <c r="X84" i="2" s="1"/>
  <c r="W83" i="2"/>
  <c r="X83" i="2" s="1"/>
  <c r="W82" i="2"/>
  <c r="X82" i="2" s="1"/>
  <c r="W81" i="2"/>
  <c r="X81" i="2" s="1"/>
  <c r="W80" i="2"/>
  <c r="X80" i="2" s="1"/>
  <c r="W79" i="2"/>
  <c r="X79" i="2" s="1"/>
  <c r="W78" i="2"/>
  <c r="X78" i="2" s="1"/>
  <c r="W77" i="2"/>
  <c r="X77" i="2" s="1"/>
  <c r="W76" i="2"/>
  <c r="X76" i="2" s="1"/>
  <c r="W75" i="2"/>
  <c r="X75" i="2" s="1"/>
  <c r="W74" i="2"/>
  <c r="X74" i="2" s="1"/>
  <c r="W73" i="2"/>
  <c r="X73" i="2" s="1"/>
  <c r="W72" i="2"/>
  <c r="X72" i="2" s="1"/>
  <c r="W71" i="2"/>
  <c r="X71" i="2" s="1"/>
  <c r="W70" i="2"/>
  <c r="X70" i="2" s="1"/>
  <c r="W69" i="2"/>
  <c r="X69" i="2" s="1"/>
  <c r="W68" i="2"/>
  <c r="X68" i="2" s="1"/>
  <c r="W67" i="2"/>
  <c r="X67" i="2" s="1"/>
  <c r="W66" i="2"/>
  <c r="X66" i="2" s="1"/>
  <c r="W65" i="2"/>
  <c r="X65" i="2" s="1"/>
  <c r="W64" i="2"/>
  <c r="X64" i="2" s="1"/>
  <c r="W63" i="2"/>
  <c r="X63" i="2" s="1"/>
  <c r="W62" i="2"/>
  <c r="X62" i="2" s="1"/>
  <c r="W61" i="2"/>
  <c r="X61" i="2" s="1"/>
  <c r="W60" i="2"/>
  <c r="X60" i="2" s="1"/>
  <c r="W59" i="2"/>
  <c r="X59" i="2" s="1"/>
  <c r="W58" i="2"/>
  <c r="X58" i="2" s="1"/>
  <c r="W57" i="2"/>
  <c r="X57" i="2" s="1"/>
  <c r="W56" i="2"/>
  <c r="X56" i="2" s="1"/>
  <c r="W55" i="2"/>
  <c r="X55" i="2" s="1"/>
  <c r="W54" i="2"/>
  <c r="W53" i="2"/>
  <c r="X53" i="2" s="1"/>
  <c r="W52" i="2"/>
  <c r="X52" i="2" s="1"/>
  <c r="W51" i="2"/>
  <c r="X51" i="2" s="1"/>
  <c r="W50" i="2"/>
  <c r="X50" i="2" s="1"/>
  <c r="W49" i="2"/>
  <c r="X49" i="2" s="1"/>
  <c r="B49" i="2"/>
  <c r="B50" i="2" s="1"/>
  <c r="B51" i="2" s="1"/>
  <c r="B52" i="2" s="1"/>
  <c r="B53" i="2" s="1"/>
  <c r="B54" i="2" s="1"/>
  <c r="B55" i="2" s="1"/>
  <c r="B56" i="2" s="1"/>
  <c r="B57" i="2" s="1"/>
  <c r="B58" i="2" s="1"/>
  <c r="B59" i="2" s="1"/>
  <c r="B60" i="2" s="1"/>
  <c r="B61"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W48" i="2"/>
  <c r="F29" i="2"/>
  <c r="F28" i="2"/>
  <c r="E28" i="2"/>
  <c r="D28" i="2"/>
  <c r="F27" i="2"/>
  <c r="E27" i="2"/>
  <c r="P39" i="6" s="1"/>
  <c r="R39" i="6" s="1"/>
  <c r="D27" i="2"/>
  <c r="F26" i="2"/>
  <c r="E26" i="2"/>
  <c r="D26" i="2"/>
  <c r="F25" i="2"/>
  <c r="E25" i="2"/>
  <c r="P37" i="6" s="1"/>
  <c r="R37" i="6" s="1"/>
  <c r="D25" i="2"/>
  <c r="F24" i="2"/>
  <c r="E24" i="2"/>
  <c r="P36" i="6" s="1"/>
  <c r="R36" i="6" s="1"/>
  <c r="D24" i="2"/>
  <c r="F23" i="2"/>
  <c r="E23" i="2"/>
  <c r="P35" i="6" s="1"/>
  <c r="R35" i="6" s="1"/>
  <c r="D23" i="2"/>
  <c r="F22" i="2"/>
  <c r="F21" i="2"/>
  <c r="E21" i="2"/>
  <c r="P33" i="6" s="1"/>
  <c r="R33" i="6" s="1"/>
  <c r="D21" i="2"/>
  <c r="F20" i="2"/>
  <c r="E20" i="2"/>
  <c r="D20" i="2"/>
  <c r="F19" i="2"/>
  <c r="E19" i="2"/>
  <c r="P31" i="6" s="1"/>
  <c r="R31" i="6" s="1"/>
  <c r="D19" i="2"/>
  <c r="F14" i="2"/>
  <c r="M13" i="2"/>
  <c r="K14" i="2" s="1"/>
  <c r="F13" i="2"/>
  <c r="D13" i="2"/>
  <c r="F12" i="2"/>
  <c r="F11" i="2"/>
  <c r="E11" i="2"/>
  <c r="O38" i="6" s="1"/>
  <c r="Q38" i="6" s="1"/>
  <c r="D11" i="2"/>
  <c r="F10" i="2"/>
  <c r="E10" i="2"/>
  <c r="O37" i="6" s="1"/>
  <c r="Q37" i="6" s="1"/>
  <c r="D10" i="2"/>
  <c r="F9" i="2"/>
  <c r="E9" i="2"/>
  <c r="O36" i="6" s="1"/>
  <c r="Q36" i="6" s="1"/>
  <c r="D9" i="2"/>
  <c r="F8" i="2"/>
  <c r="E8" i="2"/>
  <c r="O35" i="6" s="1"/>
  <c r="Q35" i="6" s="1"/>
  <c r="D8" i="2"/>
  <c r="F7" i="2"/>
  <c r="F6" i="2"/>
  <c r="E6" i="2"/>
  <c r="O33" i="6" s="1"/>
  <c r="Q33" i="6" s="1"/>
  <c r="D6" i="2"/>
  <c r="F5" i="2"/>
  <c r="D5" i="2"/>
  <c r="F4" i="2"/>
  <c r="A2" i="5"/>
  <c r="C4" i="5"/>
  <c r="C5" i="5"/>
  <c r="X54" i="2" l="1"/>
  <c r="F9" i="5" s="1"/>
  <c r="E9" i="5"/>
  <c r="E10" i="5"/>
  <c r="E4" i="2"/>
  <c r="O31" i="6" s="1"/>
  <c r="Q31" i="6" s="1"/>
  <c r="C16" i="4"/>
  <c r="D4" i="2"/>
  <c r="X48" i="2"/>
  <c r="E12" i="2"/>
  <c r="O39" i="6" s="1"/>
  <c r="Q39" i="6" s="1"/>
  <c r="D12" i="2"/>
  <c r="D42" i="2" s="1"/>
  <c r="J4" i="6"/>
  <c r="I4" i="6"/>
  <c r="J5" i="6"/>
  <c r="E56" i="6"/>
  <c r="I9" i="6"/>
  <c r="F55" i="6"/>
  <c r="J8" i="6"/>
  <c r="E55" i="6"/>
  <c r="I8" i="6"/>
  <c r="E58" i="6"/>
  <c r="I11" i="6"/>
  <c r="E54" i="6"/>
  <c r="I7" i="6"/>
  <c r="F53" i="6"/>
  <c r="J6" i="6"/>
  <c r="F57" i="6"/>
  <c r="J10" i="6"/>
  <c r="E52" i="6"/>
  <c r="I5" i="6"/>
  <c r="E59" i="6"/>
  <c r="I12" i="6"/>
  <c r="F60" i="6"/>
  <c r="J13" i="6"/>
  <c r="E57" i="6"/>
  <c r="I10" i="6"/>
  <c r="E53" i="6"/>
  <c r="I6" i="6"/>
  <c r="F54" i="6"/>
  <c r="J7" i="6"/>
  <c r="F58" i="6"/>
  <c r="J11" i="6"/>
  <c r="E60" i="6"/>
  <c r="I13" i="6"/>
  <c r="F59" i="6"/>
  <c r="J12" i="6"/>
  <c r="F56" i="6"/>
  <c r="J9" i="6"/>
  <c r="J44" i="1"/>
  <c r="F51" i="6"/>
  <c r="I44" i="1"/>
  <c r="J44" i="2"/>
  <c r="I44" i="2"/>
  <c r="E43" i="2"/>
  <c r="H27" i="2"/>
  <c r="E7" i="2"/>
  <c r="O34" i="6" s="1"/>
  <c r="Q34" i="6" s="1"/>
  <c r="D39" i="2"/>
  <c r="G10" i="2"/>
  <c r="H19" i="2"/>
  <c r="E35" i="2"/>
  <c r="D41" i="2"/>
  <c r="G27" i="2"/>
  <c r="H6" i="2"/>
  <c r="G9" i="2"/>
  <c r="G19" i="2"/>
  <c r="G26" i="2"/>
  <c r="P32" i="6"/>
  <c r="R32" i="6" s="1"/>
  <c r="P38" i="6"/>
  <c r="R38" i="6" s="1"/>
  <c r="P40" i="6"/>
  <c r="R40" i="6" s="1"/>
  <c r="G24" i="2"/>
  <c r="D29" i="2"/>
  <c r="O27" i="6" s="1"/>
  <c r="Q27" i="6" s="1"/>
  <c r="G23" i="2"/>
  <c r="D40" i="2"/>
  <c r="G13" i="2"/>
  <c r="D35" i="2"/>
  <c r="G6" i="2"/>
  <c r="H11" i="2"/>
  <c r="D36" i="2"/>
  <c r="G11" i="2"/>
  <c r="D34" i="2"/>
  <c r="D7" i="2"/>
  <c r="H23" i="2"/>
  <c r="G28" i="2"/>
  <c r="E41" i="2"/>
  <c r="D43" i="2"/>
  <c r="H10" i="2"/>
  <c r="G20" i="2"/>
  <c r="D22" i="2"/>
  <c r="E39" i="2"/>
  <c r="H26" i="2"/>
  <c r="E29" i="2"/>
  <c r="D38" i="2"/>
  <c r="E14" i="2"/>
  <c r="G5" i="2"/>
  <c r="K16" i="2"/>
  <c r="F44" i="2" s="1"/>
  <c r="E40" i="2"/>
  <c r="H25" i="2"/>
  <c r="G25" i="2"/>
  <c r="H8" i="2"/>
  <c r="G8" i="2"/>
  <c r="E38" i="2"/>
  <c r="H9" i="2"/>
  <c r="H13" i="2"/>
  <c r="E36" i="2"/>
  <c r="H21" i="2"/>
  <c r="G21" i="2"/>
  <c r="H5" i="2"/>
  <c r="D14" i="2"/>
  <c r="O26" i="6" s="1"/>
  <c r="Q26" i="6" s="1"/>
  <c r="H20" i="2"/>
  <c r="H24" i="2"/>
  <c r="H28" i="2"/>
  <c r="E22" i="2" l="1"/>
  <c r="E37" i="2" s="1"/>
  <c r="F10" i="5"/>
  <c r="E34" i="2"/>
  <c r="G4" i="2"/>
  <c r="H4" i="2"/>
  <c r="H12" i="2"/>
  <c r="E42" i="2"/>
  <c r="H42" i="2" s="1"/>
  <c r="G12" i="2"/>
  <c r="J14" i="6"/>
  <c r="I14" i="6"/>
  <c r="H43" i="2"/>
  <c r="H39" i="2"/>
  <c r="H41" i="2"/>
  <c r="H29" i="2"/>
  <c r="H35" i="2"/>
  <c r="D37" i="2"/>
  <c r="D44" i="2" s="1"/>
  <c r="G14" i="2"/>
  <c r="P26" i="6"/>
  <c r="R26" i="6" s="1"/>
  <c r="G29" i="2"/>
  <c r="P27" i="6"/>
  <c r="R27" i="6" s="1"/>
  <c r="G7" i="2"/>
  <c r="H7" i="2"/>
  <c r="H14" i="2"/>
  <c r="F37" i="2"/>
  <c r="F40" i="2"/>
  <c r="G40" i="2" s="1"/>
  <c r="F42" i="2"/>
  <c r="F35" i="2"/>
  <c r="G35" i="2" s="1"/>
  <c r="F39" i="2"/>
  <c r="G39" i="2" s="1"/>
  <c r="F36" i="2"/>
  <c r="G36" i="2" s="1"/>
  <c r="F41" i="2"/>
  <c r="G41" i="2" s="1"/>
  <c r="F34" i="2"/>
  <c r="G34" i="2" s="1"/>
  <c r="F38" i="2"/>
  <c r="G38" i="2" s="1"/>
  <c r="F43" i="2"/>
  <c r="G43" i="2" s="1"/>
  <c r="H36" i="2"/>
  <c r="H34" i="2"/>
  <c r="H38" i="2"/>
  <c r="H40" i="2"/>
  <c r="C5" i="4"/>
  <c r="C4" i="4"/>
  <c r="P34" i="6" l="1"/>
  <c r="R34" i="6" s="1"/>
  <c r="H22" i="2"/>
  <c r="G22" i="2"/>
  <c r="G42" i="2"/>
  <c r="H37" i="2"/>
  <c r="G37" i="2"/>
  <c r="E44" i="2"/>
  <c r="G44" i="2" s="1"/>
  <c r="W49" i="1"/>
  <c r="W50" i="1"/>
  <c r="W51" i="1"/>
  <c r="W52" i="1"/>
  <c r="W53" i="1"/>
  <c r="W54" i="1"/>
  <c r="W55" i="1"/>
  <c r="W56" i="1"/>
  <c r="W57" i="1"/>
  <c r="W58" i="1"/>
  <c r="W59" i="1"/>
  <c r="W60" i="1"/>
  <c r="W62" i="1"/>
  <c r="W63" i="1"/>
  <c r="W48" i="1"/>
  <c r="X48" i="1" l="1"/>
  <c r="E9" i="4"/>
  <c r="Y59" i="1"/>
  <c r="X59" i="1"/>
  <c r="Y58" i="1"/>
  <c r="X58" i="1"/>
  <c r="Y49" i="1"/>
  <c r="X49" i="1"/>
  <c r="Y60" i="1"/>
  <c r="X60" i="1"/>
  <c r="Y61" i="1"/>
  <c r="Y62" i="1"/>
  <c r="X62" i="1"/>
  <c r="Y50" i="1"/>
  <c r="X50" i="1"/>
  <c r="Y52" i="1"/>
  <c r="X52" i="1"/>
  <c r="Y54" i="1"/>
  <c r="X54" i="1"/>
  <c r="Y53" i="1"/>
  <c r="X53" i="1"/>
  <c r="Y63" i="1"/>
  <c r="X63" i="1"/>
  <c r="Y55" i="1"/>
  <c r="X55" i="1"/>
  <c r="Y51" i="1"/>
  <c r="X51" i="1"/>
  <c r="Y57" i="1"/>
  <c r="X57" i="1"/>
  <c r="Y48" i="1"/>
  <c r="Y56" i="1"/>
  <c r="X56" i="1"/>
  <c r="H44" i="2"/>
  <c r="I9" i="5"/>
  <c r="D14" i="1"/>
  <c r="B49" i="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G9" i="4" l="1"/>
  <c r="C6" i="4" s="1"/>
  <c r="F9" i="4"/>
  <c r="I9" i="4" s="1"/>
  <c r="B259" i="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l="1"/>
  <c r="B346" i="1" s="1"/>
  <c r="B347" i="1" s="1"/>
  <c r="B348" i="1" s="1"/>
  <c r="B349" i="1" s="1"/>
  <c r="B350" i="1" s="1"/>
  <c r="B351" i="1" s="1"/>
  <c r="B352" i="1" s="1"/>
  <c r="B353" i="1" s="1"/>
  <c r="B354" i="1" s="1"/>
  <c r="B355" i="1" s="1"/>
  <c r="B356" i="1" s="1"/>
  <c r="B357" i="1" s="1"/>
  <c r="B358" i="1" s="1"/>
  <c r="B359" i="1" s="1"/>
  <c r="B360" i="1" s="1"/>
  <c r="B361" i="1" s="1"/>
  <c r="B362" i="1" s="1"/>
  <c r="B363" i="1" s="1"/>
  <c r="B364" i="1" s="1"/>
  <c r="M13" i="1"/>
  <c r="K16" i="1" s="1"/>
  <c r="F44" i="1" s="1"/>
  <c r="P4" i="4"/>
  <c r="P5" i="4"/>
  <c r="F37" i="1" l="1"/>
  <c r="F41" i="1"/>
  <c r="F38" i="1"/>
  <c r="F42" i="1"/>
  <c r="F35" i="1"/>
  <c r="F39" i="1"/>
  <c r="F43" i="1"/>
  <c r="F36" i="1"/>
  <c r="F40" i="1"/>
  <c r="F34" i="1"/>
  <c r="P3" i="4"/>
  <c r="C3" i="4" l="1"/>
  <c r="I10" i="4" l="1"/>
  <c r="F28" i="1" l="1"/>
  <c r="E28" i="1"/>
  <c r="D28" i="1"/>
  <c r="F27" i="1"/>
  <c r="E27" i="1"/>
  <c r="D27" i="1"/>
  <c r="F26" i="1"/>
  <c r="E26" i="1"/>
  <c r="D26" i="1"/>
  <c r="F25" i="1"/>
  <c r="E25" i="1"/>
  <c r="D25" i="1"/>
  <c r="F24" i="1"/>
  <c r="E24" i="1"/>
  <c r="D24" i="1"/>
  <c r="F23" i="1"/>
  <c r="E23" i="1"/>
  <c r="D23" i="1"/>
  <c r="F22" i="1"/>
  <c r="F21" i="1"/>
  <c r="F13" i="1"/>
  <c r="F12" i="1"/>
  <c r="F11" i="1"/>
  <c r="E11" i="1"/>
  <c r="D11" i="1"/>
  <c r="F10" i="1"/>
  <c r="E10" i="1"/>
  <c r="D10" i="1"/>
  <c r="F9" i="1"/>
  <c r="E9" i="1"/>
  <c r="D9" i="1"/>
  <c r="F8" i="1"/>
  <c r="E8" i="1"/>
  <c r="D8" i="1"/>
  <c r="F7" i="1"/>
  <c r="E38" i="6" l="1"/>
  <c r="G38" i="6" s="1"/>
  <c r="F38" i="6"/>
  <c r="H38" i="6" s="1"/>
  <c r="E37" i="6"/>
  <c r="G37" i="6" s="1"/>
  <c r="F37" i="6"/>
  <c r="H37" i="6" s="1"/>
  <c r="E36" i="6"/>
  <c r="G36" i="6" s="1"/>
  <c r="F36" i="6"/>
  <c r="H36" i="6" s="1"/>
  <c r="F40" i="6"/>
  <c r="H40" i="6" s="1"/>
  <c r="E35" i="6"/>
  <c r="G35" i="6" s="1"/>
  <c r="F35" i="6"/>
  <c r="H35" i="6" s="1"/>
  <c r="F39" i="6"/>
  <c r="H39" i="6" s="1"/>
  <c r="H8" i="1"/>
  <c r="G10" i="1"/>
  <c r="G25" i="1"/>
  <c r="D39" i="1"/>
  <c r="D9" i="6" s="1"/>
  <c r="D38" i="1"/>
  <c r="D8" i="6" s="1"/>
  <c r="H28" i="1"/>
  <c r="E38" i="1"/>
  <c r="E8" i="6" s="1"/>
  <c r="D41" i="1"/>
  <c r="D11" i="6" s="1"/>
  <c r="H27" i="1"/>
  <c r="H10" i="1"/>
  <c r="G11" i="1"/>
  <c r="H26" i="1"/>
  <c r="H25" i="1"/>
  <c r="D40" i="1"/>
  <c r="D10" i="6" s="1"/>
  <c r="E40" i="1"/>
  <c r="E10" i="6" s="1"/>
  <c r="H11" i="1"/>
  <c r="H24" i="1"/>
  <c r="H9" i="1"/>
  <c r="H23" i="1"/>
  <c r="G26" i="1"/>
  <c r="E39" i="1"/>
  <c r="E9" i="6" s="1"/>
  <c r="E41" i="1"/>
  <c r="E11" i="6" s="1"/>
  <c r="G23" i="1"/>
  <c r="G27" i="1"/>
  <c r="G24" i="1"/>
  <c r="G28" i="1"/>
  <c r="G8" i="1"/>
  <c r="G9" i="1"/>
  <c r="H9" i="6" l="1"/>
  <c r="H8" i="6"/>
  <c r="H38" i="1"/>
  <c r="H11" i="6"/>
  <c r="H10" i="6"/>
  <c r="H41" i="1"/>
  <c r="H39" i="1"/>
  <c r="H40" i="1"/>
  <c r="E13" i="1" l="1"/>
  <c r="D13" i="1"/>
  <c r="D43" i="1" s="1"/>
  <c r="D13" i="6" s="1"/>
  <c r="E12" i="1"/>
  <c r="D12" i="1"/>
  <c r="D42" i="1" s="1"/>
  <c r="D12" i="6" s="1"/>
  <c r="E39" i="6" l="1"/>
  <c r="G39" i="6" s="1"/>
  <c r="E40" i="6"/>
  <c r="G40" i="6" s="1"/>
  <c r="H12" i="1"/>
  <c r="G12" i="1"/>
  <c r="E42" i="1"/>
  <c r="E12" i="6" s="1"/>
  <c r="H13" i="1"/>
  <c r="E43" i="1"/>
  <c r="E13" i="6" s="1"/>
  <c r="G13" i="1"/>
  <c r="D19" i="6"/>
  <c r="B22" i="6" s="1"/>
  <c r="F4" i="6" s="1"/>
  <c r="F6" i="6" l="1"/>
  <c r="F10" i="6"/>
  <c r="G10" i="6" s="1"/>
  <c r="F7" i="6"/>
  <c r="F11" i="6"/>
  <c r="G11" i="6" s="1"/>
  <c r="F8" i="6"/>
  <c r="G8" i="6" s="1"/>
  <c r="F12" i="6"/>
  <c r="F5" i="6"/>
  <c r="F9" i="6"/>
  <c r="G9" i="6" s="1"/>
  <c r="F13" i="6"/>
  <c r="F14" i="6"/>
  <c r="K14" i="6" s="1"/>
  <c r="H43" i="1"/>
  <c r="H42" i="1"/>
  <c r="N19" i="6"/>
  <c r="B20" i="6"/>
  <c r="L20" i="6" s="1"/>
  <c r="H12" i="6" l="1"/>
  <c r="G12" i="6"/>
  <c r="G13" i="6"/>
  <c r="H13" i="6"/>
  <c r="L22" i="6"/>
  <c r="K14" i="1"/>
  <c r="G40" i="1" l="1"/>
  <c r="G43" i="1"/>
  <c r="G39" i="1"/>
  <c r="G42" i="1"/>
  <c r="G38" i="1"/>
  <c r="G41" i="1"/>
  <c r="F14" i="1" l="1"/>
  <c r="F6" i="1"/>
  <c r="F5" i="1"/>
  <c r="F4" i="1"/>
  <c r="F19" i="1"/>
  <c r="D7" i="1" l="1"/>
  <c r="E7" i="1"/>
  <c r="E21" i="1"/>
  <c r="D21" i="1"/>
  <c r="D22" i="1"/>
  <c r="D5" i="1"/>
  <c r="D6" i="1"/>
  <c r="E26" i="6"/>
  <c r="E5" i="1"/>
  <c r="E29" i="1"/>
  <c r="F27" i="6" s="1"/>
  <c r="D20" i="1"/>
  <c r="F20" i="1"/>
  <c r="F29" i="1"/>
  <c r="E6" i="1"/>
  <c r="E14" i="1"/>
  <c r="F26" i="6" s="1"/>
  <c r="D19" i="1"/>
  <c r="D29" i="1"/>
  <c r="E27" i="6" s="1"/>
  <c r="E33" i="6" l="1"/>
  <c r="G33" i="6" s="1"/>
  <c r="F33" i="6"/>
  <c r="H33" i="6" s="1"/>
  <c r="E34" i="6"/>
  <c r="G34" i="6" s="1"/>
  <c r="E32" i="6"/>
  <c r="G32" i="6" s="1"/>
  <c r="E31" i="6"/>
  <c r="G31" i="6" s="1"/>
  <c r="G27" i="6"/>
  <c r="G26" i="6"/>
  <c r="D37" i="1"/>
  <c r="D7" i="6" s="1"/>
  <c r="E36" i="1"/>
  <c r="E6" i="6" s="1"/>
  <c r="G21" i="1"/>
  <c r="E22" i="1"/>
  <c r="H7" i="1"/>
  <c r="G7" i="1"/>
  <c r="H21" i="1"/>
  <c r="D36" i="1"/>
  <c r="D6" i="6" s="1"/>
  <c r="G5" i="1"/>
  <c r="E19" i="1"/>
  <c r="D35" i="1"/>
  <c r="D5" i="6" s="1"/>
  <c r="D34" i="1"/>
  <c r="D4" i="6" s="1"/>
  <c r="H29" i="1"/>
  <c r="G29" i="1"/>
  <c r="E20" i="1"/>
  <c r="G4" i="1"/>
  <c r="H4" i="1"/>
  <c r="H5" i="1"/>
  <c r="G14" i="1"/>
  <c r="H14" i="1"/>
  <c r="G6" i="1"/>
  <c r="H6" i="1"/>
  <c r="E34" i="1" l="1"/>
  <c r="E4" i="6" s="1"/>
  <c r="D14" i="6"/>
  <c r="G36" i="1"/>
  <c r="F34" i="6"/>
  <c r="H34" i="6" s="1"/>
  <c r="F32" i="6"/>
  <c r="H32" i="6" s="1"/>
  <c r="F31" i="6"/>
  <c r="H31" i="6" s="1"/>
  <c r="H26" i="6"/>
  <c r="H27" i="6"/>
  <c r="H36" i="1"/>
  <c r="H22" i="1"/>
  <c r="E37" i="1"/>
  <c r="E7" i="6" s="1"/>
  <c r="G22" i="1"/>
  <c r="H19" i="1"/>
  <c r="G19" i="1"/>
  <c r="D44" i="1"/>
  <c r="H20" i="1"/>
  <c r="E35" i="1"/>
  <c r="E5" i="6" s="1"/>
  <c r="G20" i="1"/>
  <c r="E44" i="1" l="1"/>
  <c r="H44" i="1" s="1"/>
  <c r="H34" i="1"/>
  <c r="G7" i="6"/>
  <c r="H7" i="6"/>
  <c r="G6" i="6"/>
  <c r="H6" i="6"/>
  <c r="H35" i="1"/>
  <c r="H37" i="1"/>
  <c r="G37" i="1"/>
  <c r="H5" i="6" l="1"/>
  <c r="G5" i="6"/>
  <c r="H4" i="6"/>
  <c r="E14" i="6"/>
  <c r="L14" i="6" s="1"/>
  <c r="N14" i="6" s="1"/>
  <c r="G4" i="6"/>
  <c r="G35" i="1"/>
  <c r="G44" i="1"/>
  <c r="G34" i="1"/>
  <c r="C6" i="5"/>
  <c r="C3" i="5"/>
  <c r="I10" i="5" s="1"/>
  <c r="K5" i="6" l="1"/>
  <c r="K4" i="6"/>
  <c r="K6" i="6"/>
  <c r="K11" i="6"/>
  <c r="K9" i="6"/>
  <c r="K8" i="6"/>
  <c r="K10" i="6"/>
  <c r="K13" i="6"/>
  <c r="K12" i="6"/>
  <c r="K7" i="6"/>
  <c r="G14" i="6"/>
  <c r="H14" i="6"/>
</calcChain>
</file>

<file path=xl/comments1.xml><?xml version="1.0" encoding="utf-8"?>
<comments xmlns="http://schemas.openxmlformats.org/spreadsheetml/2006/main">
  <authors>
    <author>EXTERNAL Nguyen Tuan Duong (Ban Vien, RBVH/EPS45)</author>
    <author>EXTERNAL Nguyen Trung Hieu (Ban Vien, RBVH/EPS45)</author>
    <author>EXTERNAL Nguyen Tai Hau (Ban Vien, RBVH/EPS45)</author>
  </authors>
  <commentList>
    <comment ref="A68" authorId="0" guid="{DA35FBC6-4B0E-4254-86E2-CF0C764BB76D}" shapeId="0">
      <text>
        <r>
          <rPr>
            <b/>
            <sz val="9"/>
            <color indexed="81"/>
            <rFont val="Tahoma"/>
            <family val="2"/>
          </rPr>
          <t>EXTERNAL Nguyen Tuan Duong (Ban Vien, RBVH/EPS45):</t>
        </r>
        <r>
          <rPr>
            <sz val="9"/>
            <color indexed="81"/>
            <rFont val="Tahoma"/>
            <family val="2"/>
          </rPr>
          <t xml:space="preserve">
Prj China mainstream -&gt; double effort
</t>
        </r>
      </text>
    </comment>
    <comment ref="V69" authorId="0" guid="{58E6F418-71FC-4B3B-A631-9031A0B5D56B}" shapeId="0">
      <text>
        <r>
          <rPr>
            <b/>
            <sz val="9"/>
            <color indexed="81"/>
            <rFont val="Tahoma"/>
            <family val="2"/>
          </rPr>
          <t>EXTERNAL Nguyen Tuan Duong (Ban Vien, RBVH/EPS45):</t>
        </r>
        <r>
          <rPr>
            <sz val="9"/>
            <color indexed="81"/>
            <rFont val="Tahoma"/>
            <family val="2"/>
          </rPr>
          <t xml:space="preserve">
Prj China mainstream -&gt; double effort
</t>
        </r>
      </text>
    </comment>
    <comment ref="I118" authorId="1" guid="{7F04830A-AE52-42BE-A33F-0337C69FA1AC}" shapeId="0">
      <text>
        <r>
          <rPr>
            <b/>
            <sz val="9"/>
            <color indexed="81"/>
            <rFont val="Tahoma"/>
            <family val="2"/>
          </rPr>
          <t>EXTERNAL Nguyen Trung Hieu (Ban Vien, RBVH/EPS45):</t>
        </r>
        <r>
          <rPr>
            <sz val="9"/>
            <color indexed="81"/>
            <rFont val="Tahoma"/>
            <family val="2"/>
          </rPr>
          <t xml:space="preserve">
Support for Mr Hai 20200511
</t>
        </r>
      </text>
    </comment>
    <comment ref="AD175" authorId="1" guid="{39822A39-40B6-470A-A52F-23C132D24F98}" shapeId="0">
      <text>
        <r>
          <rPr>
            <b/>
            <sz val="9"/>
            <color indexed="81"/>
            <rFont val="Tahoma"/>
            <family val="2"/>
          </rPr>
          <t>EXTERNAL Nguyen Trung Hieu (Ban Vien, RBVH/EPS45):</t>
        </r>
        <r>
          <rPr>
            <sz val="9"/>
            <color indexed="81"/>
            <rFont val="Tahoma"/>
            <family val="2"/>
          </rPr>
          <t xml:space="preserve">
Shift date, confirm by Mr. Hai
</t>
        </r>
      </text>
    </comment>
    <comment ref="I189" authorId="1" guid="{CE7781C9-202E-4266-B2D5-868E57D85244}" shapeId="0">
      <text>
        <r>
          <rPr>
            <b/>
            <sz val="9"/>
            <color indexed="81"/>
            <rFont val="Tahoma"/>
            <family val="2"/>
          </rPr>
          <t>EXTERNAL Nguyen Trung Hieu (Ban Vien, RBVH/EPS45):</t>
        </r>
        <r>
          <rPr>
            <sz val="9"/>
            <color indexed="81"/>
            <rFont val="Tahoma"/>
            <family val="2"/>
          </rPr>
          <t xml:space="preserve">
support Mr. Hai test. Assign task 16h00 20200515
</t>
        </r>
      </text>
    </comment>
    <comment ref="AD189" authorId="1" guid="{E32A2888-C152-4612-AC3F-C8C12ACEA559}" shapeId="0">
      <text>
        <r>
          <rPr>
            <b/>
            <sz val="9"/>
            <color indexed="81"/>
            <rFont val="Tahoma"/>
            <family val="2"/>
          </rPr>
          <t>EXTERNAL Nguyen Trung Hieu (Ban Vien, RBVH/EPS45):</t>
        </r>
        <r>
          <rPr>
            <sz val="9"/>
            <color indexed="81"/>
            <rFont val="Tahoma"/>
            <family val="2"/>
          </rPr>
          <t xml:space="preserve">
Shift date confirm by Mr. Hai
</t>
        </r>
      </text>
    </comment>
    <comment ref="I191" authorId="1" guid="{381E2CAD-A94E-460A-A315-D40EA4E2D102}" shapeId="0">
      <text>
        <r>
          <rPr>
            <b/>
            <sz val="9"/>
            <color indexed="81"/>
            <rFont val="Tahoma"/>
            <family val="2"/>
          </rPr>
          <t>EXTERNAL Nguyen Trung Hieu (Ban Vien, RBVH/EPS45):</t>
        </r>
        <r>
          <rPr>
            <sz val="9"/>
            <color indexed="81"/>
            <rFont val="Tahoma"/>
            <family val="2"/>
          </rPr>
          <t xml:space="preserve">
Please get high priory for CNMS_UT task because it need to release on 12.May.2020
</t>
        </r>
      </text>
    </comment>
    <comment ref="N196" authorId="2" guid="{A0230EDC-AFC0-4A53-A035-A55043B11533}" shapeId="0">
      <text>
        <r>
          <rPr>
            <b/>
            <sz val="9"/>
            <color indexed="81"/>
            <rFont val="Tahoma"/>
            <family val="2"/>
          </rPr>
          <t>EXTERNAL Nguyen Tai Hau (Ban Vien, RBVH/EPS45):</t>
        </r>
        <r>
          <rPr>
            <sz val="9"/>
            <color indexed="81"/>
            <rFont val="Tahoma"/>
            <family val="2"/>
          </rPr>
          <t xml:space="preserve">
FAW_L3_MainPath_HevX_Int_N confirm with Tran Hoang Hai
</t>
        </r>
      </text>
    </comment>
    <comment ref="N295" authorId="1" guid="{19025232-BA45-4605-8BC5-D56619E3B4CE}" shapeId="0">
      <text>
        <r>
          <rPr>
            <b/>
            <sz val="9"/>
            <color indexed="81"/>
            <rFont val="Tahoma"/>
            <family val="2"/>
          </rPr>
          <t>EXTERNAL Nguyen Trung Hieu (Ban Vien, RBVH/EPS45):</t>
        </r>
        <r>
          <rPr>
            <sz val="9"/>
            <color indexed="81"/>
            <rFont val="Tahoma"/>
            <family val="2"/>
          </rPr>
          <t xml:space="preserve">
Wrong database =&gt; Fixed
</t>
        </r>
      </text>
    </comment>
    <comment ref="E335" authorId="1" guid="{4A8BD37F-68A9-4861-A0B8-4A7489AA810D}" shapeId="0">
      <text>
        <r>
          <rPr>
            <b/>
            <sz val="9"/>
            <color indexed="81"/>
            <rFont val="Tahoma"/>
            <family val="2"/>
          </rPr>
          <t>EXTERNAL Nguyen Trung Hieu (Ban Vien, RBVH/EPS45):</t>
        </r>
        <r>
          <rPr>
            <sz val="9"/>
            <color indexed="81"/>
            <rFont val="Tahoma"/>
            <family val="2"/>
          </rPr>
          <t xml:space="preserve">
Please comment follow ASPICE Standard 
</t>
        </r>
      </text>
    </comment>
  </commentList>
</comments>
</file>

<file path=xl/comments2.xml><?xml version="1.0" encoding="utf-8"?>
<comments xmlns="http://schemas.openxmlformats.org/spreadsheetml/2006/main">
  <authors>
    <author>EXTERNAL Nguyen Trung Hieu (Ban Vien, RBVH/EPS45)</author>
  </authors>
  <commentList>
    <comment ref="C146" authorId="0" guid="{5155FBEB-1611-4BEC-95CB-8D99EF213758}" shapeId="0">
      <text>
        <r>
          <rPr>
            <b/>
            <sz val="9"/>
            <color indexed="81"/>
            <rFont val="Tahoma"/>
            <family val="2"/>
          </rPr>
          <t>EXTERNAL Nguyen Trung Hieu (Ban Vien, RBVH/EPS45):</t>
        </r>
        <r>
          <rPr>
            <sz val="9"/>
            <color indexed="81"/>
            <rFont val="Tahoma"/>
            <family val="2"/>
          </rPr>
          <t xml:space="preserve">
Support testing on 20200519
</t>
        </r>
      </text>
    </comment>
  </commentList>
</comments>
</file>

<file path=xl/sharedStrings.xml><?xml version="1.0" encoding="utf-8"?>
<sst xmlns="http://schemas.openxmlformats.org/spreadsheetml/2006/main" count="9482" uniqueCount="1203">
  <si>
    <t>No</t>
  </si>
  <si>
    <t>Type</t>
  </si>
  <si>
    <t>ASW</t>
  </si>
  <si>
    <t>PSW</t>
  </si>
  <si>
    <t>No\Type</t>
  </si>
  <si>
    <t>Member</t>
  </si>
  <si>
    <t>hieu.nguyen-trung</t>
  </si>
  <si>
    <t>TaskGroup</t>
  </si>
  <si>
    <t>Tester</t>
  </si>
  <si>
    <t>1. Test Design (.xls)
2. Plot File (.plt)
3. ATT project
4. Coverage Log</t>
  </si>
  <si>
    <t>1. TPA file (.tpa)
2. test report (.html)
3. test report (.xml)
4. test summary (.html)
5. File Coverage Fail Reason (.xls)</t>
  </si>
  <si>
    <t>KPI Table</t>
  </si>
  <si>
    <t>Start</t>
  </si>
  <si>
    <t>End</t>
  </si>
  <si>
    <t>C0</t>
  </si>
  <si>
    <t>C1</t>
  </si>
  <si>
    <t>MCDC</t>
  </si>
  <si>
    <t>Status</t>
  </si>
  <si>
    <t>Ready for review</t>
  </si>
  <si>
    <t>Status Table</t>
  </si>
  <si>
    <t>N/A</t>
  </si>
  <si>
    <t>Ready for PLC</t>
  </si>
  <si>
    <t>KPI/days</t>
  </si>
  <si>
    <t>Ongoing</t>
  </si>
  <si>
    <t>Status (%)</t>
  </si>
  <si>
    <t>#</t>
  </si>
  <si>
    <t>Types</t>
  </si>
  <si>
    <t>Assigned ELOCs</t>
  </si>
  <si>
    <t>Completed ELOCs</t>
  </si>
  <si>
    <t>Status (%)
(Completed/Assigned)</t>
  </si>
  <si>
    <t>Total Days</t>
  </si>
  <si>
    <t>External Name</t>
  </si>
  <si>
    <t>PSW
ELOCs</t>
  </si>
  <si>
    <t>ASW
ELOCs</t>
  </si>
  <si>
    <t>3. Risks/ Pending Issues:</t>
  </si>
  <si>
    <t>Risks/ Issues</t>
  </si>
  <si>
    <t>Num of Day</t>
  </si>
  <si>
    <t>Detail</t>
  </si>
  <si>
    <t>Date</t>
  </si>
  <si>
    <t>Note:</t>
  </si>
  <si>
    <t>PSW: 450 ELOCs</t>
  </si>
  <si>
    <t>Productivity of each Member per Day</t>
  </si>
  <si>
    <t>Total Productivity per Month</t>
  </si>
  <si>
    <t>PSW: 450x4x20 = 36,000 ELOCs</t>
  </si>
  <si>
    <t>ASW: 130x4x20 = 10,400 ELOCs</t>
  </si>
  <si>
    <t>Table Type of Testing</t>
  </si>
  <si>
    <t>Table Tester</t>
  </si>
  <si>
    <t>Detail Output</t>
  </si>
  <si>
    <t>ATT</t>
  </si>
  <si>
    <t>Cantata</t>
  </si>
  <si>
    <t>Tool</t>
  </si>
  <si>
    <t>Table KPI ASW</t>
  </si>
  <si>
    <t>Table KPI PSW</t>
  </si>
  <si>
    <t>LOC Complete</t>
  </si>
  <si>
    <t>Actual hour</t>
  </si>
  <si>
    <t>Task Jira</t>
  </si>
  <si>
    <t>Project</t>
  </si>
  <si>
    <t>ComponentName</t>
  </si>
  <si>
    <t>ItemName</t>
  </si>
  <si>
    <t>Planned Start</t>
  </si>
  <si>
    <t>Planned End</t>
  </si>
  <si>
    <t>-</t>
  </si>
  <si>
    <t>ItemRevision</t>
  </si>
  <si>
    <t>Package</t>
  </si>
  <si>
    <t>hau.nguyen-tai</t>
  </si>
  <si>
    <t>bang.nguyen-duy</t>
  </si>
  <si>
    <t>dac.luu-cong</t>
  </si>
  <si>
    <t>duong.nguyen</t>
  </si>
  <si>
    <t>loc.do-phu</t>
  </si>
  <si>
    <t>thanh.nguyen-kim</t>
  </si>
  <si>
    <t>chung.ly</t>
  </si>
  <si>
    <t>Database</t>
  </si>
  <si>
    <t>BB</t>
  </si>
  <si>
    <t>Ready for delivery</t>
  </si>
  <si>
    <t>Complete &amp; Closed</t>
  </si>
  <si>
    <t>ELOC Assigned</t>
  </si>
  <si>
    <t>ELOC Recheck With Tool</t>
  </si>
  <si>
    <t>Status Result</t>
  </si>
  <si>
    <t>PeerReviewer</t>
  </si>
  <si>
    <t>Estimation base TOOL</t>
  </si>
  <si>
    <t>Owner Contact</t>
  </si>
  <si>
    <t>Remark</t>
  </si>
  <si>
    <t>Please ensure your push correct the Package name with the TaskGroup</t>
  </si>
  <si>
    <t xml:space="preserve">+ Location for delivery to internal team: </t>
  </si>
  <si>
    <t>Location</t>
  </si>
  <si>
    <t>\\hc-ut40745c\Ban_Vien_external\Release\Gen_9.3</t>
  </si>
  <si>
    <t>+ Location Internal Project:</t>
  </si>
  <si>
    <t>\\hc-ut40346c\NHI5HC\hieunguyen\0000_Project</t>
  </si>
  <si>
    <t>\\hc-ut40346c\NHI5HC\hieunguyen\0000_Project\001_Prj\01_COEM\01_Output_Package</t>
  </si>
  <si>
    <t>+ Location Internal Your Output:</t>
  </si>
  <si>
    <t>+ Location Internal Your Release Output:</t>
  </si>
  <si>
    <t>\\hc-ut40346c\NHI5HC\hieunguyen\0000_Project\001_Prj\01_COEM\02_Release_Package</t>
  </si>
  <si>
    <t>Status Review</t>
  </si>
  <si>
    <t>Pending for OPL</t>
  </si>
  <si>
    <t>MT_016</t>
  </si>
  <si>
    <t>MT_018</t>
  </si>
  <si>
    <t>MT_032</t>
  </si>
  <si>
    <t>T501</t>
  </si>
  <si>
    <t>T500</t>
  </si>
  <si>
    <t>T502</t>
  </si>
  <si>
    <t>ASW: 130 ELOCs</t>
  </si>
  <si>
    <t>Task Group</t>
  </si>
  <si>
    <t>Effort (days)</t>
  </si>
  <si>
    <t>UT_Status</t>
  </si>
  <si>
    <t>EXTERNAL Nguyen Trung Hieu (Ban Vien, RBVH/EPS45)</t>
  </si>
  <si>
    <t>Done</t>
  </si>
  <si>
    <t>EXTERNAL Nguyen Tai Hau (Ban Vien, RBVH/EPS45)</t>
  </si>
  <si>
    <t>EXTERNAL Nguyen Duy Bang (Ban Vien, RBVH/EPS45)</t>
  </si>
  <si>
    <t>EXTERNAL Luu Cong Dac (Ban Vien, RBVH/EPS45)</t>
  </si>
  <si>
    <t>Total</t>
  </si>
  <si>
    <t>Judge Total KPI</t>
  </si>
  <si>
    <t>Duration</t>
  </si>
  <si>
    <t>MT_Needed</t>
  </si>
  <si>
    <t>MT_Number</t>
  </si>
  <si>
    <t>How to fill status</t>
  </si>
  <si>
    <t>Status: Passed/Failed</t>
  </si>
  <si>
    <t>Test_Result: Ready for review</t>
  </si>
  <si>
    <t>Nguyen Trung Hieu</t>
  </si>
  <si>
    <t>Nguyen Tai Hau</t>
  </si>
  <si>
    <t>Nguyen Duy Bang</t>
  </si>
  <si>
    <t>Luu Cong Dac</t>
  </si>
  <si>
    <t>New</t>
  </si>
  <si>
    <t>17h00</t>
  </si>
  <si>
    <t>Time</t>
  </si>
  <si>
    <t>days</t>
  </si>
  <si>
    <t>Assigned
ELOCs</t>
  </si>
  <si>
    <t>Completed
ELOCs</t>
  </si>
  <si>
    <t>Effort
(days)</t>
  </si>
  <si>
    <t>Actual Effort
(days)</t>
  </si>
  <si>
    <t>Loc Assigned</t>
  </si>
  <si>
    <t>Brief Description:</t>
  </si>
  <si>
    <t>9h00</t>
  </si>
  <si>
    <t>12h00</t>
  </si>
  <si>
    <t>Duration (Plan)</t>
  </si>
  <si>
    <t>Duration (Actual)</t>
  </si>
  <si>
    <t>- No comment</t>
  </si>
  <si>
    <t>Actual Effort (days)</t>
  </si>
  <si>
    <t>Num of OPLs</t>
  </si>
  <si>
    <t>Num of Defects</t>
  </si>
  <si>
    <t>Effort PSW (days)</t>
  </si>
  <si>
    <t>Effort ASW
(days)</t>
  </si>
  <si>
    <t>T503</t>
  </si>
  <si>
    <t>MT_001</t>
  </si>
  <si>
    <t>1.2</t>
  </si>
  <si>
    <t>13h00</t>
  </si>
  <si>
    <t>Holidays</t>
  </si>
  <si>
    <t>Reason for Fail Testcase</t>
  </si>
  <si>
    <t>Reason For code coverage</t>
  </si>
  <si>
    <t>ToyotaCMP</t>
  </si>
  <si>
    <t>OPL</t>
  </si>
  <si>
    <t>Summary</t>
  </si>
  <si>
    <t>rba_BldrBCL_AESHandler</t>
  </si>
  <si>
    <t>rba_BldrCmp_Cfg_TestServices</t>
  </si>
  <si>
    <t>rba_BldrCmp_Cfg_TestStackEval</t>
  </si>
  <si>
    <t>rba_BldrMemCpy</t>
  </si>
  <si>
    <t>rba_BldrCMP_27SecurityAccess</t>
  </si>
  <si>
    <t>huy.do-anh</t>
  </si>
  <si>
    <t>phuong.nguyen-thanh</t>
  </si>
  <si>
    <t>TaskID</t>
  </si>
  <si>
    <t>Type of Comment</t>
  </si>
  <si>
    <t>OPL/Defect</t>
  </si>
  <si>
    <t>Auto</t>
  </si>
  <si>
    <t>Baseline</t>
  </si>
  <si>
    <t>Type of OPL/Defect</t>
  </si>
  <si>
    <t>Defect</t>
  </si>
  <si>
    <t>None</t>
  </si>
  <si>
    <t>10h00</t>
  </si>
  <si>
    <t>MA Python (CC-AS/EVA-SW31-CN)</t>
  </si>
  <si>
    <t>RBVAR_VarCode_PROJECT.c</t>
  </si>
  <si>
    <t>206370_BYD_ESP9.3_New_Hybrid_MS15.1_BSS18</t>
  </si>
  <si>
    <t>BL04</t>
  </si>
  <si>
    <t>BSS03</t>
  </si>
  <si>
    <t>rba_BldrCmp_Cfg_FlashIf.c</t>
  </si>
  <si>
    <t>rba_BldrCmp_Cfg_Functions.c</t>
  </si>
  <si>
    <t>rba_BldrCmp_Cfg_SecA.c</t>
  </si>
  <si>
    <t>GAC_ESPHevX_HADHAP_Int</t>
  </si>
  <si>
    <t>rba_BldrCmp_Cfg_CheckMem.c</t>
  </si>
  <si>
    <t>rba_BldrCmp_Cfg_NvmIf.c</t>
  </si>
  <si>
    <t>rba_BldrCmp_Cfg_PrjFunctions.c</t>
  </si>
  <si>
    <t>Nguyen Thanh Phuong</t>
  </si>
  <si>
    <t>Do Anh Huy</t>
  </si>
  <si>
    <t>RBVAR_OutputDriver_PROJECT.c</t>
  </si>
  <si>
    <t>RBVAR_IDDefinitionTable_PROJECT.c</t>
  </si>
  <si>
    <t>RBVAR_SystemStateManagement_PROJECT.c</t>
  </si>
  <si>
    <t>Release Date</t>
  </si>
  <si>
    <t>JOEM</t>
  </si>
  <si>
    <t>COEM</t>
  </si>
  <si>
    <t>Total Package for all JOEM, COEM</t>
  </si>
  <si>
    <t>PSW: 45000 ELOCS</t>
  </si>
  <si>
    <t>ASW: 13000 ELOCS</t>
  </si>
  <si>
    <t>Nguyen Tuan Duong</t>
  </si>
  <si>
    <t>Do Phu Loc</t>
  </si>
  <si>
    <t>Nguyen Kim Thanh</t>
  </si>
  <si>
    <t>Ly Chung</t>
  </si>
  <si>
    <t>1.0.847.0</t>
  </si>
  <si>
    <t>1.4.847.0</t>
  </si>
  <si>
    <t>1.19.118.1</t>
  </si>
  <si>
    <t>3.5.118.0</t>
  </si>
  <si>
    <t>Delta/New</t>
  </si>
  <si>
    <t>MT_122</t>
  </si>
  <si>
    <t>MT_123</t>
  </si>
  <si>
    <t>MT_124</t>
  </si>
  <si>
    <t>MT_125</t>
  </si>
  <si>
    <t>MT_126</t>
  </si>
  <si>
    <t>MT_127</t>
  </si>
  <si>
    <t>MT_042</t>
  </si>
  <si>
    <t>MT_044</t>
  </si>
  <si>
    <t>MT_045</t>
  </si>
  <si>
    <t>MT_072</t>
  </si>
  <si>
    <t>MT_073</t>
  </si>
  <si>
    <t>MT_074</t>
  </si>
  <si>
    <t>MT_075</t>
  </si>
  <si>
    <t>MT_076</t>
  </si>
  <si>
    <t>MT_077</t>
  </si>
  <si>
    <t>MT_078</t>
  </si>
  <si>
    <t>MT_079</t>
  </si>
  <si>
    <t>MT_080</t>
  </si>
  <si>
    <t>MT_081</t>
  </si>
  <si>
    <t>MT_082</t>
  </si>
  <si>
    <t>MT_083</t>
  </si>
  <si>
    <t>MT_084</t>
  </si>
  <si>
    <t>MT_085</t>
  </si>
  <si>
    <t>MT_086</t>
  </si>
  <si>
    <t>MT_087</t>
  </si>
  <si>
    <t>MT_088</t>
  </si>
  <si>
    <t>MT_089</t>
  </si>
  <si>
    <t>MT_090</t>
  </si>
  <si>
    <t>MT_091</t>
  </si>
  <si>
    <t>MT_092</t>
  </si>
  <si>
    <t>MT_093</t>
  </si>
  <si>
    <t>MT_094</t>
  </si>
  <si>
    <t>MT_095</t>
  </si>
  <si>
    <t>MT_096</t>
  </si>
  <si>
    <t>MT_097</t>
  </si>
  <si>
    <t>MT_098</t>
  </si>
  <si>
    <t>MT_099</t>
  </si>
  <si>
    <t>MT_100</t>
  </si>
  <si>
    <t>MT_101</t>
  </si>
  <si>
    <t>MT_102</t>
  </si>
  <si>
    <t>MT_103</t>
  </si>
  <si>
    <t>MT_104</t>
  </si>
  <si>
    <t>MT_105</t>
  </si>
  <si>
    <t>MT_106</t>
  </si>
  <si>
    <t>MT_108</t>
  </si>
  <si>
    <t>MT_109</t>
  </si>
  <si>
    <t>MT_110</t>
  </si>
  <si>
    <t>MT_111</t>
  </si>
  <si>
    <t>MT_112</t>
  </si>
  <si>
    <t>MT_114</t>
  </si>
  <si>
    <t>MT_115</t>
  </si>
  <si>
    <t>MT_116</t>
  </si>
  <si>
    <t>MT_117</t>
  </si>
  <si>
    <t>MT_118</t>
  </si>
  <si>
    <t>MT_119</t>
  </si>
  <si>
    <t>MT_120</t>
  </si>
  <si>
    <t>MT_021</t>
  </si>
  <si>
    <t>rb.as.core.app.asw.ldm.lfc</t>
  </si>
  <si>
    <t>rb.as.core.app.asw.tcs.leantcs20msvse</t>
  </si>
  <si>
    <t>rb.as.toy.cmp.app.asw.custtarball</t>
  </si>
  <si>
    <t>rba.as.Bldr.toy_Phase5</t>
  </si>
  <si>
    <t>Toyota_ACC_BrkStop_HSVPreOpen</t>
  </si>
  <si>
    <t>Toyota_SSM_vhcRolloutpTarCalc</t>
  </si>
  <si>
    <t>TCS_StallDet</t>
  </si>
  <si>
    <t>Toyota_DMS_ModeEsp_MUD_SAND</t>
  </si>
  <si>
    <t>Toyota_DMS_ModeEsp_ROCK_DIRT</t>
  </si>
  <si>
    <t>LDI_ACT_InputActivation</t>
  </si>
  <si>
    <t>CubasAdapter</t>
  </si>
  <si>
    <t>DcmAppl_DcmConfirmation</t>
  </si>
  <si>
    <t>DcmAppl_DcmConfirmation_GeneralReject</t>
  </si>
  <si>
    <t>DcmAppl_DcmIgnoreNRC21AndResetS3Timer</t>
  </si>
  <si>
    <t>DcmAppl_DcmSesCtrlChangeIndication</t>
  </si>
  <si>
    <t>DcmAppl_DcmStartProtocol</t>
  </si>
  <si>
    <t>DcmAppl_DcmStopProtocol</t>
  </si>
  <si>
    <t>DcmAppl_UserServiceModeRuleService</t>
  </si>
  <si>
    <t>det</t>
  </si>
  <si>
    <t>Gpt</t>
  </si>
  <si>
    <t>Gpt_Cfg</t>
  </si>
  <si>
    <t>HWPStubs</t>
  </si>
  <si>
    <t>OsStubs</t>
  </si>
  <si>
    <t>rba_Bldr_main</t>
  </si>
  <si>
    <t>rba_BldrBCL_Cfg_Drbg_Sp800d90HashCalv00</t>
  </si>
  <si>
    <t>rba_BldrCmp_10DiagnosticSessionControl</t>
  </si>
  <si>
    <t>rba_BldrCmp_11EcuReset</t>
  </si>
  <si>
    <t>rba_BldrCmp_22ReadDataByIdentifier</t>
  </si>
  <si>
    <t>rba_BldrCmp_28CommunicationControl</t>
  </si>
  <si>
    <t>rba_BldrCmp_2EWriteDataByIdentifier</t>
  </si>
  <si>
    <t>rba_BldrCmp_31RoutineControl</t>
  </si>
  <si>
    <t>rba_BldrCmp_31RoutineControl_Chkmem</t>
  </si>
  <si>
    <t>rba_BldrCmp_31RoutineControl_Chkpd</t>
  </si>
  <si>
    <t>rba_BldrCmp_31RoutineControl_Er</t>
  </si>
  <si>
    <t>rba_BldrCmp_34RequestDownload</t>
  </si>
  <si>
    <t>rba_BldrCmp_36TransferData</t>
  </si>
  <si>
    <t>rba_BldrCmp_37RequestTransferExit</t>
  </si>
  <si>
    <t>rba_BldrCmp_85ControlDTCSettings</t>
  </si>
  <si>
    <t>rba_BldrCmp</t>
  </si>
  <si>
    <t>rba_BldrCmp_Cfg_CheckMem</t>
  </si>
  <si>
    <t>rba_BldrCmp_Cfg_Com</t>
  </si>
  <si>
    <t>rba_BldrCmp_Cfg_Execute_ChkMemTask</t>
  </si>
  <si>
    <t>rba_BldrCmp_Cfg_FlashIf</t>
  </si>
  <si>
    <t>rba_BldrCmp_Cfg_Functions</t>
  </si>
  <si>
    <t>rba_BldrCmp_Cfg_NvmIf</t>
  </si>
  <si>
    <t>rba_BldrCmp_Cfg_PrjFunctions</t>
  </si>
  <si>
    <t>rba_BldrCmp_Cfg_SyncFEEWrapper</t>
  </si>
  <si>
    <t>rba_BldrCmp_Cfg_TestServices_TaskMon</t>
  </si>
  <si>
    <t>rba_BldrCmp_DataHdl</t>
  </si>
  <si>
    <t>rba_BldrCmp_LogBlkHdl</t>
  </si>
  <si>
    <t>rba_BldrCmp_ServiceCondCheck</t>
  </si>
  <si>
    <t>rba_BldrCmp_Task_SADelayTimer</t>
  </si>
  <si>
    <t>rba_BldrFls</t>
  </si>
  <si>
    <t>rba_BldrFlsDrv</t>
  </si>
  <si>
    <t>rba_BldrFlsDrv_Cfg</t>
  </si>
  <si>
    <t>rba_BldrMTC10Consistency</t>
  </si>
  <si>
    <t>rba_BldrOs</t>
  </si>
  <si>
    <t>rba_BldrSrvStHdl</t>
  </si>
  <si>
    <t>rba_BldrSVM</t>
  </si>
  <si>
    <t>rba_Bmgr_main</t>
  </si>
  <si>
    <t>CSMosarASWMainstream93_TMC_847B</t>
  </si>
  <si>
    <t>Contact point: Praggya Ashok Kumar (RBEI/ESJ-ATO) AshokKumar.Praggya@in.bosch.com . Desai Nagaraj (CC-AS/ESJ3-JP) NagarajBasappa.Desai@in.bosch.com</t>
  </si>
  <si>
    <t>1st May</t>
  </si>
  <si>
    <t>GEELY_FE-3AH_CB_CSIS241976_BSS03</t>
  </si>
  <si>
    <t>228771_SAIC EP22 X1 &amp; IP31E w/o_DA ESPHevX BSS04_SP01</t>
  </si>
  <si>
    <t>GAC_220680_Carbon_A18_ESPHevx_FPA/RPA_BL04</t>
  </si>
  <si>
    <t>rba_sbl_main.c</t>
  </si>
  <si>
    <t>BB81720</t>
  </si>
  <si>
    <t>BB80912</t>
  </si>
  <si>
    <t>BB81182</t>
  </si>
  <si>
    <t>BYD_ESP93_Int</t>
  </si>
  <si>
    <t>SAIC_EP_CMP_ESPHevX_Int</t>
  </si>
  <si>
    <t>Deepika Rangarajan (RBEI/EBB7)</t>
  </si>
  <si>
    <t>SONG Yaping (CC-AS/EVA-SW3-CN)</t>
  </si>
  <si>
    <t>CHEN Xiaomin (CC-AS/EVA-SW31-CN)</t>
  </si>
  <si>
    <t>BSS04_SP01</t>
  </si>
  <si>
    <t>Team size</t>
  </si>
  <si>
    <t>Geely_FE3AH_CB_Carbon_Int</t>
  </si>
  <si>
    <t>BSS18</t>
  </si>
  <si>
    <t>OK</t>
  </si>
  <si>
    <t>NG</t>
  </si>
  <si>
    <t>Team:</t>
  </si>
  <si>
    <t>MC_239507_SGMW_CN210S_PHEV_ESP9.3CPi_BSS03_SP1</t>
  </si>
  <si>
    <t>GAC_Carbon_Stream_ESPCP_BL05</t>
  </si>
  <si>
    <t>BSS03_SP1</t>
  </si>
  <si>
    <t>BL05</t>
  </si>
  <si>
    <t>BAO Eric (CC-AS/EVA-SW32-CN)</t>
  </si>
  <si>
    <t>ZHANG Yu (CC-AS/EVA-SW31-CN)</t>
  </si>
  <si>
    <t>ZHOU Xiaoxi (CC-AS/EVA-SW31-CN)</t>
  </si>
  <si>
    <t>BB81377</t>
  </si>
  <si>
    <t>BB81116 / BB81175</t>
  </si>
  <si>
    <t>SGMW_ESP93_Carbon_Int</t>
  </si>
  <si>
    <t>GAC_ESP93CP_Carbon_Int</t>
  </si>
  <si>
    <t>SGMW_RBA_NDS_SystemInfo_Callout.c</t>
  </si>
  <si>
    <t>NET_SCL_Rx_SGMW_RemoteControl.c</t>
  </si>
  <si>
    <t>NET_SCL_Rx_GearBox.c</t>
  </si>
  <si>
    <t>RBNET_ESPiB_Monitoring.c</t>
  </si>
  <si>
    <t>Manual</t>
  </si>
  <si>
    <t>216916_FAW_E115_L3_ESPhev_APB(CBi)_BL60</t>
  </si>
  <si>
    <t>Carbon RPA</t>
  </si>
  <si>
    <t>CNMS_226315_HevX_RPA_BL03SP03</t>
  </si>
  <si>
    <t>FAW_RBF_usedBrakeChannel</t>
  </si>
  <si>
    <t>RBAPLCUST_InputOutputControl.c</t>
  </si>
  <si>
    <t xml:space="preserve">VlcLsm_InitialMnvrStartIndcn_ReleasePLock </t>
  </si>
  <si>
    <t xml:space="preserve">VlcLsm_DrvDirChangeSftyEval </t>
  </si>
  <si>
    <t xml:space="preserve">VlcLsm_InitialMnvrStartIndcn </t>
  </si>
  <si>
    <t>1.2.147.1</t>
  </si>
  <si>
    <t>1.0.147.1</t>
  </si>
  <si>
    <t>1.5.147.0</t>
  </si>
  <si>
    <t>1.0</t>
  </si>
  <si>
    <t>RBF_Main_ECU_CSW_BB00001.axl</t>
  </si>
  <si>
    <t>JI Xin (CC-AS/EYB1-CN)</t>
  </si>
  <si>
    <t>LU Martin (CC-AS/ESW2-CN)</t>
  </si>
  <si>
    <t>YU Yichi (CC/PJ-AD-EYM-CN)</t>
  </si>
  <si>
    <t>XE431RC ABS10.3ME</t>
  </si>
  <si>
    <t>CubasAdapter.c</t>
  </si>
  <si>
    <t>Fls_Cfg.c</t>
  </si>
  <si>
    <t>HWPStubs.c</t>
  </si>
  <si>
    <t>rba_Bldr_main.c</t>
  </si>
  <si>
    <t>rba_BldrCmp_10DiagnosticSessionControl.c</t>
  </si>
  <si>
    <t>rba_BldrCmp_11EcuReset.c</t>
  </si>
  <si>
    <t>rba_BldrCmp_18ReadDTCByStatus.c</t>
  </si>
  <si>
    <t>rba_BldrCmp_1AReadECUIdentification.c</t>
  </si>
  <si>
    <t>rba_BldrCmp_20StopDiagnosticSessionControl.c</t>
  </si>
  <si>
    <t>rba_BldrCMP_27SecurityAccess.c</t>
  </si>
  <si>
    <t>rba_BldrCmp_34RequestDownload.c</t>
  </si>
  <si>
    <t>rba_BldrCmp_36TransferData.c</t>
  </si>
  <si>
    <t>rba_BldrCmp_37RequestTransferExit.c</t>
  </si>
  <si>
    <t>rba_BldrCmp_3BWriteDataByLocalIdentifier.c</t>
  </si>
  <si>
    <t>rba_BldrCmp_3ETesterPresent.c</t>
  </si>
  <si>
    <t>rba_BldrCmp_4D4NMHandler.c</t>
  </si>
  <si>
    <t>rba_BldrCmp.c</t>
  </si>
  <si>
    <t>rba_BldrCmp_Cfg_Com.c</t>
  </si>
  <si>
    <t>rba_BldrCmp_Cfg_SyncEaWrapper.c</t>
  </si>
  <si>
    <t>rba_BldrCmp_Cfg_SyncFEEWrapper.c</t>
  </si>
  <si>
    <t>rba_BldrCmp_Cfg_TestServices.c</t>
  </si>
  <si>
    <t>rba_BldrCmp_Cfg_TestServices_SVM.c</t>
  </si>
  <si>
    <t>rba_BldrCmp_Cfg_TestServices_TaskMon.c</t>
  </si>
  <si>
    <t>rba_BldrCmp_CheckMemTask.c</t>
  </si>
  <si>
    <t>rba_BldrCmp_DataHdl.c</t>
  </si>
  <si>
    <t>rba_BldrCmp_LogBlkHdl.c</t>
  </si>
  <si>
    <t>rba_BldrCmp_ServiceCondCheck.c</t>
  </si>
  <si>
    <t>rba_BldrCmp_Task_SADelayTimer.c</t>
  </si>
  <si>
    <t>rba_BldrFlsDrv_Cfg.c</t>
  </si>
  <si>
    <t>rba_BldrMemCpy.c</t>
  </si>
  <si>
    <t>rba_BldrSVM.c</t>
  </si>
  <si>
    <t>rba_Bmgr_main.c</t>
  </si>
  <si>
    <t>Nguyen Minh Khoi (RBVH/EJV42)</t>
  </si>
  <si>
    <t>1. Completed ELOCs of the team from the beginning of Month till Now:</t>
  </si>
  <si>
    <t>2. Completed ELOCs of each member from the beginning of Month till Now:</t>
  </si>
  <si>
    <t>4. Found Defects/ OPLs in Month:</t>
  </si>
  <si>
    <t>5. Leave Plan:</t>
  </si>
  <si>
    <t>Can’t cover MCDC for case T-F-X of condition at line#12, because it conflict with condition at line#4.</t>
  </si>
  <si>
    <t>at line 71 &amp; line 99 cannot cover channel_en &gt; Gpt_NoOfChannels, because program use channel_en to access array which maximum elements equal to Gpt_NoOfChannels ( line 69 &amp; 97)</t>
  </si>
  <si>
    <t>at line 109 is a infinit loop (for (;;))</t>
  </si>
  <si>
    <t xml:space="preserve">because statement return; at line 70 =&gt; all line above line 70 can not reach 
</t>
  </si>
  <si>
    <t>NA</t>
  </si>
  <si>
    <t>at line 124, 127 Variable NRC_u8 always equal to  0x00</t>
  </si>
  <si>
    <t>Param1D can't cover full C0, C1</t>
  </si>
  <si>
    <t>Param1D can't cover full C0, C1
Can't cover limit assignment to t_Stall for out max vaule at line #35. Because of the condition "t_Stall &gt;= (P_TCS_dT_Stall - P_dT_TCS)" at line #26 is false =&gt; at line #35 "t_Stall += P_dT_TCS" =&gt; "t_Stall &lt; (P_TCS_dT_Stall - P_dT_TCS) + P_dT_TCS" &lt;=&gt; ""t_Stall &lt; P_TCS_dT_Stall" &lt;=&gt; "t_Stall &lt; 0.2"</t>
  </si>
  <si>
    <t xml:space="preserve"> Can't cover true case of if(DRBG_ok[2] == E_OK) at line #742 because DRBG_ok is out of range</t>
  </si>
  <si>
    <t>Refer</t>
  </si>
  <si>
    <t>No function to test</t>
  </si>
  <si>
    <t>CNMS_ESP_Carbon_Int</t>
  </si>
  <si>
    <t>2WP_ABS10.3ME_SUZUKI_XE431_Carbon_Migration_Stream</t>
  </si>
  <si>
    <t>-Duplicate Condition</t>
  </si>
  <si>
    <t>Can't cover true case of if (*length_pu16 &gt; maxLength_u16) at line #98 because *length_pu16 is always equal to 0x00. Can't cover false case of if (retValue == E_OK) at line #216 because retValue is always equal to E_OK</t>
  </si>
  <si>
    <t>GWM CHB027 RC3 ESP9.3</t>
  </si>
  <si>
    <t>DFN_ESP_Gen9.3_534_238307_BS03SP03</t>
  </si>
  <si>
    <t>GWM_NET_SCL_Rx_SCM.c</t>
  </si>
  <si>
    <t>BSS04SP4</t>
  </si>
  <si>
    <t>BL03</t>
  </si>
  <si>
    <t>BB81615</t>
  </si>
  <si>
    <t>GWM_CP_RBVH_Stream_Int</t>
  </si>
  <si>
    <t>AEB_ECU_CSW_BB00001</t>
  </si>
  <si>
    <t>4.2.1.0</t>
  </si>
  <si>
    <t>Ngo Nhat Tan (RBVH/EAS12)</t>
  </si>
  <si>
    <t>LI Ranran (CC-AS/EVA-SW2-CN)</t>
  </si>
  <si>
    <t>Can't cover true case of while (jobResult == MEMIF_JOB_PENDING) at line # 272, Can't cover false case of if (jobResult == MEMIF_JOB_OK) at line #275</t>
  </si>
  <si>
    <t>Actual LOC is 278, not 34</t>
  </si>
  <si>
    <t>Can't cover false case of if ((nvmif_b == TRUE)&amp;&amp; (rba_BldrCmp_WDBI_ListIdx_u8&lt;RBA_BLDRCMP_WDBI_NoWriteDidByNvmidListEntries)) at line # 146</t>
  </si>
  <si>
    <t>Can’t cover for true case of condition at line#88, because it have a forever loop at line#167.</t>
  </si>
  <si>
    <t>Owner confirm this file will be remove in the task</t>
  </si>
  <si>
    <t>- Condition always true</t>
  </si>
  <si>
    <t>- Can't cover for function Std_ReturnType rba_BldrCmp_Cfg_CheckMem_Init(rba_BldrCmp_Check_tst* rba_BldrCmp_Check_pst).
- Owner confirms that we can ignore it.</t>
  </si>
  <si>
    <t>VlcLsm_ParkLockSafetyEval</t>
  </si>
  <si>
    <t>AEB_DriverAccelerates</t>
  </si>
  <si>
    <t>- Tool issue.</t>
  </si>
  <si>
    <t>can not cover false case at line 69 because limited loop at line 62</t>
  </si>
  <si>
    <t>cannot cover false case at line 180 because endOfStack always greater than 4000 at line 152, 157
cannot cover false case at line 97 and 109 because limited at line 94 and 106</t>
  </si>
  <si>
    <t>at line 210 cannot cover false case because rba_BldrCmp_LogicalBlockTable_pst[i].ConsistencyRelevant always equal to TRUE (const)</t>
  </si>
  <si>
    <t>- Can't cover for function Std_ReturnType rba_BldrFlsDrv_Cfg_Write (void) because address of canCore_pvst and  txbufflocal_pvst are fixed.</t>
  </si>
  <si>
    <t>Owner confirm it's no impact</t>
  </si>
  <si>
    <t>Geely_FE3AH_CB_Carbon_Int\MainstreamF30\rba\Bldr\config\ApplicationLayer\rba_BldrCmp\src\rba_BldrCmp_Cfg_CheckMem.c</t>
  </si>
  <si>
    <t>Geely_FE3AH_CB_Carbon_Int\MainstreamF30\rba\Bldr\config\ApplicationLayer\rba_BldrCmp\src\rba_BldrCmp_Cfg_FlashIf.c</t>
  </si>
  <si>
    <t>Geely_FE3AH_CB_Carbon_Int\MainstreamF30\rba\Bldr\config\ApplicationLayer\rba_BldrCmp\src\rba_BldrCmp_Cfg_Functions.c</t>
  </si>
  <si>
    <t>Geely_FE3AH_CB_Carbon_Int\MainstreamF30\rba\Bldr\config\ApplicationLayer\rba_BldrCmp\src\rba_BldrCmp_Cfg_NvmIf.c</t>
  </si>
  <si>
    <t>Geely_FE3AH_CB_Carbon_Int\MainstreamF30\rba\Bldr\config\ApplicationLayer\rba_BldrCmp\src\rba_BldrCmp_Cfg_PrjFunctions.c</t>
  </si>
  <si>
    <t>Geely_FE3AH_CB_Carbon_Int\MainstreamF30\rba\Bldr\config\ApplicationLayer\rba_BldrCmp\src\rba_BldrCmp_Cfg_SecA.c</t>
  </si>
  <si>
    <t>Geely_FE3AH_CB_Carbon_Int\MainstreamF30\rba\Bldr\sbl\src\rba_sbl_main.c</t>
  </si>
  <si>
    <t>BYD_ESP93_Int\MainstreamF30\rb\as\BYD\Mainstream151\app\dsm\RBVAR\src\RBVAR_IDDefinitionTable_PROJECT.c</t>
  </si>
  <si>
    <t>BYD_ESP93_Int\MainstreamF30\rb\as\BYD\Mainstream151\app\dsm\RBVAR\src\RBVAR_OutputDriver_PROJECT.c</t>
  </si>
  <si>
    <t>BYD_ESP93_Int\MainstreamF30\rb\as\BYD\Mainstream151\app\dsm\RBVAR\src\RBVAR_SystemStateManagement_PROJECT.c</t>
  </si>
  <si>
    <t>BYD_ESP93_Int\MainstreamF30\rb\as\BYD\Mainstream151\app\dsm\RBVAR\src\RBVAR_VarCode_PROJECT.c</t>
  </si>
  <si>
    <t>SAIC_EP_CMP_ESPHevX_Int\ESPhevXSAICEP\rb\as\ESPhevX\saicep\app\dsm\RBVAR\src\RBVAR_IDDefinitionTable_PROJECT.c</t>
  </si>
  <si>
    <t>SAIC_EP_CMP_ESPHevX_Int\ESPhevXSAICEP\rb\as\ESPhevX\saicep\app\dsm\RBVAR\src\RBVAR_SystemStateManagement_PROJECT.c</t>
  </si>
  <si>
    <t>SAIC_EP_CMP_ESPHevX_Int\ESPhevXSAICEP\rb\as\ESPhevX\saicep\app\dsm\RBVAR\src\RBVAR_VarCode_PROJECT.c</t>
  </si>
  <si>
    <t>GAC_ESPHevX_HADHAP_Int\CNMSHevXHADHAP\rb\as\gaig\core\app\dsm\RBVAR\BB99308A18FPA\src\RBVAR_OutputDriver_PROJECT.c</t>
  </si>
  <si>
    <t>GAC_ESPHevX_HADHAP_Int\CNMSHevXHADHAP\rb\as\gaig\core\app\dsm\RBVAR\BB99308A18FPA\src\RBVAR_VarCode_PROJECT.c</t>
  </si>
  <si>
    <t>SGMW_ESP93_Carbon_Int\MainstreamF30\rb\as\sgmw\CN210S\app\net\RBScl\RBScl_SGMW\src\SGMW_RBA_NDS_SystemInfo_Callout.c</t>
  </si>
  <si>
    <t>SGMW_ESP93_Carbon_Int\MainstreamF30\rb\as\sgmw\CN210S\app\net\RBScl\RBScl_SGMW\src\NET_SCL_Rx_SGMW_RemoteControl.c</t>
  </si>
  <si>
    <t>GAC_ESP93CP_Carbon_Int\MainstreamF30\rb\as\gaig\A12ESP\app\net\RBScl\RBScl_GAC\src\NET_SCL_Rx_GearBox.c</t>
  </si>
  <si>
    <t>GAC_ESPHevX_HADHAP_Int\CNMSHevXHADHAP\rb\as\core\app\espibooster_interface\net\src\RBNET_ESPiB_Monitoring.c</t>
  </si>
  <si>
    <t>- Can't cover for function rba_BldrSVM_state_tst rba_BldrSVM_GetValidity(void) because address of (uint8 *)RBA_BLDRSVM_CFG_BLOCKADDRESS is fixed.</t>
  </si>
  <si>
    <t xml:space="preserve">Can’t cover MCDC for case T-F of condition line#132 because func_b is always equa tol FALSE (line#102).
Can’t cover MCDC for case F- X of condition at line#142 because func_b is always equal to FALSE, so when nvmif_b is equal  to FALSE , condition at line#132 is true , NRC_u8 is equal to DCM_E_SUBFUNCTIONNOTSUPPORTED (0x12).
Condition at line#138 is false , we can’t reach to condition at line#142.
Similar to MCDC case T-F of condition at line#142. nvmif_b is equal  to TRUE when condition at line#87 is true .  rba_BldrCmp_WDBI_ListIdx_u8 equal i and i is less than RBA_BLDRCMP_WDBI_NoWriteDidByNvmidListEntries (0x02).
</t>
  </si>
  <si>
    <t>can’t cover function Chec_reprog_req() at line #75. Because it have a forever loop at line #99.</t>
  </si>
  <si>
    <t>Actual LOC is 636, not 332</t>
  </si>
  <si>
    <t>Owner confirm it's OK (There is no impact for project functionality)</t>
  </si>
  <si>
    <t>Can't cover function rba_BldrOs_Main because can't do UT for for(;;)</t>
  </si>
  <si>
    <t>SAIC ZS12MCE withDA ESP9.3 BSS03SP01</t>
  </si>
  <si>
    <t>MC_239446_Geely_FE6AB_ESP9.3HD_BB81527_BL04</t>
  </si>
  <si>
    <t>217437_FAW_C229_BL43</t>
  </si>
  <si>
    <t>BAIC_C62X_RC_APA_BL01</t>
  </si>
  <si>
    <t>BSS03SP01</t>
  </si>
  <si>
    <t>BL43</t>
  </si>
  <si>
    <t>rba_AS_HWProt.c</t>
  </si>
  <si>
    <t>RBAPLCUST_RBDI_NVMData.c</t>
  </si>
  <si>
    <t>RBAPLCUST_WDBI_NVMData.c</t>
  </si>
  <si>
    <t>NET_AliveCounterLib_CNMS.c</t>
  </si>
  <si>
    <t>NET_CheckSumLib_CNMS.c</t>
  </si>
  <si>
    <t>NET_MonitoringClasses_F30.c</t>
  </si>
  <si>
    <t>NET_SCL_Rx.c</t>
  </si>
  <si>
    <t>NET_SCL_Tx_APA.c</t>
  </si>
  <si>
    <t>NET_SCL_Tx_APBMi_PRJ.c</t>
  </si>
  <si>
    <t>NET_SCL_Tx_WheelPulse_APA.c</t>
  </si>
  <si>
    <t>RBPduHandler_Callouts.c</t>
  </si>
  <si>
    <t>Thangamani Shanmugam (RBEI/EBB7)</t>
  </si>
  <si>
    <t>ZHANG Guorong (CC-AS/EVA-SW32-CN)</t>
  </si>
  <si>
    <t>NGUYEN LY THINH QUANG (RBVH/EAS12)</t>
  </si>
  <si>
    <t>Nguyen Minh Phi (RBVH/EAS12)</t>
  </si>
  <si>
    <t>BB81403</t>
  </si>
  <si>
    <t>BB99860</t>
  </si>
  <si>
    <t>BB82308</t>
  </si>
  <si>
    <t>SAIC_A_ARCH_CMP_ESP93_RBVH_Carbon_Int</t>
  </si>
  <si>
    <t>Geely_Beryllium2_Int</t>
  </si>
  <si>
    <t>FAW_MainPath_Int</t>
  </si>
  <si>
    <t>BAIC_ESP93CPi_RC_Init</t>
  </si>
  <si>
    <t>TOY_847B_MPT_Release1</t>
  </si>
  <si>
    <t>EXTERNAL Do Anh Huy (Ban Vien, RBVH/EPS45)</t>
  </si>
  <si>
    <t>RBPSC_CurrentsCalc</t>
  </si>
  <si>
    <t>RBSecOcFV_Slave</t>
  </si>
  <si>
    <t>AVH_NvM_ReadData</t>
  </si>
  <si>
    <t>CM_Honda_FA_iB_LFC5ms_LFC20msV1_3_4_0</t>
  </si>
  <si>
    <t>Honda_ACC_AxFuncSafety</t>
  </si>
  <si>
    <t>Honda_IMG_ADAS_FuncSafety</t>
  </si>
  <si>
    <t>Honda_Main_And_CMBS_FunSafety</t>
  </si>
  <si>
    <t>RBHMI_iBLampInterface_HONDA</t>
  </si>
  <si>
    <t>HONDA_iB2_1401_BL09_Sprint02</t>
  </si>
  <si>
    <t>rb.as.core.app.asw.psc</t>
  </si>
  <si>
    <t>rb.as.joem.honda</t>
  </si>
  <si>
    <t>rb.as.mb.ib2.app.asw.custtarball</t>
  </si>
  <si>
    <t>rb.as.mb.ib2.app.dsm.rbhmi</t>
  </si>
  <si>
    <t>MT_004</t>
  </si>
  <si>
    <t>MT_031</t>
  </si>
  <si>
    <t>MT_046</t>
  </si>
  <si>
    <t>MT_047</t>
  </si>
  <si>
    <t>MT_054</t>
  </si>
  <si>
    <t>MT_055</t>
  </si>
  <si>
    <t>HONDAiBGen2_14_01</t>
  </si>
  <si>
    <t>iBoosterGen2Asw_Honda_CMP1401</t>
  </si>
  <si>
    <t>Contact point: Manjunath Jayaram (RBEI/ESJ-AHG), Megha Shyam Varam (RBEI/ESJ-AHG)</t>
  </si>
  <si>
    <t>1.0.131.1</t>
  </si>
  <si>
    <t>1.8</t>
  </si>
  <si>
    <t>16h00</t>
  </si>
  <si>
    <t>GAC_Carbon_RPA_ESPHevx_Mainpath_BL05</t>
  </si>
  <si>
    <t>NET_SCL_GAC_Complex_function.c</t>
  </si>
  <si>
    <t>RBA_NDS_SystemInfo.c</t>
  </si>
  <si>
    <t>NET_SCL_EngineIntervention_Torq_GAC.c</t>
  </si>
  <si>
    <t>NET_SCL_GAC_OBD.c</t>
  </si>
  <si>
    <t>RB_DNC_SCL_RX_TPMF.c</t>
  </si>
  <si>
    <t>SAS_LWS_Standard.c</t>
  </si>
  <si>
    <t>TPMS_PSW_Interface_COMMON_CN.c</t>
  </si>
  <si>
    <t>TPMS_Handler_COMMON_CN.c</t>
  </si>
  <si>
    <t>WSSALLTIMESTMPS_SIM_CN.c</t>
  </si>
  <si>
    <t>BB81262 / BB81708</t>
  </si>
  <si>
    <t>BB81262 / BB81709</t>
  </si>
  <si>
    <t>BB81262 / BB81710</t>
  </si>
  <si>
    <t>BB81262 / BB81711</t>
  </si>
  <si>
    <t>BB81262 / BB81712</t>
  </si>
  <si>
    <t>BB81262 / BB81713</t>
  </si>
  <si>
    <t>BB81262 / BB81714</t>
  </si>
  <si>
    <t>BB81262 / BB81715</t>
  </si>
  <si>
    <t>BB81262 / BB81716</t>
  </si>
  <si>
    <t>BL01</t>
  </si>
  <si>
    <t>CAI Tantan (CC-AS/EVA-SW31-CN)</t>
  </si>
  <si>
    <t>SAIC_A_ARCH_CMP_ESP93_RBVH_Carbon_Int\MainstreamF30\rba\Bldr\config\ApplicationLayer\rba_BldrCmp\src\rba_BldrCmp_Cfg_FlashIf.c</t>
  </si>
  <si>
    <t>SAIC_A_ARCH_CMP_ESP93_RBVH_Carbon_Int\MainstreamF30\rba\Bldr\config\Infrastruct\rba_AS_HWProt\src\rba_AS_HWProt.c</t>
  </si>
  <si>
    <t>Geely_Beryllium2_Int\MainstreamF30\rb\as\geely\project\app\dsm\RBHMI\src\RBHMI_Synchronisation_F30.C</t>
  </si>
  <si>
    <t>BAIC_ESP93CPi_RC_Init\MainstreamF30\rb\as\baic\core\app\dcom\RBAPLCust\src\RBAPLCUST_RBDI_NVMData.c</t>
  </si>
  <si>
    <t>BAIC_ESP93CPi_RC_Init\MainstreamF30\rb\as\baic\core\app\dcom\RBAPLCust\src\RBAPLCUST_WDBI_NVMData.c</t>
  </si>
  <si>
    <t>BAIC_ESP93CPi_RC_Init\MainstreamF30\rb\as\baic\CpiwAPB\app\dsm\RBVAR\src\RBVAR_OutputDriver_PROJECT.c</t>
  </si>
  <si>
    <t>BAIC_ESP93CPi_RC_Init\MainstreamF30\rb\as\baic\CpiwAPB\app\net\RbNetPrj\RBNet_Can\src\NET_AliveCounterLib_CNMS.c</t>
  </si>
  <si>
    <t>BAIC_ESP93CPi_RC_Init\MainstreamF30\rb\as\baic\CpiwAPB\app\net\RbNetPrj\RBNet_Can\src\NET_CheckSumLib_CNMS.c</t>
  </si>
  <si>
    <t>BAIC_ESP93CPi_RC_Init\MainstreamF30\rb\as\baic\CpiwAPB\app\net\RbNetPrj\RBNet_Can\src\NET_MonitoringClasses_F30.c</t>
  </si>
  <si>
    <t>BAIC_ESP93CPi_RC_Init\MainstreamF30\rb\as\baic\CpiwAPB\app\net\RBScl\src\NET_SCL_Rx.c</t>
  </si>
  <si>
    <t>BAIC_ESP93CPi_RC_Init\MainstreamF30\rb\as\baic\CpiwAPB\app\net\RBScl\src\NET_SCL_Tx_APA.c</t>
  </si>
  <si>
    <t>BAIC_ESP93CPi_RC_Init\MainstreamF30\rb\as\baic\CpiwAPB\app\net\RBScl\src\NET_SCL_Tx_APBMi_PRJ.c</t>
  </si>
  <si>
    <t>BAIC_ESP93CPi_RC_Init\MainstreamF30\rb\as\baic\CpiwAPB\app\net\RBScl\src\NET_SCL_Tx_WheelPulse_APA.c</t>
  </si>
  <si>
    <t>BAIC_ESP93CPi_RC_Init\MainstreamF30\rb\as\baic\CpiwAPB\dsmpr\src\RBPduHandler_Callouts.c</t>
  </si>
  <si>
    <t>FAW_MainPath_Int\MainstreamFAW\rba\Bldr\config\ApplicationLayer\rba_BldrCmp\src\rba_BldrCmp_Cfg_CheckMem.c</t>
  </si>
  <si>
    <t>Owner confirm it isn't need to do UT
It’s OK, this part is followed CNMS
WT was updated</t>
  </si>
  <si>
    <t>GAC_Carbon_RPA_ESPHevx_Mainpath_BL04</t>
  </si>
  <si>
    <t>BB99308</t>
  </si>
  <si>
    <t>-I can’t coverage the false case of l_MMotRedFast_SW &lt; 0   and l_MMotRedSlow_SW &lt; 0   because NETBOUND always make l_MMotRedFast_SW and l_MMotRedSlow_SW     into 0x00 and 0xff</t>
  </si>
  <si>
    <t>Can't cover full MCDCs at line #102, line #112 and #133 because all of them are macros, thus if statements are always TRUE</t>
  </si>
  <si>
    <t>T200</t>
  </si>
  <si>
    <t>T201</t>
  </si>
  <si>
    <t>EC_245950_NIO_ESX_ESPHevX_DTC</t>
  </si>
  <si>
    <t>BSS04_SP02</t>
  </si>
  <si>
    <t>BS03SP03</t>
  </si>
  <si>
    <t>RBDSM_SWT_DTC.c</t>
  </si>
  <si>
    <t>NET_SCL_Rx_PEUF_VCU_84_NextEV.c</t>
  </si>
  <si>
    <t>NET_SCL_Rx_PEUR_VCU_8C_NextEV.c</t>
  </si>
  <si>
    <t>RBAPLEOL_ActuatorTest.c</t>
  </si>
  <si>
    <t>RBAPLEOL_ESPDynamicTest.c</t>
  </si>
  <si>
    <t>RBAPLEOL_ExtendedDynamicTest.c</t>
  </si>
  <si>
    <t>RBAPLEOL_PumpMotorErrorState.c</t>
  </si>
  <si>
    <t>RBAPLEOL_PumpSDTimeTest.c</t>
  </si>
  <si>
    <t>RBAPLEOL_ValvesToggling.c</t>
  </si>
  <si>
    <t>rba_SCL_Settings.c</t>
  </si>
  <si>
    <t>LI Joe (CC-AS/EVA-SW32-CN)</t>
  </si>
  <si>
    <t>LI Jiaxing (CC-AS/EVA-SW32-CN)</t>
  </si>
  <si>
    <t>LI Zhiyuan (CC-AS/EVA-SW31-CN)</t>
  </si>
  <si>
    <t>VENKATESAN Azhaku Sathya Narayanan (CC-AS/EVA-SW32-CN)</t>
  </si>
  <si>
    <t>BB82090</t>
  </si>
  <si>
    <t>NextEV_ESPHevX_Int</t>
  </si>
  <si>
    <t>DFN_Venucia_ESP93_Carbon_Int</t>
  </si>
  <si>
    <t>Can't cover function rba_Bmgr_main at line #45 because there is a endless loop at line #51</t>
  </si>
  <si>
    <t>Can’t cover FALSE case at line #246. Because of when the condition at line #200 is FALSE, the condition at line #246 cannot be the FALSE case.</t>
  </si>
  <si>
    <t>Cannot cover branch if at line #1290 and line #1339</t>
  </si>
  <si>
    <t>GAC_ESPHevX_HADHAP_Int\rb\as\gaig\core\app\net\RBScl\src</t>
  </si>
  <si>
    <t>Cannot cover branch if (*length_pu16 &gt; maxLength_u16) at line #93, 
Cannot cover branch if (retValue == E_OK) at line #229</t>
  </si>
  <si>
    <t>Cannot cover branch "else" at line #155</t>
  </si>
  <si>
    <t>NextEV_ESPHevX_Int\CNMSESPHevX\rb\as\nio\core\app\net\RBScl\src\NET_SCL_Rx_PEUF_VCU_84_NextEV.c</t>
  </si>
  <si>
    <t>NextEV_ESPHevX_Int\CNMSESPHevX\rb\as\nio\core\app\net\RBScl\src\NET_SCL_Rx_PEUR_VCU_8C_NextEV.c</t>
  </si>
  <si>
    <t>DFN_Venucia_ESP93_Carbon_Int\MainstreamF30\rb\as\core\app\dcom\RBAPLEOL\src\RBAPLEOL_ActuatorTest.c</t>
  </si>
  <si>
    <t>DFN_Venucia_ESP93_Carbon_Int\MainstreamF30\rb\as\core\app\dcom\RBAPLEOL\src\RBAPLEOL_ESPDynamicTest.c</t>
  </si>
  <si>
    <t>DFN_Venucia_ESP93_Carbon_Int\MainstreamF30\rb\as\core\app\dcom\RBAPLEOL\src\RBAPLEOL_ExtendedDynamicTest.c</t>
  </si>
  <si>
    <t>DFN_Venucia_ESP93_Carbon_Int\MainstreamF30\rb\as\core\app\dcom\RBAPLEOL\src\RBAPLEOL_PumpMotorErrorState.c</t>
  </si>
  <si>
    <t>DFN_Venucia_ESP93_Carbon_Int\MainstreamF30\rb\as\core\app\dcom\RBAPLEOL\src\RBAPLEOL_PumpSDTimeTest.c</t>
  </si>
  <si>
    <t>DFN_Venucia_ESP93_Carbon_Int\MainstreamF30\rb\as\core\app\dcom\RBAPLEOL\src\RBAPLEOL_ValvesToggling.c</t>
  </si>
  <si>
    <t>BYD_ESP93_Int\MainstreamF30\rb\as\BYD\Mainstream151\app\net\RbNetPrj\RBNet_Can\src\rba_SCL_Settings.c</t>
  </si>
  <si>
    <t>RBHMI_Synchronisation_F30.c</t>
  </si>
  <si>
    <t>- Can’t cover endless loop at line #64.</t>
  </si>
  <si>
    <t>Message Class</t>
  </si>
  <si>
    <t xml:space="preserve">
</t>
  </si>
  <si>
    <t xml:space="preserve">Can't cover case default for switch(DQ_index) at line #582 because array PSC_uDQ_DevCount[DQ_index] has only 2 items 0-1 (DQ_index only equals to 0 or 1)
</t>
  </si>
  <si>
    <t xml:space="preserve">1. Condition (VlcLsmMainReq == ReqMainState_Standstill) at line #14 cant show its influence due to it conflicts with decision at line #6.
2. Condition (VlcLsmMainReq == ReqMainState_Standstill) at line #29 cant show its influence due to it conflicts with decision at line #25.
</t>
  </si>
  <si>
    <t>- Assigned 6.2 days not 4.5 days</t>
  </si>
  <si>
    <t>- dSD not update.</t>
  </si>
  <si>
    <t>KPI\days</t>
  </si>
  <si>
    <t>FAW_MainPath_Int\MainstreamFAW\rb\as\fawMP\fawcore\app\dcom\RBAPLCust\src\RBAPLCUST_RBDI_NVMData.c</t>
  </si>
  <si>
    <t>Support testing on 20200511</t>
  </si>
  <si>
    <t>-Tool issue at line #4015, #4031, #4063, #3632 and #3633</t>
  </si>
  <si>
    <t xml:space="preserve">At line #485 cannot cover MCDC because l_LoopCnt &lt; g_EOLParamBuffer_PUB[4] at line 485 &amp; line 489 have been conflict.
At line #486cannot cover MCDC because l_LoopCnt &lt; 10] at line 486 &amp; line 490 have been conflict.
</t>
  </si>
  <si>
    <t>RC_242264_SOKON_S513EVR_ESP9.3</t>
  </si>
  <si>
    <t>NET_SCL_InitPrc_CNMS.c</t>
  </si>
  <si>
    <t>DFSK_ESP93_EV_Mainstream_Int</t>
  </si>
  <si>
    <t>Nguyen Hiep Thanh (RBVH/EAS11)</t>
  </si>
  <si>
    <t>Ventil_Strategie_Wheel</t>
  </si>
  <si>
    <t>Honda_ENG_IS_RESTART_INHIBIT</t>
  </si>
  <si>
    <t>Honda_FA_iB_JOEM_PressureLimiter_2_V1_2</t>
  </si>
  <si>
    <t>Honda_FA_iB_JOEM_PressureLimiter_PreCalc_V1_1</t>
  </si>
  <si>
    <t>Honda_FA_iB_LFC_cal_nRfpMin_V4_0</t>
  </si>
  <si>
    <t>Honda_FA_iB_LFC_Exe_V4_10</t>
  </si>
  <si>
    <t>Honda_FA_iB_pVehLimitationByNMax_V4_0</t>
  </si>
  <si>
    <t>Honda_FA_iB_SSM_VehSecured_ReqAPB_V4_3</t>
  </si>
  <si>
    <t>Honda_LFC5ms_LFC20msV4_8</t>
  </si>
  <si>
    <t>Honda_TargetStateLFC_Decision</t>
  </si>
  <si>
    <t>cubas_ComStack_Proc</t>
  </si>
  <si>
    <t>RBAPLPLANT_DiagnosticSessionControl</t>
  </si>
  <si>
    <t>RBTSI_RbDiagInit</t>
  </si>
  <si>
    <t>rba_ComScl_Scl_EPS_14A_CH1_Rx</t>
  </si>
  <si>
    <t>RBNET_TimeoutStandStill</t>
  </si>
  <si>
    <t>RBAplCust_RDBI_4004_ReadABSVSABasicDiagnosticParameters_Project</t>
  </si>
  <si>
    <t>RBAplCust_RDBI_4007_ReadDiagnosticParameterForAdditionalFunctions1_Project</t>
  </si>
  <si>
    <t>RBAplCust_RDBI_4030_Read1stFreezeFrameDataBasicParameters1_Project</t>
  </si>
  <si>
    <t>RBAplCust_RDBI_4031_Read1stFreezeFrameDataSensorParameters1_Project</t>
  </si>
  <si>
    <t>RBAplCust_RDBI_4032_Read1stFreezeFrameDataCommunicationStatus1_Project</t>
  </si>
  <si>
    <t>RBAplCust_RDBI_4033_Read2ndFreezeFrameDataBasicParameters1_Project</t>
  </si>
  <si>
    <t>RBAplCust_RDBI_4035_Read2ndFreezeFrameDataCommunicationStatus1_Project</t>
  </si>
  <si>
    <t>RBAplCust_RDBI_4070_Read1stOperatioRecordDataBasicParameters1_Project</t>
  </si>
  <si>
    <t>RBAplCust_RDBI_4071_Read1stOperatioRecordDataSensorParameters1_Project</t>
  </si>
  <si>
    <t>RBAplCust_RDBI_4072_Read2ndOperatioRecordDataBasicParameters1_Project</t>
  </si>
  <si>
    <t>RBAplCust_RDBI_4074_Read1stOperatioRecordDataEBB_Project</t>
  </si>
  <si>
    <t>RBFMHC_FreezeFrameHandling</t>
  </si>
  <si>
    <t>RBFMHC_OperationDataHandling_Project</t>
  </si>
  <si>
    <t>RBNET_ChecksumLib_HONDA</t>
  </si>
  <si>
    <t>7.1.131.0</t>
  </si>
  <si>
    <t>1.4</t>
  </si>
  <si>
    <t>HONDA_CMP_BL11sp02_snapshot05</t>
  </si>
  <si>
    <t>rb.as.core.app.asw.alc.alc5ms20ms</t>
  </si>
  <si>
    <t>rb.as.core.hwp.cubas.ComServices</t>
  </si>
  <si>
    <t>rb.as.core.hwp.hsw.rbaplplant</t>
  </si>
  <si>
    <t>rb.as.honda.cmp.app.net</t>
  </si>
  <si>
    <t>rb.as.honda.core.app.net</t>
  </si>
  <si>
    <t>rb.as.honda.esp.tgva.app.dcom</t>
  </si>
  <si>
    <t>MT_223</t>
  </si>
  <si>
    <t>MT_225</t>
  </si>
  <si>
    <t>MT_200</t>
  </si>
  <si>
    <t>MT_201</t>
  </si>
  <si>
    <t>MT_202</t>
  </si>
  <si>
    <t>MT_203</t>
  </si>
  <si>
    <t>MT_204</t>
  </si>
  <si>
    <t>MT_205</t>
  </si>
  <si>
    <t>MT_206</t>
  </si>
  <si>
    <t>MT_207</t>
  </si>
  <si>
    <t>MT_009</t>
  </si>
  <si>
    <t>MT_012</t>
  </si>
  <si>
    <t>MT_028</t>
  </si>
  <si>
    <t>Delta &gt; New</t>
  </si>
  <si>
    <t>Contact point: Iwase Megumi (CC-AS/ESJ2-JP) ; EXTERNAL Motoyoshi Kazuyuki (VSN, CC-AS/ESJ2-JP)</t>
  </si>
  <si>
    <t>RB_HONDA_ESP</t>
  </si>
  <si>
    <t>11h00</t>
  </si>
  <si>
    <t>DFSK_ESP93_EV_Mainstream_Int\MainstreamF30\rb\as\dfsk\CpiwAPB\app\net\RbNetPrj\RBNet_Can\src\NET_SCL_InitPrc_CNMS.c</t>
  </si>
  <si>
    <t>cannot cover MCDC at line 232 because RBNet_Variant_EPS_14A_CH1_Rx_b() always equal to 1.</t>
  </si>
  <si>
    <t>MC_237270_GAC_A55CP_Carbon_ESP_BL02</t>
  </si>
  <si>
    <t>GAC_220680_Carbon_A18_ESPHevx_FPA/RPA_BL05</t>
  </si>
  <si>
    <t>BL02</t>
  </si>
  <si>
    <t>RBAPLCUST_DFSK_RoutineControl_CheckProgrammingPrecondition.c</t>
  </si>
  <si>
    <t>RBAPLCUST_DiagnosticSessionControl.c</t>
  </si>
  <si>
    <t>RBAPLCUST_RBDI_CustomerHardwareVersion.c</t>
  </si>
  <si>
    <t>RBAPLCUST_RBDI_CustomerSoftwareVersion.c</t>
  </si>
  <si>
    <t>RBAPLCUST_RBDI_VariandCode.c</t>
  </si>
  <si>
    <t>RBAPLCUST_SecurityAccess.c</t>
  </si>
  <si>
    <t>NET_SCL_Rx_VAM_SOKON.c</t>
  </si>
  <si>
    <t>rba_StartStopAndCranking.c</t>
  </si>
  <si>
    <t>TestEnvironment_Fee_S513.c</t>
  </si>
  <si>
    <t>RBA_NDS_YAWRATE_Callout.c</t>
  </si>
  <si>
    <t>RBNetSAS_Functions.c</t>
  </si>
  <si>
    <t>RBHMI_ESPiB_WarningLamp_GAC.c</t>
  </si>
  <si>
    <t>BB81449</t>
  </si>
  <si>
    <t>cannot cover false case MCDC at line 1414, 1415 because litmited at 2 condition at line 1397, 1405</t>
  </si>
  <si>
    <t>GAC_ESPHevX_HADHAP_Int\CNMSHevXHADHAP\rb\as\gaig\core\app\net\RBScl\src\NET_SCL_GAC_Complex_function.c</t>
  </si>
  <si>
    <t>FAW_E115_ESPhev_BSL60</t>
  </si>
  <si>
    <t>BJEV_N60_2WD_4WD</t>
  </si>
  <si>
    <t>BL73_SP02</t>
  </si>
  <si>
    <t xml:space="preserve">AD_ShutDown </t>
  </si>
  <si>
    <t>ACC_ShutDown</t>
  </si>
  <si>
    <t xml:space="preserve">VLC_ADSignalsChoice </t>
  </si>
  <si>
    <t>rba_BldrBCLSigChk.c</t>
  </si>
  <si>
    <t>rba_BldrFlsDrv.c</t>
  </si>
  <si>
    <t>RBLCF_Customized_Hexblocks_Allocation_Signature.c</t>
  </si>
  <si>
    <t>V 1.0</t>
  </si>
  <si>
    <t>(0.1.146314.4)</t>
  </si>
  <si>
    <t>BAIC_MainPath_HevX_Int</t>
  </si>
  <si>
    <t>LI Jiaojiao (CC/PJ-AD-EYM-CN)</t>
  </si>
  <si>
    <t>Nageswara Reddy Tindi (RBEI/EBB7)</t>
  </si>
  <si>
    <t>1.4.1.1.0.1</t>
  </si>
  <si>
    <t>Nguyen Nhat, Canh</t>
  </si>
  <si>
    <t>ABS9.1MB_Corona_Projects_COEM_DiagCAN__1_6</t>
  </si>
  <si>
    <t>CNMS_226528_IB2_RPA</t>
  </si>
  <si>
    <t>APBSysState_Mockup</t>
  </si>
  <si>
    <t>BL03SP05</t>
  </si>
  <si>
    <t>SUN Kai (CC/PJ-AD-EYM-CN)</t>
  </si>
  <si>
    <t>Can't cover true case of if(0) at line #1483,1489,1495,1501 because decision always FALSE</t>
  </si>
  <si>
    <t xml:space="preserve">There is a redundant semicolon at the end of the line #732
</t>
  </si>
  <si>
    <t xml:space="preserve">No fuction to test
</t>
  </si>
  <si>
    <t>Missing "src" at Component Name</t>
  </si>
  <si>
    <t>NextEV_ESPHevX_Int\CNMSESPHevX\rb\as\nio\prj\dsmpr\tst\Sim\STMComponents\src\RBDSM_SWT_DTC.c</t>
  </si>
  <si>
    <t>- Delay 1 day: 1457821,1458024,1413974,1458032</t>
  </si>
  <si>
    <t>CMNS Standard</t>
  </si>
  <si>
    <t>CSMosarASWMainstream93_Honda</t>
  </si>
  <si>
    <t>DFSK_ESP93_EV_Mainstream_Int\MainstreamF30\rb\as\dfsk\core\app\dcom\RBAPLCust\src\RBAPLCUST_DFSK_RoutineControl_CheckProgrammingPrecondition.c</t>
  </si>
  <si>
    <t>DFSK_ESP93_EV_Mainstream_Int\MainstreamF30\rb\as\dfsk\core\app\dcom\RBAPLCust\src\RBAPLCUST_RBDI_CustomerHardwareVersion.c</t>
  </si>
  <si>
    <t>DFSK_ESP93_EV_Mainstream_Int\MainstreamF30\rb\as\dfsk\core\app\dcom\RBAPLCust\src\RBAPLCUST_RBDI_CustomerSoftwareVersion.c</t>
  </si>
  <si>
    <t>DFSK_ESP93_EV_Mainstream_Int\MainstreamF30\rb\as\dfsk\core\app\dcom\RBAPLCust\src\RBAPLCUST_RBDI_NVMData.c</t>
  </si>
  <si>
    <t>DFSK_ESP93_EV_Mainstream_Int\MainstreamF30\rb\as\dfsk\core\app\dcom\RBAPLCust\src\RBAPLCUST_RBDI_VariandCode.c</t>
  </si>
  <si>
    <t>DFSK_ESP93_EV_Mainstream_Int\MainstreamF30\rb\as\dfsk\core\app\dcom\RBAPLCust\src\RBAPLCUST_SecurityAccess.c</t>
  </si>
  <si>
    <t>DFSK_ESP93_EV_Mainstream_Int\MainstreamF30\rb\as\dfsk\core\app\dcom\RBAPLCust\src\RBAPLCUST_WDBI_NVMData.c</t>
  </si>
  <si>
    <t>DFSK_ESP93_EV_Mainstream_Int\MainstreamF30\rb\as\dfsk\CpiwAPB\app\net\RbNetPrj\RBNet_Can\src\NET_MonitoringClasses_F30.c</t>
  </si>
  <si>
    <t>DFSK_ESP93_EV_Mainstream_Int\MainstreamF30\rb\as\dfsk\CpiwAPB\app\net\RBScl_BB99581\src\NET_SCL_Rx_VAM_SOKON.c</t>
  </si>
  <si>
    <t>DFSK_ESP93_EV_Mainstream_Int\MainstreamF30\rb\as\dfsk\CpiwAPB\app\net\RBSTSP_Crank\RBCN\SRC\rba_StartStopAndCranking.c</t>
  </si>
  <si>
    <t>DFSK_ESP93_EV_Mainstream_Int\MainstreamF30\rb\as\dfsk\CpiwAPB\hswpr\tst\hswsim\src\TestEnvironment_Fee_S513.c</t>
  </si>
  <si>
    <t>GAC_ESPHevX_HADHAP_Int\CNMSHevXHADHAP\rb\as\cnms_core\app\net\scl_callout\src\RBA_NDS_YAWRATE_Callout.c</t>
  </si>
  <si>
    <t>GAC_ESP93CP_Carbon_Int\MainstreamF30\rb\as\core\app\net\RBNetSAS\src\RBNetSAS_Functions.c</t>
  </si>
  <si>
    <t>GAC_ESP93CP_Carbon_Int\MainstreamF30\rb\as\cnms_core\app\net\scl\Sensors\Steering\src\SAS_LWS_Standard.c</t>
  </si>
  <si>
    <t>GAC_ESPHevX_HADHAP_Int\CNMSHevXHADHAP\rb\as\gaig\prj\dsmpr\src\RBHMI\src\RBHMI_ESPiB_WarningLamp_GAC.c</t>
  </si>
  <si>
    <t>Lack component.</t>
  </si>
  <si>
    <t>Remove. Cancel UT</t>
  </si>
  <si>
    <t>MC_239507_SGMW_CN210S_PHEV_ESP9.3CPi_BSS02_SP2</t>
  </si>
  <si>
    <t>BSS02_SP2</t>
  </si>
  <si>
    <t>RBAPLCUST_VariandCode.c</t>
  </si>
  <si>
    <t>SUN Yun (CC-AS/EVA-SW31-CN)</t>
  </si>
  <si>
    <t>1404916.axl</t>
  </si>
  <si>
    <t>ESPiBVmcESPDeploymentInputStubs_ECU_CSW_BB95473.axl</t>
  </si>
  <si>
    <t>BAIC_MainPath_HevX_Int\BAICHevX\rba\Bldr\comps\ComplexDeviceDriver\rba_BldrBCLSigChk\src\rba_BldrBCLSigChk.c</t>
  </si>
  <si>
    <t>BAIC_MainPath_HevX_Int\BAICHevX\rba\Bldr\comps\ComplexDeviceDriver\rba_BldrFlsDrv\src\rba_BldrFlsDrv.c</t>
  </si>
  <si>
    <t>BAIC_MainPath_HevX_Int\BAICHevX\rba\Bldr\config\ApplicationLayer\rba_BldrCmp\src\rba_BldrCmp_Cfg_CheckMem.c</t>
  </si>
  <si>
    <t>BAIC_MainPath_HevX_Int\BAICHevX\rba\Bldr\config\ApplicationLayer\rba_BldrCmp\src\rba_BldrCmp_Cfg_FlashIf.c</t>
  </si>
  <si>
    <t>BAIC_MainPath_HevX_Int\BAICHevX\rba\Bldr\config\ApplicationLayer\rba_BldrCmp\src\rba_BldrCmp_Cfg_Functions.c</t>
  </si>
  <si>
    <t>BAIC_MainPath_HevX_Int\BAICHevX\rba\Bldr\config\ApplicationLayer\rba_BldrCmp\src\rba_BldrCmp_Cfg_SecA.c</t>
  </si>
  <si>
    <t>BAIC_MainPath_HevX_Int\BAICHevX\rba\Bldr\config\ComplexDeviceDriver\rba_BldrFlsDrv\src\rba_BldrFlsDrv_Cfg.c</t>
  </si>
  <si>
    <t>BAIC_MainPath_HevX_Int\BAICHevX\rba\Bldr\config\Infrastruct\CubasAdapter\src\CubasAdapter.c</t>
  </si>
  <si>
    <t>BAIC_MainPath_HevX_Int\BAICHevX\rba\Bldr\bldr\src\rba_Bldr_main.c</t>
  </si>
  <si>
    <t>BAIC_MainPath_HevX_Int\BAICHevX\rba\Bldr\sbl\src\rba_sbl_main.c</t>
  </si>
  <si>
    <t>BAIC_MainPath_HevX_Int\BAICHevX\rba\BldrCmp\src\rba_BldrCMP_27SecurityAccess.c</t>
  </si>
  <si>
    <t>BAIC_MainPath_HevX_Int\BAICHevX\rb\as\baic\prj\cswpr\src\RBLCF_Customized_Hexblocks_Allocation_Signature.c</t>
  </si>
  <si>
    <t>BAIC_MainPath_HevX_Int\BAICHevX\rba\FBL\AS\SW\rba_Bmgr\src\rba_Bmgr_main.c</t>
  </si>
  <si>
    <t>ABS9.1MB_Corona_Projects_COEM_DiagCAN__1_6\Psw\DNC\DNC09_BB91153\HMI09_BB91153\SRC\HMI09_ConfigOutputDriver_BB91102.C</t>
  </si>
  <si>
    <t>SGMW_ESP93_Carbon_Int\MainstreamF30\rb\as\sgmw\core\app\dcom\RBAPLCust\src\common\RBAPLCUST_VariandCode.c</t>
  </si>
  <si>
    <t>Lack component. Owner confirm it's no impact</t>
  </si>
  <si>
    <t>[No1]: Line 236, 281, 423, 435, 456 can not cover false condition if(ls_PreSig_Value_UB == ls_CurSig_Value_UB) because: ls_PreSig_Value_UB is static variable, and it is always set at line 420 by “case 1”.
[No2] Missing key word break at line 589 case C_State_Init_UB
[No3]: Condition line 1291 can not cover true case because the limit assignment from line 1284 with C_MMotRedMin_UW = 0x00. There for the value of l_MMotRedFastFA_SW is never lower than “0”.</t>
  </si>
  <si>
    <t>237281_GAC_A76_CarbonESP9.3CP_BL04</t>
  </si>
  <si>
    <t>238493_GAC_A36_CarbonESP9.3CP_BL04</t>
  </si>
  <si>
    <t>GAC_ESP93CP_Carbon_Int\MainstreamF30\rb\as\gaig\A12ESP\app\dsm\RBVAR\BB_81116A76CP\src\RBVAR_VarCode_PROJECT.c</t>
  </si>
  <si>
    <t>GAC_ESP93CP_Carbon_Int\MainstreamF30\rb\as\gaig\A12ESP\app\dsm\RBVAR\BB_81175A36CP\src\RBVAR_OutputDriver_PROJECT.c</t>
  </si>
  <si>
    <t>FENG Yinfei (CC-AS/EVA-SW31-CN)</t>
  </si>
  <si>
    <t>PT_ModelTransAxletoBody_C</t>
  </si>
  <si>
    <t>1435036.zip</t>
  </si>
  <si>
    <t>1.5.147308.0</t>
  </si>
  <si>
    <t>YANG Qingliu (CC-AS/EVA-SW1-CN)</t>
  </si>
  <si>
    <t>Can’t cover C0, C1 for case TRUE of condition at line#112, because it always FALSE</t>
  </si>
  <si>
    <t>Can’t cover C0, C1 for case FALSE of condition at line#357, because it always TRUE when variable Direction_u8 pass through if statement at line #272</t>
  </si>
  <si>
    <t>at line 24 cannot cover outrange of tEPBREQ [0-5] because limited condition at line 21
at line 63 cannot cover MCDC at case: F-T-F-F because when line 65 FALSE =&gt; line 62 or 64 TRUE
at line 132 cannot cover outrange of tCMBSActive [0-5] because limited condition at line 127
at line 154 cannot cover MCDC at case T-F because when (IMG_BRKMODE_STATUS == 1.0) is FALSE =&gt; condition at line 137 TRUE =&gt; line 154 cannot reach
at line 186 cannot cover FALSE case of C1 because limted condition at line 87, 108</t>
  </si>
  <si>
    <t>+ Can’t cover function rba_Bmgr_main() at line #75. Because It has a forever loop at line #90
+ Can’t cover MCDC for condition at line #237. Because of the address of integer variable can’t be adjusted.</t>
  </si>
  <si>
    <t>HMI09_ConfigOutputDriver_BB91102.c</t>
  </si>
  <si>
    <t>Can't cover ful MCDCs ait line #15 because variable StepSize is constant</t>
  </si>
  <si>
    <t>FAW_E115_ESPhev_BSS60</t>
  </si>
  <si>
    <t>GWM AB30 7DCT</t>
  </si>
  <si>
    <t>BB99180</t>
  </si>
  <si>
    <t>BB80433 BB80431 BB81003</t>
  </si>
  <si>
    <t>BSS08</t>
  </si>
  <si>
    <t>BB80433</t>
  </si>
  <si>
    <t>RBHMI_ConfigOutputDriver_PRJ.c</t>
  </si>
  <si>
    <t>RBHMI_ExtStateCalculation_PRJ.c</t>
  </si>
  <si>
    <t>CCM_Callbacks_Project.c</t>
  </si>
  <si>
    <t>RBVAR_PROJECT.c</t>
  </si>
  <si>
    <t>RBAPLCUST_RBDI_NVMData_Prj.c</t>
  </si>
  <si>
    <t>RBAPLCUST_RDBI_BOM.c</t>
  </si>
  <si>
    <t>RBAPLCUST_RDBI_IOCtrlState.c</t>
  </si>
  <si>
    <t>RBAPLCUST_ReadDTCInformation.c</t>
  </si>
  <si>
    <t>ComScl_CalcCRC8.c</t>
  </si>
  <si>
    <t>ComScl_Scl_Complex_proc.c</t>
  </si>
  <si>
    <t>NET_ATM_Callout_GWM.c</t>
  </si>
  <si>
    <t>NET_DST_Callout_GWM.c</t>
  </si>
  <si>
    <t>NET_Monitoring.c</t>
  </si>
  <si>
    <t>NET_NetBLSStrategy_GWM.c</t>
  </si>
  <si>
    <t>NET_PBCMessageStrategy_GWM.c</t>
  </si>
  <si>
    <t>NET_SAS_Callout_GWM.c</t>
  </si>
  <si>
    <t>NET_SpecialStrategy_GWM.c</t>
  </si>
  <si>
    <t>NET_SystemInfo_Callout_GWM.c</t>
  </si>
  <si>
    <t>NET_Torque_Callout_GWM.c</t>
  </si>
  <si>
    <t>NET_WSSensorFault_Callout_GWM.c</t>
  </si>
  <si>
    <t>NET_Yrs_Callout_GWM.c</t>
  </si>
  <si>
    <t>rba_NET_Global_variable.c</t>
  </si>
  <si>
    <t>Dem_VarCode_PRJ.c</t>
  </si>
  <si>
    <t>RBVAR_StateMachine_COMMON.c</t>
  </si>
  <si>
    <t>RBVAR_VarCode_COMMON.c</t>
  </si>
  <si>
    <t>GWM_AB30_CP_Int</t>
  </si>
  <si>
    <t>YANG Zhongjian (CC-AS/EVA-SW2-CN)</t>
  </si>
  <si>
    <t>XU Zhuofan (CC-AS/EVA-SW33-CN)</t>
  </si>
  <si>
    <t>LI Chengcheng (CC-AS/EVA-SW33-CN)</t>
  </si>
  <si>
    <t>CHEN Steve (CC-AS/EVA-SW33-CN)</t>
  </si>
  <si>
    <t>Owner confirm it's no impact
- dSD not update.</t>
  </si>
  <si>
    <t>EC_245950_NIO_ESX_ESPHevX_DTC_BSS04_SP02</t>
  </si>
  <si>
    <t>Chitra Chandrasekaran (RBEI/EBB7)</t>
  </si>
  <si>
    <t>FAW_L3_MainPath_HevX_Int_N</t>
  </si>
  <si>
    <t>- Issue of cantata for display MCDC at line#71 and line#76
=&gt; Confirm by Mr.Thinh</t>
  </si>
  <si>
    <t>FAW_L3_MainPath_HevX_Int_N\CNMSESPHevX\rb\as\fawesphevx\fawcore\app\dsm\RBHMI\src\RBHMI_ConfigOutputDriver_PRJ.c</t>
  </si>
  <si>
    <t>FAW_L3_MainPath_HevX_Int_N\CNMSESPHevX\rb\as\fawesphevx\fawcore\app\dsm\RBHMI\src\RBHMI_ExtStateCalculation_PRJ.c</t>
  </si>
  <si>
    <t>FAW_L3_MainPath_HevX_Int_N\CNMSESPHevX\rb\as\fawesphevx\fawprj\dsmpr\src\RBPduHandler_Callouts.c</t>
  </si>
  <si>
    <t>FAW_L3_MainPath_HevX_Int_N\CNMSESPHevX\rb\as\fawesphevx\fawprj\dsmpr\src\RBEMM\CCM_Callbacks_Project.c</t>
  </si>
  <si>
    <t>FAW_L3_MainPath_HevX_Int_N\CNMSESPHevX\rb\as\fawesphevx\fawprj\dsmpr\src\RBVAR\RBVAR_PROJECT.c</t>
  </si>
  <si>
    <t>GWM_AB30_CP_Int\MainstreamF30\rb\as\gwm\core\app\dcom\RBAPLCust\src\common\RBAPLCUST_RBDI_NVMData_Prj.c</t>
  </si>
  <si>
    <t>GWM_AB30_CP_Int\MainstreamF30\rb\as\gwm\core\app\dcom\RBAPLCust\src\common\RBAPLCUST_RDBI_BOM.c</t>
  </si>
  <si>
    <t>GWM_AB30_CP_Int\MainstreamF30\rb\as\gwm\core\app\dcom\RBAPLCust\src\ESP\RBAPLCUST_RDBI_IOCtrlState.c</t>
  </si>
  <si>
    <t>GWM_AB30_CP_Int\MainstreamF30\rb\as\gwm\core\app\dcom\RBAPLCust\src\common\RBAPLCUST_ReadDTCInformation.c</t>
  </si>
  <si>
    <t>GWM_AB30_CP_Int\MainstreamF30\rb\as\gwm\cp\app\net\RbNetPrj\RBNet_Can\src\ComScl_CalcCRC8.c</t>
  </si>
  <si>
    <t>GWM_AB30_CP_Int\MainstreamF30\rb\as\gwm\cp\app\net\RBScl\src\ComScl_Scl_Complex_proc.c</t>
  </si>
  <si>
    <t>GWM_AB30_CP_Int\MainstreamF30\rb\as\gwm\cp\app\net\SclCallout\src\NET_ATM_Callout_GWM.c</t>
  </si>
  <si>
    <t>GWM_AB30_CP_Int\MainstreamF30\rb\as\gwm\cp\app\net\RbNetPrj\RBNet_Can\src\NET_CheckSumLib_CNMS.c</t>
  </si>
  <si>
    <t>GWM_AB30_CP_Int\MainstreamF30\rb\as\gwm\cp\app\net\SclCallout\src\NET_DST_Callout_GWM.c</t>
  </si>
  <si>
    <t>GWM_AB30_CP_Int\MainstreamF30\rb\as\gwm\cp\app\net\RBNm\src\NET_Monitoring.c</t>
  </si>
  <si>
    <t>GWM_AB30_CP_Int\MainstreamF30\rb\as\gwm\cp\app\net\SpecialStrategy\src\NET_NetBLSStrategy_GWM.c</t>
  </si>
  <si>
    <t>GWM_AB30_CP_Int\MainstreamF30\rb\as\gwm\cp\app\net\SpecialStrategy\src\NET_PBCMessageStrategy_GWM.c</t>
  </si>
  <si>
    <t>GWM_AB30_CP_Int\MainstreamF30\rb\as\gwm\cp\app\net\SclCallout\src\NET_SAS_Callout_GWM.c</t>
  </si>
  <si>
    <t>GWM_AB30_CP_Int\MainstreamF30\rb\as\gwm\cp\app\net\SpecialStrategy\src\NET_SpecialStrategy_GWM.c</t>
  </si>
  <si>
    <t>GWM_AB30_CP_Int\MainstreamF30\rb\as\gwm\cp\app\net\SclCallout\src\NET_SystemInfo_Callout_GWM.c</t>
  </si>
  <si>
    <t>GWM_AB30_CP_Int\MainstreamF30\rb\as\gwm\cp\app\net\SclCallout\src\NET_Torque_Callout_GWM.c</t>
  </si>
  <si>
    <t>GWM_AB30_CP_Int\MainstreamF30\rb\as\gwm\cp\app\net\SclCallout\src\NET_WSSensorFault_Callout_GWM.c</t>
  </si>
  <si>
    <t>GWM_AB30_CP_Int\MainstreamF30\rb\as\gwm\cp\app\net\SclCallout\src\NET_Yrs_Callout_GWM.c</t>
  </si>
  <si>
    <t>GWM_AB30_CP_Int\MainstreamF30\rb\as\gwm\cp\app\net\RBNetGlobal\src\rba_NET_Global_variable.c</t>
  </si>
  <si>
    <t>GWM_AB30_CP_Int\MainstreamF30\rb\as\cnms_core\app\dsm\DemVar\src\Dem_VarCode_PRJ.c</t>
  </si>
  <si>
    <t>GWM_AB30_CP_Int\MainstreamF30\rb\as\cnms_core\app\dsm\RBVAR\src\RBVAR_StateMachine_COMMON.c</t>
  </si>
  <si>
    <t>GWM_AB30_CP_Int\MainstreamF30\rb\as\cnms_core\app\dsm\RBVAR\src\RBVAR_VarCode_COMMON.c</t>
  </si>
  <si>
    <t>GWM_AB30_CP_Int\MainstreamF30\rb\as\gwm\cp\app\dsm\RBVAR\BB80433\src\RBVAR_VarCode_PROJECT.c</t>
  </si>
  <si>
    <t>GWM_AB30_CP_Int\MainstreamF30\rb\as\gwm\cp\app\dsm\RBVAR\BB80431\src\RBVAR_VarCode_PROJECT.c</t>
  </si>
  <si>
    <t>GWM_AB30_CP_Int\MainstreamF30\rb\as\gwm\cp\app\dsm\RBVAR\BB81003\src\RBVAR_VarCode_PROJECT.c</t>
  </si>
  <si>
    <t>GWM_AB30_CP_Int\MainstreamF30\rb\as\gwm\cp\app\dsm\RBVAR\BB82313\src\RBVAR_VarCode_PROJECT.c</t>
  </si>
  <si>
    <t>- Can't cover default switch case at line 265</t>
  </si>
  <si>
    <t xml:space="preserve">- Unable to cover DEFAULT case of switch( SsmState ) at line #270 because the enum SsmState only has 4 values.
'- Cannot cover MCDC case T-T-F at line 139 becase when IMG_BRKMODE_STATUS false =&gt; line 71 false =&gt; line 139 never reach"
</t>
  </si>
  <si>
    <t>235199_SAIC_EP21_MCE_ESP9.3HevX</t>
  </si>
  <si>
    <t>GWM_AB30_7DCT_BSS08</t>
  </si>
  <si>
    <t>GAC_239741_Carbon_A12 4WD ESPHevx FPA/RPA_BL02</t>
  </si>
  <si>
    <t>BYD_IPB_SW_Mainstream_BL05</t>
  </si>
  <si>
    <t>ComScl_Scl_Complex.c</t>
  </si>
  <si>
    <t>ComScl_Scl_GW_HSC2_HCU_FrP01_Rx.c</t>
  </si>
  <si>
    <t>PbcWrapper.c</t>
  </si>
  <si>
    <t>PbcInterface.c</t>
  </si>
  <si>
    <t>ASWIF_CustomerConfig.c</t>
  </si>
  <si>
    <t>cco_stub.c</t>
  </si>
  <si>
    <t>other_stub.c</t>
  </si>
  <si>
    <t>MM_WakeUp.c</t>
  </si>
  <si>
    <t>MM_PowerDown.c</t>
  </si>
  <si>
    <t>MM_NmClient.c</t>
  </si>
  <si>
    <t>Obd_CalId.c</t>
  </si>
  <si>
    <t>RBAPLCUST_RDBI_InputData_APBMi.c</t>
  </si>
  <si>
    <t>NET_SCL_Rx_VAF_Complex.c</t>
  </si>
  <si>
    <t>BB81539</t>
  </si>
  <si>
    <t>BB81483</t>
  </si>
  <si>
    <t>BYD_IPB_BL05_Int</t>
  </si>
  <si>
    <t>GUO Sasa (CC-AS/EVA-SW3-CN)</t>
  </si>
  <si>
    <t>PAN Qi (CC-AS/EVA-SW31-CN)</t>
  </si>
  <si>
    <t>TANG Yanqi (CC-AS/EVA-SW31-CN)</t>
  </si>
  <si>
    <t>ZHANG Wenjia (CC-AS/EVA-SW33-CN)</t>
  </si>
  <si>
    <t xml:space="preserve">I cannot cover full  C1 becasuse length_pu16 &lt; maxLength_u16 or length_pu16 = maxLength_u16.
Switch at Case “default” =&gt; *length_pu16 = (uint16)0x00 and maxLength_u16 have type unsign int 16.
So cannot cover if (*length_pu16 &gt; maxLength_u16).
</t>
  </si>
  <si>
    <t>I cannot cover full  C1 becasuse “if(1)”.</t>
  </si>
  <si>
    <t>rba_Bldr_Backdoor.c</t>
  </si>
  <si>
    <t>BAIC_MainPath_HevX_Int\BAICHevX\rba\Bldr\bldr\src\rba_Bldr_Backdoor.c</t>
  </si>
  <si>
    <t>Support Mr Hai Testing this funciton. Assign 16h00 20200515, but function got issue about controlling address of "local variable". So it need to confirm with developer for next step. Shift due date to 20200518, confirm by Mr. Hai</t>
  </si>
  <si>
    <t xml:space="preserve">1. NMSG_SnowModeActive_B_pre in decision else if(NMSG_SnowModeActive_B_l &amp;&amp; NMSG_SnowModeActive_B_pre) at line #322 can’t show its influence because it conflicts with decision at line #307.
2. !NMSG_SnowModeActive_B_l in decision else if(!NMSG_SnowModeActive_B_l &amp;&amp; NMSG_SnowModeActive_B_pre) at line #340 can’t show its influence because it conflicts with decision at line #307 or decision at line #322.
3. !NMSG_SnowModeActive_B_l and !NMSG_SnowModeActive_B_pre in decision else if(!NMSG_SnowModeActive_B_l &amp;&amp; !NMSG_SnowModeActive_B_pre) at line #355 can’t show its influence because it sequentially conflicts with (decision at line #307 or decision at line #322) and decision at line #340.
</t>
  </si>
  <si>
    <t>21,22-May</t>
  </si>
  <si>
    <t>+ Cannot cover FALSE case at the right side for condition else if ((ComScl_RawSignal_AEBHydBrkAstLvlReqHSC2_RX_u8)&amp;&amp;(l_ABAActive_B == FALSE)) at line #238
+ Cannot cover for ELSE case for condition else if (ComScl_RawSignal_AEBHydBrkAstLvlReqHSC2_RX_u8 == 0) at line #260</t>
  </si>
  <si>
    <t>-Already have confirm by owner as the previous phase</t>
  </si>
  <si>
    <t>-Can't cover for default of switch case at line #99</t>
  </si>
  <si>
    <t>BYD_IPB_BL05_Int\BYDIPB\rb\as\BYD\ipb\app\net\RBScl\Scl_Callout\src</t>
  </si>
  <si>
    <t>BAIC_N60_iBooster</t>
  </si>
  <si>
    <t>NET_AliveCounterLib_BAIC.c</t>
  </si>
  <si>
    <t>RBRIS_MainHandler.c</t>
  </si>
  <si>
    <t>RBA_NDS_CIM_0x310_Callout.c</t>
  </si>
  <si>
    <t>RBA_NDS_EPS_0x1C2_Callout.c</t>
  </si>
  <si>
    <t>RBA_NDS_EPS_0x217_Callout.c</t>
  </si>
  <si>
    <t>RBA_NDS_EPS_0x242_Callout.c</t>
  </si>
  <si>
    <t>RBA_NDS_EPS_0x246_Callout.c</t>
  </si>
  <si>
    <t>RBA_NDS_EPS_0x261_Callout.c</t>
  </si>
  <si>
    <t>RBA_NDS_EPS_0x318_Callout.c</t>
  </si>
  <si>
    <t>RBA_NDS_ESP_0x1B8_Callout.c</t>
  </si>
  <si>
    <t>RBA_NDS_ESP_0x264_Callout.c</t>
  </si>
  <si>
    <t>RBA_NDS_ESP_0x266_Callout.c</t>
  </si>
  <si>
    <t>RBA_NDS_ESP_0x332_Callout.c</t>
  </si>
  <si>
    <t>RBA_NDS_ESP_0x658_Callout.c</t>
  </si>
  <si>
    <t>RBA_NDS_ESP_Common_Callout.c</t>
  </si>
  <si>
    <t>RBA_NDS_MCU_F_0x150_Callout.c</t>
  </si>
  <si>
    <t>RBA_NDS_PAS_0x1BC_Callout.c</t>
  </si>
  <si>
    <t>RBA_NDS_VCU_0x102_Callout.c</t>
  </si>
  <si>
    <t>RBA_NDS_VCU_0x226_Callout.c</t>
  </si>
  <si>
    <t>RBA_NDS_VCU_0x245_Callout.c</t>
  </si>
  <si>
    <t>RBSEC_Sec.c</t>
  </si>
  <si>
    <t>RBVAR_StateMachine_CustomerProject.c</t>
  </si>
  <si>
    <t>Dem_PrjSpecificIndiHandling.c</t>
  </si>
  <si>
    <t>RBHMI_LDMLamp_FAW.c</t>
  </si>
  <si>
    <t>RBAPLCUST_RBDI_NVMData_BAICib.c</t>
  </si>
  <si>
    <t>RBAPLCUST_WDBI_NVMData_BAICib.c</t>
  </si>
  <si>
    <t>RBAPLCUST_RBDI_SWVersionNumber.c</t>
  </si>
  <si>
    <t>RBAPLCUST_RDBI_AnalogData.c</t>
  </si>
  <si>
    <t>RBAPLCUST_RDBI_StatusInformation.c</t>
  </si>
  <si>
    <t>RBAPLCUST_SnapshotChecksumAlivecounter_iBooster.c</t>
  </si>
  <si>
    <t>RBAPLCUST_RoutineControl_ConditionCheck.c</t>
  </si>
  <si>
    <t>RBAPLCUST_SpeedLimitForServices_BAIC_ESP.c</t>
  </si>
  <si>
    <t>RBAPLCUST_SnapshotChecksumAlivecounter_ESP.c</t>
  </si>
  <si>
    <t>BL72_SP02</t>
  </si>
  <si>
    <t>BB98384</t>
  </si>
  <si>
    <t>BAIC_IB2_Int</t>
  </si>
  <si>
    <t>HU Evan (CC-AS/EVA-SW33-CN)</t>
  </si>
  <si>
    <t>SUN Nan (CC-AS/EVA-SW1-CN)</t>
  </si>
  <si>
    <t>ZHU Anlin (CC-AS/EVA-SW2-CN)</t>
  </si>
  <si>
    <t>ZHENG Fangfang (CC-AS/EVA-SW33-CN)</t>
  </si>
  <si>
    <t>LIANG Xin (CC-AS/EVA-SW33-CN)</t>
  </si>
  <si>
    <t>BB98378</t>
  </si>
  <si>
    <t>GEELY_FS11_ESP9.3HD_BSS05_SP05</t>
  </si>
  <si>
    <t>SGMW CN202M 208T CPi ACC 242139 BB81871</t>
  </si>
  <si>
    <t>RBHMI_Synchronisation_F30.C</t>
  </si>
  <si>
    <t>NET_SCL_Rx_SGMW.c</t>
  </si>
  <si>
    <t>NET_SCL_Tx_SGMW.c</t>
  </si>
  <si>
    <t>MIAO Huafeng (CC-AS/EVA-SW32-CN)</t>
  </si>
  <si>
    <t>To Trong Khoa (RBVH/EAS11)</t>
  </si>
  <si>
    <t>BB98153 &amp; BB97958 &amp; BB80790 &amp; BB80795</t>
  </si>
  <si>
    <t>BB81871</t>
  </si>
  <si>
    <t>Geely_ESP93_Carbon_Int</t>
  </si>
  <si>
    <t>GEELY_SS11ESP9.3CP_BL02_SP04</t>
  </si>
  <si>
    <t>BB 80795</t>
  </si>
  <si>
    <t xml:space="preserve">Geely_ESP93_Carbon_Int </t>
  </si>
  <si>
    <t>BL02_SP04</t>
  </si>
  <si>
    <t>SGMW_ESP93_Mainstream_Int</t>
  </si>
  <si>
    <t>Wrong databasse =&gt; Fixed</t>
  </si>
  <si>
    <t>Geely_ESP93_Carbon_Int\MainstreamF30\rb\as\geely\CpiwAPB\app\dsm\RBHMI\src\RBHMI_Synchronisation_F30.C</t>
  </si>
  <si>
    <t>SGMW_ESP93_Mainstream_Int\MainstreamF30\rb\as\sgmw\CN210S\app\net\RBScl\RBScl_SGMW\src\NET_SCL_Rx_SGMW.c</t>
  </si>
  <si>
    <t>SGMW_ESP93_Mainstream_Int\MainstreamF30\rb\as\sgmw\CN210S\app\net\RBScl\RBScl_SGMW\src\NET_SCL_Tx_SGMW.c</t>
  </si>
  <si>
    <t>SGMW_ESP93_Mainstream_Int\MainstreamF30\rb\as\sgmw\core\app\dcom\RBAPLCust\src\RBAPLCUST_DiagnosticSessionControl.c</t>
  </si>
  <si>
    <t>SGMW_ESP93_Mainstream_Int\MainstreamF30\rb\as\sgmw\core\app\dcom\RBAPLCust\src\RBAPLCUST_RBDI_NVMData.c</t>
  </si>
  <si>
    <t>Geely_ESP93_Carbon_Int\MainstreamF30\rba\Bldr\config\ApplicationLayer\rba_BldrCmp\src\rba_BldrCmp_Cfg_CheckMem.c</t>
  </si>
  <si>
    <t>Geely_ESP93_Carbon_Int\MainstreamF30\rba\Bldr\config\ApplicationLayer\rba_BldrCmp\src\rba_BldrCmp_Cfg_FlashIf.c</t>
  </si>
  <si>
    <t>Geely_ESP93_Carbon_Int\MainstreamF30\rba\Bldr\config\ApplicationLayer\rba_BldrCmp\src\rba_BldrCmp_Cfg_Functions.c</t>
  </si>
  <si>
    <t>Geely_ESP93_Carbon_Int\MainstreamF30\rba\Bldr\config\ApplicationLayer\rba_BldrCmp\src\rba_BldrCmp_Cfg_NvmIf.c</t>
  </si>
  <si>
    <t>Geely_ESP93_Carbon_Int\MainstreamF30\rba\Bldr\config\ApplicationLayer\rba_BldrCmp\src\rba_BldrCmp_Cfg_PrjFunctions.c</t>
  </si>
  <si>
    <t>Geely_ESP93_Carbon_Int\MainstreamF30\rba\Bldr\config\ApplicationLayer\rba_BldrCmp\src\rba_BldrCmp_Cfg_SecA.c</t>
  </si>
  <si>
    <t>Geely_ESP93_Carbon_Int\MainstreamF30\rba\Bldr\bmgr\src\rba_Bmgr_main.c</t>
  </si>
  <si>
    <t>Geely_ESP93_Carbon_Int\MainstreamF30\rba\Bldr\bldr\src\rba_Bldr_main.c</t>
  </si>
  <si>
    <t>DTCActionNoTrq</t>
  </si>
  <si>
    <t>LFC_Exe</t>
  </si>
  <si>
    <t>CUBAS_Comstack_Can</t>
  </si>
  <si>
    <t>CM_Honda_LFC5ms_LFC20msV1_3_4_0</t>
  </si>
  <si>
    <t>CVSA_Control</t>
  </si>
  <si>
    <t>CVSA_PataAndLampStrategy</t>
  </si>
  <si>
    <t>Honda_LfcMTarLim_FunctionSafety</t>
  </si>
  <si>
    <t>RBHMI_ConfigOutput_ESP_Status</t>
  </si>
  <si>
    <t>rba_ComScl_Scl_ENG_17C_CH1_Rx</t>
  </si>
  <si>
    <t>rba_ComScl_Scl_SRS_094_CH2_Rx</t>
  </si>
  <si>
    <t>RBNET_VariantTableInterface_HONDA</t>
  </si>
  <si>
    <t>Honda_MAEPS_20ms</t>
  </si>
  <si>
    <t>rb.as.core.app.asw.dtc.dtfdtcdte20msesp</t>
  </si>
  <si>
    <t>rb.as.core.hwp.cubas.CanStack</t>
  </si>
  <si>
    <t>rb.as.honda.cmp.app.asw.custtarball</t>
  </si>
  <si>
    <t>rb.as.honda.cmp.app.dsm</t>
  </si>
  <si>
    <t>rb.as.honda.core.app.asw.maeps</t>
  </si>
  <si>
    <t>4.2.131.1</t>
  </si>
  <si>
    <t>4.10.131.0</t>
  </si>
  <si>
    <t>1.1</t>
  </si>
  <si>
    <t>2.2</t>
  </si>
  <si>
    <t>2.1</t>
  </si>
  <si>
    <t>1.7</t>
  </si>
  <si>
    <t>Delta</t>
  </si>
  <si>
    <t>MT_224</t>
  </si>
  <si>
    <t>MT_208</t>
  </si>
  <si>
    <t>MT_003</t>
  </si>
  <si>
    <t>MT_209</t>
  </si>
  <si>
    <t>MT_210</t>
  </si>
  <si>
    <t>MT_211</t>
  </si>
  <si>
    <t>MT_214</t>
  </si>
  <si>
    <t>MT_014</t>
  </si>
  <si>
    <t>MT_026</t>
  </si>
  <si>
    <t>MT_035</t>
  </si>
  <si>
    <t>MT_218</t>
  </si>
  <si>
    <t>FAW_TypeC2_BSL33_Security</t>
  </si>
  <si>
    <t>RBAPLCUST_InputOutputControl_GeneralFunctions.c</t>
  </si>
  <si>
    <t>RBAPLCUST_RoutineControl_WheelSpeedSensorTest.c</t>
  </si>
  <si>
    <t>NET_SCL_Rx_EngineTorque.c</t>
  </si>
  <si>
    <t>NET_SCL_Rx_Yrs.c</t>
  </si>
  <si>
    <t>NET_SCL_Tx_AxelSplit.c</t>
  </si>
  <si>
    <t>NET_SCL_Tx_AxelSplit_Torque.c</t>
  </si>
  <si>
    <t>NET_SCL_Tx_VehicleSpeed.c</t>
  </si>
  <si>
    <t>RBA_NDS_TCUAvaliable_Callout.c</t>
  </si>
  <si>
    <t>RBA_NDS_TOD_Callout.c</t>
  </si>
  <si>
    <t>NET_SCL_Tx_SystemInfo.c</t>
  </si>
  <si>
    <t>EBC_RequestMode</t>
  </si>
  <si>
    <t>CDD_AxTarLim</t>
  </si>
  <si>
    <t>RDA_CustDegradationAvlDeter</t>
  </si>
  <si>
    <t>BSS05_SP05</t>
  </si>
  <si>
    <t>FAW_MainPath_V2.0_Int</t>
  </si>
  <si>
    <t>BB99856, BB99857</t>
  </si>
  <si>
    <t>BB98378, BB98379</t>
  </si>
  <si>
    <t>ESP93hevXEncapSWCust_ECU_CSW_BB97468.axl</t>
  </si>
  <si>
    <t>CDDiBooster_ECU_CSW_BB00001.axl</t>
  </si>
  <si>
    <t>RPAESPHevXEncapSWCust_ECU_CSW_BB99704.axl</t>
  </si>
  <si>
    <t>1.2.146310.0</t>
  </si>
  <si>
    <t>GEEA2.0_ESP9.3_CMP_BL07</t>
  </si>
  <si>
    <t>BL07</t>
  </si>
  <si>
    <t>rb_ASW_Wrapper_SCL_BBM_Tx.c</t>
  </si>
  <si>
    <t>rb_ASW_Wrapper_SCL_L3_Tx.c</t>
  </si>
  <si>
    <t>rb_ASW_Wrapper_SCL_ABS_Tx.c</t>
  </si>
  <si>
    <t>rb_ASW_Wrapper_SCL_VAF_Rx.c</t>
  </si>
  <si>
    <t>LIU Felix (CC-AS/EVA-SW33-CN)</t>
  </si>
  <si>
    <t>Jogi Madivalappa (RBEI/ESH31)</t>
  </si>
  <si>
    <t>BB81818</t>
  </si>
  <si>
    <t>CEVT_GEEA_DeuteriumR_DEV</t>
  </si>
  <si>
    <t>CHENG Jie (CC-AS/EVA-SW1-CN)</t>
  </si>
  <si>
    <t>ZHONG Yan (CC-AS/EVA-SW2-CN)</t>
  </si>
  <si>
    <t>CEVT_GEEA_DeuteriumR_DEV\GEEA2.0\rb\as\cevt\Geely\app\net\RBScl\src\Xmt\rb_ASW_Wrapper_SCL_BBM_Tx.c</t>
  </si>
  <si>
    <t>CEVT_GEEA_DeuteriumR_DEV\GEEA2.0\rb\as\cevt\Geely\app\net\RBScl\src\Xmt\rb_ASW_Wrapper_SCL_L3_Tx.c</t>
  </si>
  <si>
    <t>CEVT_GEEA_DeuteriumR_DEV\GEEA2.0\rb\as\cevt\Geely\app\net\RBScl\src\Xmt\rb_ASW_Wrapper_SCL_ABS_Tx.c</t>
  </si>
  <si>
    <t>CEVT_GEEA_DeuteriumR_DEV\GEEA2.0\rb\as\cevt\Geely\app\net\RBScl\src\Rcv\rb_ASW_Wrapper_SCL_VAF_Rx.c</t>
  </si>
  <si>
    <t>FAW_L3_MainPath_HevX_Int_N\CNMSESPHevX\rb\as\core\app\asw\common\cfg\Diamant_Spec_STM\VirtualNodes_CallBackFunctions\src\SSI_Signal2State_CallbackFunction_ESPHEV_VirtualNode_PMcForAbsMeasured.c</t>
  </si>
  <si>
    <t>SSI_Signal2State_CallbackFunction_ESPHEV_VirtualNode_PMcForAbsMeasured.c</t>
  </si>
  <si>
    <t>BSS60</t>
  </si>
  <si>
    <t>Miss src in componentname.</t>
  </si>
  <si>
    <t>Can't cover fully MCDC for condition at the line#135 and the line #140</t>
  </si>
  <si>
    <t>Have already confirm by owner at the previous phase</t>
  </si>
  <si>
    <t>GWM_AB30_CP_Int\MainstreamF30\rb\as\gwm\cp\app\dsm\RBModemgmt\src</t>
  </si>
  <si>
    <t>Can’t cover full MCDCs case FALSE. Because value of Direction_u8 has already limited at line #272</t>
  </si>
  <si>
    <r>
      <t xml:space="preserve">Can’t cover full MCDCs case True at line #122. Because </t>
    </r>
    <r>
      <rPr>
        <b/>
        <i/>
        <sz val="11"/>
        <color rgb="FF000000"/>
        <rFont val="Courier New"/>
        <family val="3"/>
      </rPr>
      <t>maxLength_u16</t>
    </r>
    <r>
      <rPr>
        <sz val="11"/>
        <color rgb="FF000000"/>
        <rFont val="Courier New"/>
        <family val="3"/>
      </rPr>
      <t xml:space="preserve"> </t>
    </r>
    <r>
      <rPr>
        <sz val="10"/>
        <color rgb="FF000000"/>
        <rFont val="Courier New"/>
        <family val="3"/>
      </rPr>
      <t xml:space="preserve">is assigned by </t>
    </r>
    <r>
      <rPr>
        <b/>
        <i/>
        <sz val="11"/>
        <color rgb="FF000000"/>
        <rFont val="Courier New"/>
        <family val="3"/>
      </rPr>
      <t>*length_pu16</t>
    </r>
  </si>
  <si>
    <t>Can't cover for false case of 
if ((absoluteAddress_u32 &gt;= rba_BldrCmp_LogicalBlockTable_pst[rba_BldrCmp_BootCtrl_st.LogicalBlockIdx].BlockSegTable[rba_BldrCmp_BootCtrl_st.LogBlkCurSegment_u8].segment_begin) &amp;&amp;
                    (absoluteAddress_u32 &lt;= rba_BldrCmp_LogicalBlockTable_pst[rba_BldrCmp_BootCtrl_st.LogicalBlockIdx].BlockSegTable[rba_BldrCmp_BootCtrl_st.LogBlkCurSegment_u8].segment_end))
. Because absoluteAddress_u32 = rba_BldrCmp_LogicalBlockTable_pst[rba_BldrCmp_BootCtrl_st.LogicalBlockIdx].BlockSegTable[rba_BldrCmp_BootCtrl_st.LogBlkCurSegment_u8].segment_begin + relativeAddress_u32 and  relativeAddress_u32 &gt;=0.</t>
  </si>
  <si>
    <t>Can't cover false case of if(RBFS_HondaCANRxENG13B == RBFS_HondaCANRxENG13B_NONE ) at line  #291 because RBFS_HondaCANRxENG13B is always equal to RBFS_HondaCANRxENG13B_NONE.Can't cover MCDC F&amp;&amp;T, T&amp;&amp;F of (rba_ComScl_EvaluateRxPdu_ENG_17C_CH1 &amp;&amp; (RBNet_Variant_ENG_17C_CH1_Rx_b()) at line #403 because rba_ComScl_EvaluateRxPdu_ENG_17C_CH1 and RBNet_Variant_ENG_17C_CH1_Rx_b() must be equals to TRUE to access the condition TRUE at line #239</t>
  </si>
  <si>
    <t>CNMS_ESP_Carbon_Int\MainstreamF30\rb\as\rbcn\core\app\dcom\RBAPLCust\src\ESP</t>
  </si>
  <si>
    <t>2WP_ABS10.3ME_SUZUKI_XE431_Carbon_Migration_Stream\ABS_103_ME_SMC\rba\Bldr\config\Infrastruct\CubasAdapter\src</t>
  </si>
  <si>
    <t>2WP_ABS10.3ME_SUZUKI_XE431_Carbon_Migration_Stream\ABS_103_ME_SMC\rba\Bldr\config\MemStack\Fls\src</t>
  </si>
  <si>
    <t>2WP_ABS10.3ME_SUZUKI_XE431_Carbon_Migration_Stream\ABS_103_ME_SMC\rba\Bldr\config\Infrastruct\Stubs\src</t>
  </si>
  <si>
    <t>2WP_ABS10.3ME_SUZUKI_XE431_Carbon_Migration_Stream\ABS_103_ME_SMC\rba\Bldr\bldr\src</t>
  </si>
  <si>
    <t>2WP_ABS10.3ME_SUZUKI_XE431_Carbon_Migration_Stream\ABS_103_ME_SMC\rba\Bldr\comps\ApplicationLayer\rba_BldrCmp\src</t>
  </si>
  <si>
    <t>2WP_ABS10.3ME_SUZUKI_XE431_Carbon_Migration_Stream\ABS_103_ME_SMC\rba\Bldr\config\Infrastruct\TestEnv\src</t>
  </si>
  <si>
    <t>2WP_ABS10.3ME_SUZUKI_XE431_Carbon_Migration_Stream\ABS_103_ME_SMC\rba\Bldr\config\ComplexDeviceDriver\rba_BldrFlsDrv\src</t>
  </si>
  <si>
    <t>2WP_ABS10.3ME_SUZUKI_XE431_Carbon_Migration_Stream\ABS_103_ME_SMC\rba\Bldr\comps\ApplicationLayer\rba_BldrMemCpy\src</t>
  </si>
  <si>
    <t>2WP_ABS10.3ME_SUZUKI_XE431_Carbon_Migration_Stream\ABS_103_ME_SMC\rba\Bldr\comps\ComplexDeviceDriver\rba_BldrSVM\src</t>
  </si>
  <si>
    <t>2WP_ABS10.3ME_SUZUKI_XE431_Carbon_Migration_Stream\ABS_103_ME_SMC\rba\Bldr\bmgr\src</t>
  </si>
  <si>
    <t>GWM_CP_RBVH_Stream_Int\rb\as\gwm\core\app\net\scl\LDMFunctions\SCM\src</t>
  </si>
  <si>
    <t>GAC_ESPHevX_HADHAP_Int\CNMSHevXHADHAP\rb\as\gaig\core\app\net\RBScl\src</t>
  </si>
  <si>
    <t>GAC_ESPHevX_HADHAP_Int\CNMSHevXHADHAP\rb\as\cnms_core\app\net\scl_callout\src</t>
  </si>
  <si>
    <t>GAC_ESP93CP_Carbon_Int\MainstreamF30\rb\as\gaig\A12ESP\app\net\RBScl\RBScl_GAC\src</t>
  </si>
  <si>
    <t>GAC_ESP93CP_Carbon_Int\MainstreamF30\rb\as\cnms_core\app\net\scl_callout\src</t>
  </si>
  <si>
    <t>GAC_ESP93CP_Carbon_Int\MainstreamF30\rb\as\cnms_core\app\net\scl\Sensors\Steering\src</t>
  </si>
  <si>
    <t>GAC_ESP93CP_Carbon_Int\MainstreamF30\rb\as\gaig\core\app\itpms\TPMS_Common_CN\SRC</t>
  </si>
  <si>
    <t>GAC_ESP93CP_Carbon_Int\MainstreamF30\rb\as\gaig\core\app\itpms\TPMS_Common_CN\SIM\SRC</t>
  </si>
  <si>
    <t>rba\Bldr_dfsk\config\ApplicationLayer\rba_BldrCmp\src</t>
  </si>
  <si>
    <t>BYD_ESP93_Int\MainstreamF30\rba\Bldr\config\ApplicationLayer\rba_BldrCmp\src</t>
  </si>
  <si>
    <t>BYD_ESP93_Int\MainstreamF30\rba\Bldr\config\Infrastruct\rba_AS_HWProt\src</t>
  </si>
  <si>
    <t>NextEV_ESPHevX_Int\CNMSESPHevX\rb\as\nio\prj\dsmpr\src\RBHMI\src</t>
  </si>
  <si>
    <t>SAIC_EP_CMP_ESPHevX_Int\ESPhevXSAICEP\rb\as\saicep\esphevx\app\net\RBScl\src</t>
  </si>
  <si>
    <t>SAIC_EP_CMP_ESPHevX_Int\ESPhevXSAICEP\rb\as\saicep\esphevx\app\net\RBScl\src\Rcv</t>
  </si>
  <si>
    <t>GWM_AB30_CP_Int\MainstreamF30\rb\as\core\app\asw\apbmi\host\PBC\SRC</t>
  </si>
  <si>
    <t>GWM_AB30_CP_Int\MainstreamF30\rb\as\gwm\cp\app\asw\aswif\src</t>
  </si>
  <si>
    <t>GWM_AB30_CP_Int\MainstreamF30\rb\as\gwm\cp\app\asw\stubs\src</t>
  </si>
  <si>
    <t>GWM_AB30_CP_Int\MainstreamF30\rb\as\gwm\cp\app\obd\ObdCvnCalId\src</t>
  </si>
  <si>
    <t>GAC_ESPHevX_HADHAP_Int\CNMSHevXHADHAP\rb\as\gaig\core\app\dcom\RBAPLCust\src</t>
  </si>
  <si>
    <t>BAIC_IB2_Int\iBoosterGen2\rb\as\ib2_baic\ib2_baic_core\app\net\net_OBD_Off\RBScl\src</t>
  </si>
  <si>
    <t>BAIC_IB2_Int\iBoosterGen2\rb\as\ib2_baic\ib2_baic_core\app\net\net_OBD_Off\RBNetPrj\RBNet_Can\src</t>
  </si>
  <si>
    <t>BAIC_IB2_Int\iBoosterGen2\rb\as\ib2_baic\prj\dsmpr\src</t>
  </si>
  <si>
    <t>BAIC_MainPath_HevX_Int\BAICHevX\rb\as\baic\baic_core\app\net\RBScl\src</t>
  </si>
  <si>
    <t>BAIC_MainPath_HevX_Int\BAICHevX\rb\as\baic\baic_core\app\net\RbNetPrj\RBNet_Can\src</t>
  </si>
  <si>
    <t>BAIC_MainPath_HevX_Int\BAICHevX\rb\as\baic\prj\dsmpr\src</t>
  </si>
  <si>
    <t>BAIC_MainPath_HevX_Int\BAICHevX\rb\as\cnms_core\app\net\scl_callout\src</t>
  </si>
  <si>
    <t>BAIC_MainPath_HevX_Int\BAICHevX\rb\as\core\app\sec\security\src</t>
  </si>
  <si>
    <t>BAIC_MainPath_HevX_Int\BAICHevX\rb\as\baic\baic_core\app\dsm\RBVAR\src</t>
  </si>
  <si>
    <t>BAIC_MainPath_HevX_Int\BAICHevX\rb\as\baic\baic_core\app\dsm\RBHMI\src</t>
  </si>
  <si>
    <t>BAIC_MainPath_HevX_Int\BAICHevX\rb\as\baic\baic_core\app\dsm\RBWarningIndicator\src</t>
  </si>
  <si>
    <t>BAIC_MainPath_HevX_Int\BAICHevX\rb\as\baic\prj\dsmpr\src\RBHMI\src</t>
  </si>
  <si>
    <t>BAIC_MainPath_HevX_Int\BAICHevX\rb\as\baic\prj\dsmpr\cfg\Diamant_Cfg\BB97468\Project_Overwritten\src</t>
  </si>
  <si>
    <t>BAIC_IB2_Int\iBoosterGen2\rb\as\ib2_baic\ib2_baic_core\app\dcom\RBAPLCust\src\iBooster</t>
  </si>
  <si>
    <t>BAIC_IB2_Int\iBoosterGen2\rb\as\ib2_baic\ib2_baic_core\app\dsm\RBVAR\src</t>
  </si>
  <si>
    <t>BAIC_IB2_Int\iBoosterGen2\rb\as\cnms_core\app\dcom\RBAPLCust\src\common</t>
  </si>
  <si>
    <t>BAIC_IB2_Int\iBoosterGen2\rb\as\ib2_baic\ib2_baic_core\app\dcom\RBAPLCust\src\common</t>
  </si>
  <si>
    <t>BAIC_MainPath_HevX_Int\BAICHevX\rb\as\baic\baic_core\app\dcom\RBAPLCust\src\common</t>
  </si>
  <si>
    <t>BAIC_MainPath_HevX_Int\BAICHevX\rb\as\baic\baic_core\app\dcom\RBAPLCust\src\ESP</t>
  </si>
  <si>
    <t>BAIC_MainPath_HevX_Int\BAICHevX\rb\as\cnms_core\app\dcom\RBAPLCust\src\common</t>
  </si>
  <si>
    <t>BAIC_MainPath_HevX_Int\BAICHevX\rb\as\cnms_core\app\net\scl\Controllers\Engine\src</t>
  </si>
  <si>
    <t>BAIC_MainPath_HevX_Int\BAICHevX\rb\as\cnms_core\app\net\scl\Sensors\AxAyYrs\src</t>
  </si>
  <si>
    <t>BAIC_MainPath_HevX_Int\BAICHevX\rb\as\cnms_core\app\net\scl\Controllers\AxelSplit\src</t>
  </si>
  <si>
    <t>BAIC_MainPath_HevX_Int\BAICHevX\rb\as\cnms_core\app\net\scl\Controllers\VehicleSpeed\src</t>
  </si>
  <si>
    <t>BAIC_MainPath_HevX_Int\BAICHevX\rb\as\cnms_core\app\net\scl\Controllers\SystemInfo\src</t>
  </si>
  <si>
    <t>FAW_MainPath_V2.0_Int\MainstreamF30\rba\Bldr\bmgr\src</t>
  </si>
  <si>
    <t>FAW_MainPath_V2.0_Int\MainstreamF30\rba\Bldr\bldr\src</t>
  </si>
  <si>
    <t>FAW_MainPath_V2.0_Int\MainstreamF30\rba\Bldr\config\ApplicationLayer\rba_BldrCmp\src</t>
  </si>
  <si>
    <t>FAW_MainPath_V2.0_Int\MainstreamF30\rba\Bldr\comps\ComplexDeviceDriver\rba_BldrFlsDrv\src</t>
  </si>
  <si>
    <t>FAW_MainPath_V2.0_Int\MainstreamF30\rba\Bldr\comps\ComplexDeviceDriver\rba_BldrBCLSigChk\src</t>
  </si>
  <si>
    <t>FAW_MainPath_V2.0_Int\MainstreamF30\rba\Bldr\config\Infrastruct\CubasAdapter\src</t>
  </si>
  <si>
    <t>- Release in advance for phase 1 on 18-May-2020</t>
  </si>
  <si>
    <t>- Phase 2 assign from 19-May-2020</t>
  </si>
  <si>
    <t>Can’t cover FALSE case of condition at line #930. Because of the variable l_IsUpdated_B at line #924 equal to TRUE.</t>
  </si>
  <si>
    <t>CNMS_179148_Carbon_ESP_BL07_SPRINT12</t>
  </si>
  <si>
    <t>ComScl_Scl_OBD_Signal_Copy.c</t>
  </si>
  <si>
    <t>NET_SCL_Tx_AxExport.c</t>
  </si>
  <si>
    <t>NET_SCL_Tx_AyExport.c</t>
  </si>
  <si>
    <t>NET_SCL_Tx_YrsExport.c</t>
  </si>
  <si>
    <t>RBA_NDS_ATS_Callout.c</t>
  </si>
  <si>
    <t>RBA_NDS_Engine_Callout.c</t>
  </si>
  <si>
    <t>RBA_NDS_WheelOdoEdges_Callout.c</t>
  </si>
  <si>
    <t>RBA_NDS_WSS_FailureInfo_Callout.c</t>
  </si>
  <si>
    <t>SAS_Functions.c</t>
  </si>
  <si>
    <t xml:space="preserve">RBAPLCUST_InputOutputControl.c </t>
  </si>
  <si>
    <t xml:space="preserve">RBAPLCUST_RDBI_IOCtrlState.c </t>
  </si>
  <si>
    <t>BL07_SPRINT12</t>
  </si>
  <si>
    <t xml:space="preserve">Please comment follow ASPICE Standard </t>
  </si>
  <si>
    <t>YE Tianyu (CC-AS/ESW2-CN)</t>
  </si>
  <si>
    <t>Can't cover for case case 0UL, case 1UL, case 2UL and case default of switch ( temp ) at line#98. Because RBA_BLDRCMP_SA_SECURITY_CONSTANT is a constant, so temp is a constant.
Can’t cover for true case of  if ((RBA_BLDRCMP_SA_SECURITY_CONSTANT &amp; 0x00000001UL) == 1UL) at line#134.</t>
  </si>
  <si>
    <t xml:space="preserve">1. ls_FrontWiperSpeed_UB may be used uninitialized in this function.
2. ls_BdwWiperState_UB may be used uninitialized in this function.
</t>
  </si>
  <si>
    <t>Can’t cover for function rba_BldrFlsDrv_Cfg_Write atline#73 because address of pointer canCore_pvst is fixed (limit cantata, can’t set the fixed address).</t>
  </si>
  <si>
    <t>Turn fuction rba_Bldr_main into comment for testing purpose at line #56
Turn fuction for loop into comment for testing purpose at line #121</t>
  </si>
  <si>
    <t>Turn fuction rba_Bmgr_main into comment for testing purpose at line #56. because it contain infinite loop.</t>
  </si>
  <si>
    <t>cannot cover full C0/C1 because of param1D</t>
  </si>
  <si>
    <t>2WP_ABS10.3ME_SUZUKI_XE431_Carbon_Migration_Stream\ABS_103_ME_SMC\rba\Bldr\config\ApplicationLayer\rba_BldrCmp\src\</t>
  </si>
  <si>
    <t>CNMS_203173_Carbon_HevX_BL03_SP08</t>
  </si>
  <si>
    <t>RBAPLCUST_PreConditionsMode04.c</t>
  </si>
  <si>
    <t>RBAPLOBD_Mode04.c</t>
  </si>
  <si>
    <t>BL03_SP08</t>
  </si>
  <si>
    <t>CNMS_ESPHevX_Carbon_Int</t>
  </si>
  <si>
    <t>HUANG Kaibing (CC-AS/ESW2-CN)</t>
  </si>
  <si>
    <t>WANG Bei (CC-AS/ESW3-CN)</t>
  </si>
  <si>
    <t>-Can't cover for false condition</t>
  </si>
  <si>
    <t>1. From line #54 to line #69 I just cover once because can’t cover endless loop.</t>
  </si>
  <si>
    <t>GEELY_BX11_ESPHEVX_BL06_SP02</t>
  </si>
  <si>
    <t>MC_239507_SGMW_CN210S_PHEV_ESP9.3Cpi</t>
  </si>
  <si>
    <t>BL06_SP02</t>
  </si>
  <si>
    <t>BL03-Sp01</t>
  </si>
  <si>
    <t>GeelyNL5P_ESPHevX_Int</t>
  </si>
  <si>
    <t>-Can't cover for else condition</t>
  </si>
  <si>
    <t>Param1D C0,C1,MCDC not 100%.</t>
  </si>
  <si>
    <t>Can’t cover full MCDCs case FALSE. Because value of Direction_u8 has already limited at line #272.</t>
  </si>
  <si>
    <t>CNMS_ESP_Carbon_Int\MainstreamF30\rb\as\cnms_core\app\net\scl\src\OBD\ComScl_Scl_OBD_Signal_Copy.c</t>
  </si>
  <si>
    <t>CNMS_ESP_Carbon_Int\MainstreamF30\rb\as\cnms_core\app\net\scl\src\AxAyYrs\NET_SCL_Rx_Yrs.c</t>
  </si>
  <si>
    <t>CNMS_ESP_Carbon_Int\MainstreamF30\rb\as\cnms_core\app\net\scl\src\AxAyYrs\NET_SCL_Tx_AxExport.c</t>
  </si>
  <si>
    <t>CNMS_ESP_Carbon_Int\MainstreamF30\rb\as\cnms_core\app\net\scl\src\AxAyYrs\NET_SCL_Tx_AyExport.c</t>
  </si>
  <si>
    <t>CNMS_ESP_Carbon_Int\MainstreamF30\rb\as\cnms_core\app\net\scl\src\AxAyYrs\NET_SCL_Tx_YrsExport.c</t>
  </si>
  <si>
    <t>CNMS_ESP_Carbon_Int\MainstreamF30\rb\as\cnms_core\app\net\scl\src\Callout_Functions\RBA_NDS_ATS_Callout.c</t>
  </si>
  <si>
    <t>CNMS_ESP_Carbon_Int\MainstreamF30\rb\as\cnms_core\app\net\scl\src\Callout_Functions\RBA_NDS_Engine_Callout.c</t>
  </si>
  <si>
    <t>CNMS_ESP_Carbon_Int\MainstreamF30\rb\as\cnms_core\app\net\scl\src\Callout_Functions\RBA_NDS_SystemInfo.c</t>
  </si>
  <si>
    <t>CNMS_ESP_Carbon_Int\MainstreamF30\rb\as\cnms_core\app\net\scl\src\Callout_Functions\RBA_NDS_TOD_Callout.c</t>
  </si>
  <si>
    <t>CNMS_ESP_Carbon_Int\MainstreamF30\rb\as\cnms_core\app\net\scl\src\Callout_Functions\RBA_NDS_WheelOdoEdges_Callout.c</t>
  </si>
  <si>
    <t>CNMS_ESP_Carbon_Int\MainstreamF30\rb\as\cnms_core\app\net\scl\src\Callout_Functions\RBA_NDS_WSS_FailureInfo_Callout.c</t>
  </si>
  <si>
    <t>CNMS_ESP_Carbon_Int\MainstreamF30\rb\as\cnms_core\app\net\scl\src\Callout_Functions\RBA_NDS_YAWRATE_Callout.c</t>
  </si>
  <si>
    <t>CNMS_ESP_Carbon_Int\MainstreamF30\rb\as\cnms_core\app\net\scl\src\Steering\SAS_Functions.c</t>
  </si>
  <si>
    <t>CNMS_ESP_Carbon_Int\MainstreamF30\rb\as\cnms_core\app\net\scl\src\Steering\SAS_LWS_Standard.c</t>
  </si>
  <si>
    <t>CNMS_ESP_Carbon_Int\MainstreamF30\rb\as\rbcn\core\app\dcom\RBAPLCust\src\ESP\RBAPLCUST_InputOutputControl.c</t>
  </si>
  <si>
    <t>CNMS_ESP_Carbon_Int\MainstreamF30\rb\as\rbcn\core\app\dcom\RBAPLCust\src\ESP\RBAPLCUST_RDBI_IOCtrlState.c</t>
  </si>
  <si>
    <t>FAW_MainPath_V2.0_Int\MainstreamF30\rba\Bldr\config\ComplexDeviceDriver\rba_BldrFlsDrv\src</t>
  </si>
  <si>
    <t>CNMS_ESPHevX_Carbon_Int\CNMSESPHevX\rb\as\cnms_core\app\net\scl\src\Callout_Functions\RBA_NDS_WSS_FailureInfo_Callout.c</t>
  </si>
  <si>
    <t>MC_247874_Geely_KC2A_ESP9.3HB_RC1</t>
  </si>
  <si>
    <t>BYD_COMMON_DEFECT</t>
  </si>
  <si>
    <t>NET_SCL_Rx_AEB.c</t>
  </si>
  <si>
    <t>Geely_Beryllium2_OBD_China6_Int</t>
  </si>
  <si>
    <t>VELLAISAMY Senthil Kumar (CC-AS/EVA-SW32-CN)</t>
  </si>
  <si>
    <t>No impact</t>
  </si>
  <si>
    <t>Defect ID: Defect 1481021</t>
  </si>
  <si>
    <t>BB82738</t>
  </si>
  <si>
    <t>BB82739</t>
  </si>
  <si>
    <t>Can't cover branch "else" of condition if (1) at line #144</t>
  </si>
  <si>
    <t>CNMS_ESPHevX_Carbon_Int\CNMSESPHevX\rb\as\rbcn\core\app\dcom\RBAPLOBD\src\RBAPLOBD_Mode04.c</t>
  </si>
  <si>
    <t>CNMS_ESPHevX_Carbon_Int\CNMSESPHevX\rb\as\rbcn\core\app\dcom\RBAPLCust\src\common\RBAPLCUST_PreConditionsMode04.c</t>
  </si>
  <si>
    <t>GeelyNL5P_ESPHevX_Int\ESPhevXGeely\rb\as\ESPhevX\Geely\app\dsm\RBVAR\src\RBVAR_SystemStateManagement_PROJECT.c</t>
  </si>
  <si>
    <t>GeelyNL5P_ESPHevX_Int\ESPhevXGeely\rb\as\ESPhevX\Geely\app\dsm\RBHMI\src\RBHMI_ExtStateCalculation_PRJ.c</t>
  </si>
  <si>
    <t>SGMW_ESP93_Carbon_Int\MainstreamF30\rb\as\sgmw\CN210S\app\net\RBScl\RBScl_SGMW\src\NET_SCL_Rx_SGMW.c</t>
  </si>
  <si>
    <t>Geely_Beryllium2_OBD_China6_Int\MainstreamF30\rb\as\geely\project\app\net\RBScl\src\Rcv\NET_SCL_Rx_AEB.c</t>
  </si>
  <si>
    <t>Geely_Beryllium2_Int\MainstreamF30\rb\as\geely\project\app\net\RBScl\src\Rcv\NET_SCL_Rx_AEB.c</t>
  </si>
  <si>
    <t xml:space="preserve">SAIC EP22 M2 noneDA ESP9.3 237432 </t>
  </si>
  <si>
    <t>GWM_P3011RC2</t>
  </si>
  <si>
    <t>BSS14</t>
  </si>
  <si>
    <t>NET_BrkVamPumpSts.c</t>
  </si>
  <si>
    <t>NET_Complex_SignalHandling.c</t>
  </si>
  <si>
    <t>NET_InternalIF.c</t>
  </si>
  <si>
    <t>GWM_NET_SCL_Rx_VAF</t>
  </si>
  <si>
    <t>BB81433/81853</t>
  </si>
  <si>
    <t>SAIC_A_ARCH_CMP_ESP93_Carbon_Int</t>
  </si>
  <si>
    <t>GWM_CP_Stream_Int</t>
  </si>
  <si>
    <t>rb\as\saic\CpiwAPB\app\net\RBScl\EP22_M2\src\</t>
  </si>
  <si>
    <t>rb\as\saic\CpiwAPB\app\net\RBScl\Common\src\</t>
  </si>
  <si>
    <t xml:space="preserve">rb\as\gwm\core\app\net\scl        </t>
  </si>
  <si>
    <t>RTN_MOTO][RT750-J]</t>
  </si>
  <si>
    <t>Can't cover fully MCDC for condition at the line#140 and the line #145</t>
  </si>
  <si>
    <t>Actual LOC: 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</si>
</sst>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38" x14ac:knownFonts="1">
    <font>
      <sz val="11"/>
      <color theme="1"/>
      <name val="Calibri"/>
      <family val="2"/>
      <scheme val="minor"/>
    </font>
    <font>
      <sz val="10"/>
      <color theme="1"/>
      <name val="Arial"/>
      <family val="2"/>
    </font>
    <font>
      <b/>
      <sz val="11"/>
      <color theme="1"/>
      <name val="Calibri"/>
      <family val="2"/>
      <scheme val="minor"/>
    </font>
    <font>
      <b/>
      <sz val="11"/>
      <name val="Calibri"/>
      <family val="2"/>
      <scheme val="minor"/>
    </font>
    <font>
      <sz val="11"/>
      <name val="Calibri"/>
      <family val="2"/>
      <scheme val="minor"/>
    </font>
    <font>
      <sz val="10"/>
      <name val="Arial"/>
      <family val="2"/>
    </font>
    <font>
      <b/>
      <sz val="10"/>
      <color theme="1"/>
      <name val="Arial"/>
      <family val="2"/>
    </font>
    <font>
      <sz val="10"/>
      <color rgb="FF9C0006"/>
      <name val="Arial"/>
      <family val="2"/>
    </font>
    <font>
      <b/>
      <sz val="11"/>
      <color theme="1"/>
      <name val="Calibri"/>
      <family val="2"/>
      <scheme val="minor"/>
    </font>
    <font>
      <b/>
      <sz val="11"/>
      <color rgb="FFFF0000"/>
      <name val="Calibri"/>
      <family val="2"/>
      <scheme val="minor"/>
    </font>
    <font>
      <b/>
      <sz val="11"/>
      <color theme="1"/>
      <name val="Calibri"/>
      <family val="2"/>
      <scheme val="minor"/>
    </font>
    <font>
      <sz val="10"/>
      <color rgb="FFFF0000"/>
      <name val="Arial"/>
      <family val="2"/>
    </font>
    <font>
      <sz val="11"/>
      <color rgb="FFFF0000"/>
      <name val="Calibri"/>
      <family val="2"/>
      <scheme val="minor"/>
    </font>
    <font>
      <sz val="9"/>
      <color indexed="81"/>
      <name val="Tahoma"/>
      <family val="2"/>
    </font>
    <font>
      <b/>
      <sz val="9"/>
      <color indexed="81"/>
      <name val="Tahoma"/>
      <family val="2"/>
    </font>
    <font>
      <sz val="11"/>
      <color theme="1"/>
      <name val="Calibri"/>
      <family val="2"/>
      <scheme val="minor"/>
    </font>
    <font>
      <sz val="12"/>
      <color theme="1"/>
      <name val="Calibri"/>
      <family val="2"/>
      <scheme val="minor"/>
    </font>
    <font>
      <sz val="10"/>
      <color indexed="8"/>
      <name val="Arial"/>
      <family val="2"/>
    </font>
    <font>
      <sz val="11"/>
      <color theme="1"/>
      <name val="Calibri"/>
      <family val="2"/>
      <scheme val="minor"/>
    </font>
    <font>
      <b/>
      <sz val="10"/>
      <color rgb="FF9C6500"/>
      <name val="Calibri"/>
      <family val="2"/>
      <scheme val="minor"/>
    </font>
    <font>
      <sz val="10"/>
      <color theme="1"/>
      <name val="Arial"/>
      <family val="2"/>
    </font>
    <font>
      <sz val="11"/>
      <color rgb="FFFF0000"/>
      <name val="Calibri"/>
      <family val="2"/>
      <scheme val="minor"/>
    </font>
    <font>
      <b/>
      <sz val="11"/>
      <color theme="1"/>
      <name val="Calibri"/>
      <family val="2"/>
      <scheme val="minor"/>
    </font>
    <font>
      <sz val="10"/>
      <color rgb="FF000000"/>
      <name val="Arial"/>
      <family val="2"/>
    </font>
    <font>
      <sz val="11"/>
      <color theme="1"/>
      <name val="Calibri"/>
      <family val="2"/>
      <scheme val="minor"/>
    </font>
    <font>
      <sz val="11"/>
      <name val="Calibri"/>
      <family val="2"/>
      <scheme val="minor"/>
    </font>
    <font>
      <b/>
      <sz val="10"/>
      <color rgb="FF9C6500"/>
      <name val="Calibri"/>
      <family val="2"/>
      <scheme val="minor"/>
    </font>
    <font>
      <sz val="10"/>
      <color theme="1"/>
      <name val="Arial"/>
      <family val="2"/>
    </font>
    <font>
      <b/>
      <i/>
      <sz val="11"/>
      <color rgb="FF000000"/>
      <name val="Courier New"/>
      <family val="3"/>
    </font>
    <font>
      <sz val="11"/>
      <color rgb="FF000000"/>
      <name val="Courier New"/>
      <family val="3"/>
    </font>
    <font>
      <sz val="10"/>
      <color rgb="FF000000"/>
      <name val="Courier New"/>
      <family val="3"/>
    </font>
    <font>
      <sz val="11"/>
      <color theme="1"/>
      <name val="Calibri"/>
      <family val="2"/>
      <scheme val="minor"/>
    </font>
    <font>
      <b/>
      <sz val="11"/>
      <color theme="1"/>
      <name val="Calibri"/>
      <family val="2"/>
      <scheme val="minor"/>
    </font>
    <font>
      <sz val="10"/>
      <name val="Arial"/>
      <family val="2"/>
    </font>
    <font>
      <sz val="11"/>
      <name val="Calibri"/>
      <family val="2"/>
      <scheme val="minor"/>
    </font>
    <font>
      <b/>
      <sz val="11"/>
      <color theme="1"/>
      <name val="Calibri"/>
      <scheme val="minor"/>
    </font>
    <font>
      <sz val="11"/>
      <name val="Calibri"/>
      <scheme val="minor"/>
    </font>
    <font>
      <sz val="11"/>
      <color theme="1"/>
      <name val="Calibri"/>
      <scheme val="minor"/>
    </font>
  </fonts>
  <fills count="26">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0"/>
        <bgColor indexed="64"/>
      </patternFill>
    </fill>
    <fill>
      <patternFill patternType="solid">
        <fgColor rgb="FFFFC7CE"/>
      </patternFill>
    </fill>
    <fill>
      <patternFill patternType="solid">
        <fgColor theme="0" tint="-0.499984740745262"/>
        <bgColor indexed="64"/>
      </patternFill>
    </fill>
    <fill>
      <patternFill patternType="solid">
        <fgColor rgb="FF00B0F0"/>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0" tint="-0.499984740745262"/>
        <bgColor indexed="65"/>
      </patternFill>
    </fill>
    <fill>
      <patternFill patternType="solid">
        <fgColor rgb="FFFFFF00"/>
      </patternFill>
    </fill>
    <fill>
      <patternFill patternType="solid">
        <fgColor rgb="FF92D050"/>
        <bgColor indexed="64"/>
      </patternFill>
    </fill>
    <fill>
      <patternFill patternType="solid">
        <fgColor rgb="FFFFC000"/>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9"/>
        <bgColor indexed="64"/>
      </patternFill>
    </fill>
    <fill>
      <patternFill patternType="solid">
        <fgColor rgb="FF1B6FB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5" fillId="0" borderId="0"/>
    <xf numFmtId="0" fontId="7" fillId="7" borderId="0" applyNumberFormat="0" applyBorder="0" applyAlignment="0" applyProtection="0"/>
  </cellStyleXfs>
  <cellXfs count="202">
    <xf numFmtId="0" fontId="0" fillId="0" borderId="0" xfId="0"/>
    <xf numFmtId="0" fontId="2" fillId="0" borderId="0" xfId="0" applyFont="1"/>
    <xf numFmtId="0" fontId="2" fillId="0" borderId="1" xfId="0" applyFont="1" applyBorder="1"/>
    <xf numFmtId="0" fontId="0" fillId="0" borderId="1" xfId="0" applyBorder="1"/>
    <xf numFmtId="0" fontId="2" fillId="0" borderId="1" xfId="0" applyFont="1" applyFill="1" applyBorder="1"/>
    <xf numFmtId="0" fontId="0" fillId="0" borderId="0" xfId="0" applyBorder="1"/>
    <xf numFmtId="14" fontId="0" fillId="0" borderId="0" xfId="0" applyNumberFormat="1"/>
    <xf numFmtId="0" fontId="0" fillId="0" borderId="0" xfId="0" applyNumberFormat="1"/>
    <xf numFmtId="0" fontId="0" fillId="0" borderId="1" xfId="0" applyFill="1" applyBorder="1" applyAlignment="1">
      <alignment horizontal="right" vertical="center"/>
    </xf>
    <xf numFmtId="0" fontId="2" fillId="2" borderId="1" xfId="0" applyFont="1" applyFill="1" applyBorder="1" applyAlignment="1">
      <alignment horizontal="center" vertical="center" wrapText="1"/>
    </xf>
    <xf numFmtId="0" fontId="3" fillId="0" borderId="0" xfId="0" applyFont="1"/>
    <xf numFmtId="0" fontId="2"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vertical="center" wrapText="1"/>
    </xf>
    <xf numFmtId="0" fontId="0" fillId="0" borderId="1" xfId="0" applyBorder="1" applyAlignment="1">
      <alignment vertical="center" wrapText="1"/>
    </xf>
    <xf numFmtId="0" fontId="0" fillId="0" borderId="1" xfId="0" quotePrefix="1" applyBorder="1"/>
    <xf numFmtId="0" fontId="0" fillId="0" borderId="1" xfId="0" applyFont="1" applyBorder="1" applyAlignment="1">
      <alignment horizontal="left" vertical="top"/>
    </xf>
    <xf numFmtId="0" fontId="0" fillId="0" borderId="1" xfId="0" applyFont="1" applyFill="1" applyBorder="1" applyAlignment="1">
      <alignment horizontal="left" vertical="top"/>
    </xf>
    <xf numFmtId="0" fontId="0" fillId="0" borderId="1" xfId="0" quotePrefix="1" applyFont="1" applyBorder="1" applyAlignment="1">
      <alignment horizontal="left" vertical="top"/>
    </xf>
    <xf numFmtId="0" fontId="0" fillId="2" borderId="1" xfId="0" applyFont="1" applyFill="1" applyBorder="1" applyAlignment="1">
      <alignment horizontal="left" vertical="top"/>
    </xf>
    <xf numFmtId="164" fontId="0" fillId="0" borderId="1" xfId="0" applyNumberFormat="1" applyFont="1" applyBorder="1" applyAlignment="1">
      <alignment horizontal="left" vertical="top"/>
    </xf>
    <xf numFmtId="0" fontId="4" fillId="0" borderId="1" xfId="0" applyNumberFormat="1" applyFont="1" applyFill="1" applyBorder="1" applyAlignment="1" applyProtection="1">
      <alignment horizontal="left" vertical="top"/>
    </xf>
    <xf numFmtId="0" fontId="1" fillId="0" borderId="0" xfId="0" applyFont="1" applyAlignment="1">
      <alignment vertical="center"/>
    </xf>
    <xf numFmtId="0" fontId="1" fillId="0" borderId="0" xfId="0" quotePrefix="1" applyFont="1" applyAlignment="1">
      <alignment vertical="center"/>
    </xf>
    <xf numFmtId="0" fontId="0" fillId="0" borderId="0" xfId="0" applyAlignment="1">
      <alignment vertical="top"/>
    </xf>
    <xf numFmtId="0" fontId="6" fillId="2" borderId="1" xfId="0" applyFont="1" applyFill="1" applyBorder="1" applyAlignment="1">
      <alignment horizontal="center"/>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6" fillId="5" borderId="4" xfId="0" applyFont="1" applyFill="1" applyBorder="1" applyAlignment="1">
      <alignment horizontal="center" vertical="center"/>
    </xf>
    <xf numFmtId="0" fontId="0" fillId="0" borderId="1" xfId="0" applyFill="1" applyBorder="1" applyAlignment="1">
      <alignment horizontal="left" vertical="center"/>
    </xf>
    <xf numFmtId="0" fontId="0" fillId="0" borderId="0" xfId="0" applyFill="1" applyBorder="1" applyAlignment="1">
      <alignment horizontal="left" vertical="center"/>
    </xf>
    <xf numFmtId="0" fontId="0" fillId="0" borderId="0" xfId="0" applyFill="1" applyBorder="1" applyAlignment="1">
      <alignment horizontal="center" vertical="center"/>
    </xf>
    <xf numFmtId="10" fontId="0" fillId="0" borderId="1" xfId="0" applyNumberFormat="1" applyFont="1" applyBorder="1" applyAlignment="1">
      <alignment horizontal="left" vertical="top"/>
    </xf>
    <xf numFmtId="0" fontId="0" fillId="0" borderId="0" xfId="0" applyFill="1" applyBorder="1" applyAlignment="1">
      <alignment horizontal="right" vertical="center"/>
    </xf>
    <xf numFmtId="10" fontId="0" fillId="0" borderId="0" xfId="0" applyNumberFormat="1" applyFill="1" applyBorder="1" applyAlignment="1">
      <alignment horizontal="center" vertical="center"/>
    </xf>
    <xf numFmtId="0" fontId="0" fillId="0" borderId="0" xfId="0" applyFont="1"/>
    <xf numFmtId="164" fontId="0" fillId="0" borderId="0" xfId="0" applyNumberFormat="1"/>
    <xf numFmtId="0" fontId="0" fillId="0" borderId="0" xfId="0" quotePrefix="1"/>
    <xf numFmtId="0" fontId="0" fillId="6" borderId="5" xfId="0" quotePrefix="1" applyFill="1" applyBorder="1" applyAlignment="1">
      <alignment vertical="center"/>
    </xf>
    <xf numFmtId="0" fontId="0" fillId="6" borderId="6" xfId="0" applyFill="1" applyBorder="1" applyAlignment="1">
      <alignment vertical="center"/>
    </xf>
    <xf numFmtId="0" fontId="0" fillId="6" borderId="7" xfId="0" applyFill="1" applyBorder="1" applyAlignment="1">
      <alignment vertical="center"/>
    </xf>
    <xf numFmtId="0" fontId="0" fillId="0" borderId="1" xfId="0" applyBorder="1" applyAlignment="1">
      <alignment horizontal="center" vertical="center"/>
    </xf>
    <xf numFmtId="10" fontId="0" fillId="0" borderId="1" xfId="0" applyNumberFormat="1" applyBorder="1" applyAlignment="1">
      <alignment horizontal="center" vertical="center"/>
    </xf>
    <xf numFmtId="0" fontId="2" fillId="2" borderId="1" xfId="0" applyFont="1" applyFill="1" applyBorder="1" applyAlignment="1">
      <alignment horizontal="center" vertical="center"/>
    </xf>
    <xf numFmtId="0" fontId="0" fillId="0" borderId="1" xfId="0" applyFill="1" applyBorder="1" applyAlignment="1">
      <alignment horizontal="center" vertical="center"/>
    </xf>
    <xf numFmtId="0" fontId="4" fillId="2" borderId="1" xfId="0" applyNumberFormat="1" applyFont="1" applyFill="1" applyBorder="1" applyAlignment="1" applyProtection="1">
      <alignment horizontal="left" vertical="top"/>
    </xf>
    <xf numFmtId="0" fontId="0" fillId="0" borderId="1" xfId="0" applyFill="1" applyBorder="1" applyAlignment="1">
      <alignment horizontal="center" vertical="center"/>
    </xf>
    <xf numFmtId="0" fontId="8" fillId="0" borderId="0" xfId="0" applyFont="1"/>
    <xf numFmtId="0" fontId="8" fillId="2" borderId="1" xfId="0" applyFont="1" applyFill="1" applyBorder="1" applyAlignment="1">
      <alignment horizontal="center" vertical="center"/>
    </xf>
    <xf numFmtId="0" fontId="8" fillId="2" borderId="1" xfId="0" applyFont="1" applyFill="1" applyBorder="1" applyAlignment="1">
      <alignment horizontal="center" vertical="center" wrapText="1"/>
    </xf>
    <xf numFmtId="0" fontId="0" fillId="0" borderId="1" xfId="0" applyBorder="1" applyAlignment="1">
      <alignment horizontal="right" vertical="center"/>
    </xf>
    <xf numFmtId="0" fontId="2"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0" fillId="8" borderId="1" xfId="0" quotePrefix="1" applyFont="1" applyFill="1" applyBorder="1" applyAlignment="1">
      <alignment horizontal="left" vertical="top"/>
    </xf>
    <xf numFmtId="0" fontId="2" fillId="2" borderId="1" xfId="0" applyFont="1" applyFill="1" applyBorder="1" applyAlignment="1">
      <alignment horizontal="left" vertical="top"/>
    </xf>
    <xf numFmtId="0" fontId="2" fillId="2" borderId="1" xfId="0" applyFont="1" applyFill="1" applyBorder="1" applyAlignment="1">
      <alignment horizontal="center" vertical="center"/>
    </xf>
    <xf numFmtId="0" fontId="0" fillId="0" borderId="1" xfId="0" applyFill="1" applyBorder="1" applyAlignment="1">
      <alignment horizontal="center" vertical="center"/>
    </xf>
    <xf numFmtId="0" fontId="2" fillId="0" borderId="1" xfId="0" applyFont="1" applyBorder="1" applyAlignment="1">
      <alignment horizontal="left" vertical="top"/>
    </xf>
    <xf numFmtId="0" fontId="2" fillId="0" borderId="1" xfId="0" applyFont="1" applyFill="1" applyBorder="1" applyAlignment="1">
      <alignment horizontal="left" vertical="top"/>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0" fillId="0" borderId="0" xfId="0" quotePrefix="1" applyFill="1" applyBorder="1" applyAlignment="1">
      <alignment horizontal="center" vertical="center"/>
    </xf>
    <xf numFmtId="0" fontId="2" fillId="0" borderId="1" xfId="0" applyFont="1" applyBorder="1" applyAlignment="1">
      <alignment vertical="top"/>
    </xf>
    <xf numFmtId="0" fontId="2" fillId="0" borderId="1" xfId="0" applyFont="1" applyFill="1" applyBorder="1" applyAlignment="1">
      <alignment vertical="top"/>
    </xf>
    <xf numFmtId="0" fontId="0" fillId="0" borderId="1" xfId="0" applyBorder="1" applyAlignment="1">
      <alignment vertical="top"/>
    </xf>
    <xf numFmtId="0" fontId="0" fillId="4" borderId="1" xfId="0" applyFill="1" applyBorder="1" applyAlignment="1">
      <alignment vertical="top"/>
    </xf>
    <xf numFmtId="0" fontId="0" fillId="0" borderId="1" xfId="0" applyBorder="1" applyAlignment="1">
      <alignment horizontal="center" vertical="top"/>
    </xf>
    <xf numFmtId="10" fontId="0" fillId="0" borderId="1" xfId="0" applyNumberFormat="1" applyBorder="1" applyAlignment="1">
      <alignment horizontal="center" vertical="top"/>
    </xf>
    <xf numFmtId="0" fontId="0" fillId="3" borderId="1" xfId="0" applyFill="1" applyBorder="1" applyAlignment="1">
      <alignment vertical="top"/>
    </xf>
    <xf numFmtId="0" fontId="2" fillId="0" borderId="0" xfId="0" applyFont="1" applyAlignment="1">
      <alignment vertical="top"/>
    </xf>
    <xf numFmtId="0" fontId="7" fillId="7" borderId="1" xfId="2" applyBorder="1" applyAlignment="1">
      <alignment horizontal="center" vertical="top"/>
    </xf>
    <xf numFmtId="164" fontId="0" fillId="0" borderId="0" xfId="0" applyNumberFormat="1" applyAlignment="1">
      <alignment vertical="top"/>
    </xf>
    <xf numFmtId="0" fontId="0" fillId="0" borderId="0" xfId="0" applyNumberFormat="1" applyAlignment="1">
      <alignment vertical="top"/>
    </xf>
    <xf numFmtId="16" fontId="0" fillId="0" borderId="0" xfId="0" quotePrefix="1" applyNumberFormat="1" applyAlignment="1">
      <alignment vertical="top"/>
    </xf>
    <xf numFmtId="0" fontId="4" fillId="9" borderId="1" xfId="0" applyNumberFormat="1" applyFont="1" applyFill="1" applyBorder="1" applyAlignment="1" applyProtection="1">
      <alignment horizontal="left" vertical="top"/>
    </xf>
    <xf numFmtId="0" fontId="2" fillId="4" borderId="1" xfId="0" applyFont="1" applyFill="1" applyBorder="1" applyAlignment="1">
      <alignment vertical="top"/>
    </xf>
    <xf numFmtId="0" fontId="2" fillId="0" borderId="1" xfId="0" quotePrefix="1" applyFont="1" applyBorder="1" applyAlignment="1">
      <alignment horizontal="left" vertical="top"/>
    </xf>
    <xf numFmtId="0" fontId="9" fillId="2" borderId="0" xfId="0" applyFont="1" applyFill="1"/>
    <xf numFmtId="0" fontId="0" fillId="9" borderId="0" xfId="0" applyFill="1"/>
    <xf numFmtId="0" fontId="0" fillId="4" borderId="1" xfId="0" applyFont="1" applyFill="1" applyBorder="1" applyAlignment="1">
      <alignment vertical="top"/>
    </xf>
    <xf numFmtId="0" fontId="4" fillId="10" borderId="1" xfId="0" applyNumberFormat="1" applyFont="1" applyFill="1" applyBorder="1" applyAlignment="1" applyProtection="1">
      <alignment horizontal="left" vertical="top"/>
    </xf>
    <xf numFmtId="0" fontId="4" fillId="11" borderId="1" xfId="0" applyNumberFormat="1" applyFont="1" applyFill="1" applyBorder="1" applyAlignment="1" applyProtection="1">
      <alignment horizontal="left" vertical="top"/>
    </xf>
    <xf numFmtId="0" fontId="0" fillId="0" borderId="1" xfId="0" quotePrefix="1" applyBorder="1" applyAlignment="1">
      <alignment horizontal="left" vertical="top"/>
    </xf>
    <xf numFmtId="0" fontId="10" fillId="0" borderId="0" xfId="0" applyFont="1" applyAlignment="1">
      <alignment vertical="top"/>
    </xf>
    <xf numFmtId="0" fontId="11" fillId="0" borderId="1" xfId="0" applyFont="1" applyFill="1" applyBorder="1" applyAlignment="1" applyProtection="1"/>
    <xf numFmtId="0" fontId="12" fillId="0" borderId="1" xfId="0" applyFont="1" applyBorder="1" applyAlignment="1"/>
    <xf numFmtId="0" fontId="0" fillId="0" borderId="1" xfId="0" applyFont="1" applyBorder="1"/>
    <xf numFmtId="10" fontId="0" fillId="0" borderId="1" xfId="0" quotePrefix="1" applyNumberFormat="1" applyFont="1" applyBorder="1" applyAlignment="1">
      <alignment horizontal="left" vertical="top"/>
    </xf>
    <xf numFmtId="0" fontId="0" fillId="0" borderId="1" xfId="0" applyBorder="1" applyAlignment="1">
      <alignment horizontal="left" vertical="top"/>
    </xf>
    <xf numFmtId="0" fontId="15" fillId="0" borderId="1" xfId="0" applyFont="1" applyBorder="1" applyAlignment="1">
      <alignment horizontal="left" vertical="top"/>
    </xf>
    <xf numFmtId="0" fontId="15" fillId="0" borderId="1" xfId="0" quotePrefix="1" applyFont="1" applyBorder="1" applyAlignment="1">
      <alignment horizontal="left" vertical="top"/>
    </xf>
    <xf numFmtId="0" fontId="2" fillId="2" borderId="1" xfId="0" applyFont="1" applyFill="1" applyBorder="1" applyAlignment="1">
      <alignment vertical="top"/>
    </xf>
    <xf numFmtId="0" fontId="2" fillId="5" borderId="1" xfId="0" applyFont="1" applyFill="1" applyBorder="1" applyAlignment="1">
      <alignment vertical="top"/>
    </xf>
    <xf numFmtId="0" fontId="16" fillId="0" borderId="1" xfId="0" applyFont="1" applyBorder="1"/>
    <xf numFmtId="0" fontId="0" fillId="5" borderId="1" xfId="0" applyFont="1" applyFill="1" applyBorder="1" applyAlignment="1">
      <alignment horizontal="left" vertical="top"/>
    </xf>
    <xf numFmtId="10" fontId="15" fillId="0" borderId="1" xfId="0" applyNumberFormat="1" applyFont="1" applyBorder="1" applyAlignment="1">
      <alignment horizontal="left" vertical="top"/>
    </xf>
    <xf numFmtId="0" fontId="17" fillId="0" borderId="1" xfId="0" applyFont="1" applyBorder="1" applyAlignment="1">
      <alignment vertical="top"/>
    </xf>
    <xf numFmtId="0" fontId="0" fillId="0" borderId="0" xfId="0" applyFont="1" applyBorder="1" applyAlignment="1">
      <alignment vertical="top"/>
    </xf>
    <xf numFmtId="164" fontId="0" fillId="0" borderId="1" xfId="0" applyNumberFormat="1" applyBorder="1" applyAlignment="1">
      <alignment horizontal="left" vertical="top"/>
    </xf>
    <xf numFmtId="10" fontId="0" fillId="0" borderId="1" xfId="0" applyNumberFormat="1" applyBorder="1" applyAlignment="1">
      <alignment horizontal="left" vertical="top"/>
    </xf>
    <xf numFmtId="10" fontId="15" fillId="0" borderId="1" xfId="0" applyNumberFormat="1" applyFont="1" applyBorder="1" applyAlignment="1">
      <alignment horizontal="left"/>
    </xf>
    <xf numFmtId="10" fontId="0" fillId="0" borderId="1" xfId="0" applyNumberFormat="1" applyFont="1" applyBorder="1" applyAlignment="1">
      <alignment horizontal="left"/>
    </xf>
    <xf numFmtId="0" fontId="4" fillId="12" borderId="1" xfId="0" applyNumberFormat="1" applyFont="1" applyFill="1" applyBorder="1" applyAlignment="1" applyProtection="1">
      <alignment horizontal="left" vertical="top"/>
    </xf>
    <xf numFmtId="0" fontId="4" fillId="13" borderId="1" xfId="0" applyNumberFormat="1" applyFont="1" applyFill="1" applyBorder="1" applyAlignment="1" applyProtection="1">
      <alignment horizontal="left" vertical="top"/>
    </xf>
    <xf numFmtId="0" fontId="0" fillId="0" borderId="1" xfId="0" applyNumberFormat="1" applyFont="1" applyFill="1" applyBorder="1" applyAlignment="1" applyProtection="1">
      <alignment horizontal="left"/>
    </xf>
    <xf numFmtId="0" fontId="4" fillId="14" borderId="1" xfId="0" applyNumberFormat="1" applyFont="1" applyFill="1" applyBorder="1" applyAlignment="1" applyProtection="1">
      <alignment horizontal="left" vertical="top"/>
    </xf>
    <xf numFmtId="0" fontId="10" fillId="0" borderId="1" xfId="0" quotePrefix="1" applyFont="1" applyFill="1" applyBorder="1" applyAlignment="1">
      <alignment horizontal="left" vertical="top"/>
    </xf>
    <xf numFmtId="0" fontId="4" fillId="15" borderId="1" xfId="0" applyNumberFormat="1" applyFont="1" applyFill="1" applyBorder="1" applyAlignment="1" applyProtection="1">
      <alignment horizontal="left" vertical="top"/>
    </xf>
    <xf numFmtId="0" fontId="0" fillId="0" borderId="1" xfId="0" applyFill="1" applyBorder="1" applyAlignment="1">
      <alignment horizontal="left" vertical="top"/>
    </xf>
    <xf numFmtId="0" fontId="0" fillId="0" borderId="1" xfId="0" applyFont="1" applyBorder="1" applyAlignment="1">
      <alignment horizontal="left" vertical="top" wrapText="1"/>
    </xf>
    <xf numFmtId="0" fontId="18" fillId="16" borderId="1" xfId="0" quotePrefix="1" applyFont="1" applyFill="1" applyBorder="1" applyAlignment="1">
      <alignment horizontal="left" vertical="top"/>
    </xf>
    <xf numFmtId="0" fontId="18" fillId="0" borderId="1" xfId="0" applyFont="1" applyFill="1" applyBorder="1" applyAlignment="1">
      <alignment horizontal="left" vertical="top"/>
    </xf>
    <xf numFmtId="0" fontId="18" fillId="0" borderId="1" xfId="0" quotePrefix="1" applyFont="1" applyFill="1" applyBorder="1" applyAlignment="1">
      <alignment horizontal="left" vertical="top"/>
    </xf>
    <xf numFmtId="0" fontId="18" fillId="17" borderId="1" xfId="0" applyFont="1" applyFill="1" applyBorder="1" applyAlignment="1">
      <alignment horizontal="left" vertical="top"/>
    </xf>
    <xf numFmtId="0" fontId="0" fillId="2" borderId="0" xfId="0" applyFill="1"/>
    <xf numFmtId="0" fontId="19" fillId="0" borderId="1" xfId="0" quotePrefix="1" applyFont="1" applyBorder="1" applyAlignment="1">
      <alignment horizontal="left" vertical="top"/>
    </xf>
    <xf numFmtId="0" fontId="0" fillId="2" borderId="1" xfId="0" applyFont="1" applyFill="1" applyBorder="1" applyAlignment="1">
      <alignment horizontal="left" vertical="top" wrapText="1"/>
    </xf>
    <xf numFmtId="0" fontId="0" fillId="2" borderId="1" xfId="0" quotePrefix="1" applyFont="1" applyFill="1" applyBorder="1" applyAlignment="1">
      <alignment horizontal="left" vertical="top"/>
    </xf>
    <xf numFmtId="0" fontId="18" fillId="0" borderId="1" xfId="0" applyFont="1" applyBorder="1" applyAlignment="1">
      <alignment horizontal="left" vertical="top"/>
    </xf>
    <xf numFmtId="0" fontId="0" fillId="0" borderId="0" xfId="0" applyFont="1" applyBorder="1" applyAlignment="1">
      <alignment horizontal="left" vertical="top"/>
    </xf>
    <xf numFmtId="0" fontId="0" fillId="0" borderId="0" xfId="0" quotePrefix="1" applyFont="1" applyBorder="1" applyAlignment="1">
      <alignment horizontal="left" vertical="top"/>
    </xf>
    <xf numFmtId="0" fontId="4" fillId="18" borderId="1" xfId="0" applyNumberFormat="1" applyFont="1" applyFill="1" applyBorder="1" applyAlignment="1" applyProtection="1">
      <alignment horizontal="left" vertical="top"/>
    </xf>
    <xf numFmtId="0" fontId="12" fillId="0" borderId="0" xfId="0" quotePrefix="1" applyFont="1"/>
    <xf numFmtId="0" fontId="4" fillId="19" borderId="1" xfId="0" applyNumberFormat="1" applyFont="1" applyFill="1" applyBorder="1" applyAlignment="1" applyProtection="1">
      <alignment horizontal="left" vertical="top"/>
    </xf>
    <xf numFmtId="164" fontId="0" fillId="19" borderId="1" xfId="0" applyNumberFormat="1" applyFont="1" applyFill="1" applyBorder="1" applyAlignment="1">
      <alignment horizontal="left" vertical="top"/>
    </xf>
    <xf numFmtId="0" fontId="2" fillId="19" borderId="1" xfId="0" quotePrefix="1" applyFont="1" applyFill="1" applyBorder="1" applyAlignment="1">
      <alignment horizontal="left" vertical="top"/>
    </xf>
    <xf numFmtId="0" fontId="4" fillId="20" borderId="1" xfId="0" applyNumberFormat="1" applyFont="1" applyFill="1" applyBorder="1" applyAlignment="1" applyProtection="1">
      <alignment horizontal="left" vertical="top"/>
    </xf>
    <xf numFmtId="0" fontId="4" fillId="21" borderId="1" xfId="0" applyNumberFormat="1" applyFont="1" applyFill="1" applyBorder="1" applyAlignment="1" applyProtection="1">
      <alignment horizontal="left" vertical="top"/>
    </xf>
    <xf numFmtId="0" fontId="0" fillId="21" borderId="1" xfId="0" applyFont="1" applyFill="1" applyBorder="1" applyAlignment="1">
      <alignment horizontal="left" vertical="top"/>
    </xf>
    <xf numFmtId="0" fontId="2" fillId="21" borderId="1" xfId="0" quotePrefix="1" applyFont="1" applyFill="1" applyBorder="1" applyAlignment="1">
      <alignment horizontal="left" vertical="top"/>
    </xf>
    <xf numFmtId="0" fontId="0" fillId="21" borderId="1" xfId="0" quotePrefix="1" applyFont="1" applyFill="1" applyBorder="1" applyAlignment="1">
      <alignment horizontal="left" vertical="top"/>
    </xf>
    <xf numFmtId="164" fontId="0" fillId="21" borderId="1" xfId="0" applyNumberFormat="1" applyFont="1" applyFill="1" applyBorder="1" applyAlignment="1">
      <alignment horizontal="left" vertical="top"/>
    </xf>
    <xf numFmtId="10" fontId="0" fillId="21" borderId="1" xfId="0" applyNumberFormat="1" applyFont="1" applyFill="1" applyBorder="1" applyAlignment="1">
      <alignment horizontal="left" vertical="top"/>
    </xf>
    <xf numFmtId="0" fontId="0" fillId="21" borderId="1" xfId="0" applyFill="1" applyBorder="1" applyAlignment="1">
      <alignment horizontal="left" vertical="top"/>
    </xf>
    <xf numFmtId="0" fontId="20" fillId="21" borderId="0" xfId="0" applyFont="1" applyFill="1"/>
    <xf numFmtId="0" fontId="12" fillId="21" borderId="1" xfId="0" applyFont="1" applyFill="1" applyBorder="1" applyAlignment="1">
      <alignment horizontal="left" vertical="top"/>
    </xf>
    <xf numFmtId="0" fontId="21" fillId="21" borderId="1" xfId="0" applyFont="1" applyFill="1" applyBorder="1" applyAlignment="1">
      <alignment horizontal="left" vertical="top"/>
    </xf>
    <xf numFmtId="0" fontId="18" fillId="0" borderId="0" xfId="0" applyFont="1" applyBorder="1" applyAlignment="1"/>
    <xf numFmtId="0" fontId="4" fillId="22" borderId="1" xfId="0" applyNumberFormat="1" applyFont="1" applyFill="1" applyBorder="1" applyAlignment="1" applyProtection="1">
      <alignment horizontal="left" vertical="top"/>
    </xf>
    <xf numFmtId="0" fontId="4" fillId="23" borderId="1" xfId="0" applyNumberFormat="1" applyFont="1" applyFill="1" applyBorder="1" applyAlignment="1" applyProtection="1">
      <alignment horizontal="left" vertical="top"/>
    </xf>
    <xf numFmtId="0" fontId="4" fillId="19" borderId="1" xfId="0" applyFont="1" applyFill="1" applyBorder="1" applyAlignment="1">
      <alignment horizontal="left" vertical="top"/>
    </xf>
    <xf numFmtId="0" fontId="22" fillId="0" borderId="1" xfId="0" quotePrefix="1" applyFont="1" applyBorder="1" applyAlignment="1">
      <alignment horizontal="left" vertical="top"/>
    </xf>
    <xf numFmtId="0" fontId="4" fillId="24" borderId="1" xfId="0" applyNumberFormat="1" applyFont="1" applyFill="1" applyBorder="1" applyAlignment="1" applyProtection="1">
      <alignment horizontal="left" vertical="top"/>
    </xf>
    <xf numFmtId="0" fontId="23" fillId="0" borderId="1" xfId="0" applyFont="1" applyBorder="1"/>
    <xf numFmtId="0" fontId="4" fillId="25" borderId="1" xfId="0" applyNumberFormat="1" applyFont="1" applyFill="1" applyBorder="1" applyAlignment="1" applyProtection="1">
      <alignment horizontal="left" vertical="top"/>
    </xf>
    <xf numFmtId="0" fontId="24" fillId="0" borderId="1" xfId="0" applyFont="1" applyBorder="1" applyAlignment="1">
      <alignment horizontal="left" vertical="top"/>
    </xf>
    <xf numFmtId="0" fontId="0" fillId="19" borderId="1" xfId="0" applyFont="1" applyFill="1" applyBorder="1" applyAlignment="1">
      <alignment horizontal="left" vertical="top"/>
    </xf>
    <xf numFmtId="0" fontId="22" fillId="0" borderId="1" xfId="0" quotePrefix="1" applyFont="1" applyFill="1" applyBorder="1" applyAlignment="1">
      <alignment horizontal="left" vertical="top"/>
    </xf>
    <xf numFmtId="0" fontId="0" fillId="0" borderId="1" xfId="0" quotePrefix="1" applyFont="1" applyFill="1" applyBorder="1" applyAlignment="1">
      <alignment horizontal="left" vertical="top"/>
    </xf>
    <xf numFmtId="164" fontId="0" fillId="0" borderId="1" xfId="0" applyNumberFormat="1" applyFont="1" applyFill="1" applyBorder="1" applyAlignment="1">
      <alignment horizontal="left" vertical="top"/>
    </xf>
    <xf numFmtId="10" fontId="0" fillId="0" borderId="1" xfId="0" applyNumberFormat="1" applyFont="1" applyFill="1" applyBorder="1" applyAlignment="1">
      <alignment horizontal="left" vertical="top"/>
    </xf>
    <xf numFmtId="0" fontId="0" fillId="0" borderId="0" xfId="0" applyFill="1"/>
    <xf numFmtId="0" fontId="22" fillId="0" borderId="0" xfId="0" applyFont="1"/>
    <xf numFmtId="0" fontId="22" fillId="2" borderId="1" xfId="0" applyFont="1" applyFill="1" applyBorder="1" applyAlignment="1">
      <alignment horizontal="center" vertical="center"/>
    </xf>
    <xf numFmtId="0" fontId="22" fillId="2" borderId="1" xfId="0" applyFont="1" applyFill="1" applyBorder="1" applyAlignment="1">
      <alignment horizontal="center" vertical="center" wrapText="1"/>
    </xf>
    <xf numFmtId="0" fontId="4" fillId="0" borderId="0" xfId="0" quotePrefix="1" applyFont="1"/>
    <xf numFmtId="0" fontId="25" fillId="0" borderId="0" xfId="0" quotePrefix="1" applyFont="1"/>
    <xf numFmtId="0" fontId="24" fillId="0" borderId="1" xfId="0" applyFont="1" applyFill="1" applyBorder="1" applyAlignment="1">
      <alignment horizontal="left" vertical="top"/>
    </xf>
    <xf numFmtId="164" fontId="0" fillId="5" borderId="1" xfId="0" applyNumberFormat="1" applyFont="1" applyFill="1" applyBorder="1" applyAlignment="1">
      <alignment horizontal="left" vertical="top"/>
    </xf>
    <xf numFmtId="0" fontId="26" fillId="0" borderId="1" xfId="0" quotePrefix="1" applyFont="1" applyFill="1" applyBorder="1" applyAlignment="1">
      <alignment horizontal="left" vertical="top"/>
    </xf>
    <xf numFmtId="0" fontId="24" fillId="0" borderId="1" xfId="0" quotePrefix="1" applyFont="1" applyFill="1" applyBorder="1" applyAlignment="1">
      <alignment horizontal="left" vertical="top"/>
    </xf>
    <xf numFmtId="0" fontId="24" fillId="16" borderId="1" xfId="0" quotePrefix="1" applyFont="1" applyFill="1" applyBorder="1" applyAlignment="1">
      <alignment horizontal="left" vertical="top"/>
    </xf>
    <xf numFmtId="10" fontId="24" fillId="0" borderId="1" xfId="0" applyNumberFormat="1" applyFont="1" applyBorder="1" applyAlignment="1">
      <alignment horizontal="left" vertical="top"/>
    </xf>
    <xf numFmtId="0" fontId="24" fillId="0" borderId="1" xfId="0" applyNumberFormat="1" applyFont="1" applyBorder="1" applyAlignment="1">
      <alignment horizontal="left" vertical="top"/>
    </xf>
    <xf numFmtId="0" fontId="27" fillId="0" borderId="0" xfId="0" applyFont="1"/>
    <xf numFmtId="0" fontId="0" fillId="0" borderId="0" xfId="0" applyNumberFormat="1" applyBorder="1" applyAlignment="1"/>
    <xf numFmtId="0" fontId="24" fillId="0" borderId="0" xfId="0" applyFont="1" applyBorder="1"/>
    <xf numFmtId="0" fontId="24" fillId="0" borderId="1" xfId="0" quotePrefix="1" applyFont="1" applyBorder="1" applyAlignment="1">
      <alignment horizontal="left" vertical="top"/>
    </xf>
    <xf numFmtId="0" fontId="0" fillId="0" borderId="0" xfId="0" applyFont="1" applyFill="1"/>
    <xf numFmtId="0" fontId="2" fillId="0" borderId="1" xfId="0" quotePrefix="1" applyFont="1" applyFill="1" applyBorder="1" applyAlignment="1">
      <alignment horizontal="left" vertical="top"/>
    </xf>
    <xf numFmtId="164" fontId="31" fillId="0" borderId="1" xfId="0" applyNumberFormat="1" applyFont="1" applyFill="1" applyBorder="1" applyAlignment="1">
      <alignment horizontal="left" vertical="top"/>
    </xf>
    <xf numFmtId="10" fontId="31" fillId="0" borderId="1" xfId="0" applyNumberFormat="1" applyFont="1" applyFill="1" applyBorder="1" applyAlignment="1">
      <alignment horizontal="left" vertical="top"/>
    </xf>
    <xf numFmtId="0" fontId="31" fillId="0" borderId="0" xfId="0" applyFont="1" applyFill="1"/>
    <xf numFmtId="0" fontId="31" fillId="0" borderId="1" xfId="0" applyFont="1" applyFill="1" applyBorder="1" applyAlignment="1">
      <alignment horizontal="left" vertical="top"/>
    </xf>
    <xf numFmtId="0" fontId="31" fillId="0" borderId="1" xfId="0" quotePrefix="1" applyFont="1" applyFill="1" applyBorder="1" applyAlignment="1">
      <alignment horizontal="left" vertical="top"/>
    </xf>
    <xf numFmtId="0" fontId="32" fillId="0" borderId="1" xfId="0" quotePrefix="1" applyFont="1" applyFill="1" applyBorder="1" applyAlignment="1">
      <alignment horizontal="left" vertical="top"/>
    </xf>
    <xf numFmtId="0" fontId="31" fillId="0" borderId="3" xfId="0" applyFont="1" applyBorder="1" applyAlignment="1">
      <alignment horizontal="left" vertical="top"/>
    </xf>
    <xf numFmtId="0" fontId="0" fillId="0" borderId="0" xfId="0" applyNumberFormat="1" applyFont="1" applyBorder="1" applyAlignment="1"/>
    <xf numFmtId="0" fontId="33" fillId="0" borderId="0" xfId="0" applyNumberFormat="1" applyFont="1" applyBorder="1" applyAlignment="1"/>
    <xf numFmtId="0" fontId="31" fillId="0" borderId="1" xfId="0" applyFont="1" applyBorder="1" applyAlignment="1">
      <alignment horizontal="left" vertical="top"/>
    </xf>
    <xf numFmtId="0" fontId="31" fillId="0" borderId="1" xfId="0" quotePrefix="1" applyFont="1" applyBorder="1" applyAlignment="1">
      <alignment horizontal="left" vertical="top"/>
    </xf>
    <xf numFmtId="0" fontId="32" fillId="0" borderId="0" xfId="0" applyFont="1"/>
    <xf numFmtId="0" fontId="32" fillId="2" borderId="1" xfId="0" applyFont="1" applyFill="1" applyBorder="1" applyAlignment="1">
      <alignment horizontal="center" vertical="center"/>
    </xf>
    <xf numFmtId="0" fontId="32" fillId="2" borderId="1" xfId="0" applyFont="1" applyFill="1" applyBorder="1" applyAlignment="1">
      <alignment horizontal="center" vertical="center" wrapText="1"/>
    </xf>
    <xf numFmtId="0" fontId="34" fillId="0" borderId="0" xfId="0" quotePrefix="1" applyFont="1"/>
    <xf numFmtId="0" fontId="0" fillId="5" borderId="1" xfId="0" quotePrefix="1" applyFont="1" applyFill="1" applyBorder="1" applyAlignment="1">
      <alignment horizontal="left" vertical="top"/>
    </xf>
    <xf numFmtId="0" fontId="36" fillId="24" borderId="1" xfId="0" applyNumberFormat="1" applyFont="1" applyFill="1" applyBorder="1" applyAlignment="1" applyProtection="1">
      <alignment horizontal="left" vertical="top"/>
    </xf>
    <xf numFmtId="0" fontId="37" fillId="8" borderId="1" xfId="0" quotePrefix="1" applyFont="1" applyFill="1" applyBorder="1" applyAlignment="1">
      <alignment horizontal="left" vertical="top"/>
    </xf>
    <xf numFmtId="0" fontId="37" fillId="16" borderId="1" xfId="0" quotePrefix="1" applyFont="1" applyFill="1" applyBorder="1" applyAlignment="1">
      <alignment horizontal="left" vertical="top"/>
    </xf>
    <xf numFmtId="0" fontId="31" fillId="0" borderId="1" xfId="0" applyNumberFormat="1" applyFont="1" applyBorder="1" applyAlignment="1">
      <alignment horizontal="left" vertical="top"/>
    </xf>
    <xf numFmtId="0" fontId="37" fillId="0" borderId="1" xfId="0" applyFont="1" applyBorder="1" applyAlignment="1">
      <alignment horizontal="left" vertical="top"/>
    </xf>
    <xf numFmtId="0" fontId="35" fillId="2" borderId="1" xfId="0" applyFont="1" applyFill="1" applyBorder="1" applyAlignment="1">
      <alignment horizontal="center" vertical="center" wrapText="1"/>
    </xf>
    <xf numFmtId="0" fontId="37" fillId="0" borderId="1" xfId="0" applyFont="1" applyFill="1" applyBorder="1" applyAlignment="1">
      <alignment horizontal="left" vertical="top"/>
    </xf>
    <xf numFmtId="164" fontId="37" fillId="0" borderId="1" xfId="0" applyNumberFormat="1" applyFont="1" applyFill="1" applyBorder="1" applyAlignment="1">
      <alignment horizontal="left" vertical="top"/>
    </xf>
    <xf numFmtId="10" fontId="37" fillId="0" borderId="1" xfId="0" applyNumberFormat="1" applyFont="1" applyFill="1" applyBorder="1" applyAlignment="1">
      <alignment horizontal="left" vertical="top"/>
    </xf>
    <xf numFmtId="0" fontId="37" fillId="0" borderId="0" xfId="0" applyFont="1" applyFill="1"/>
    <xf numFmtId="0" fontId="37" fillId="0" borderId="1" xfId="0" quotePrefix="1" applyFont="1" applyFill="1" applyBorder="1" applyAlignment="1">
      <alignment horizontal="left" vertical="top"/>
    </xf>
    <xf numFmtId="0" fontId="35" fillId="0" borderId="1" xfId="0" quotePrefix="1" applyFont="1" applyFill="1" applyBorder="1" applyAlignment="1">
      <alignment horizontal="left" vertical="top"/>
    </xf>
  </cellXfs>
  <cellStyles count="3">
    <cellStyle name="Bad" xfId="2" builtinId="27"/>
    <cellStyle name="Normal" xfId="0" builtinId="0"/>
    <cellStyle name="Normal 3" xfId="1"/>
  </cellStyles>
  <dxfs count="10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0066FF"/>
        </patternFill>
      </fill>
    </dxf>
    <dxf>
      <fill>
        <patternFill>
          <bgColor rgb="FF92D050"/>
        </patternFill>
      </fill>
    </dxf>
    <dxf>
      <fill>
        <patternFill>
          <bgColor rgb="FF0066FF"/>
        </patternFill>
      </fill>
    </dxf>
    <dxf>
      <fill>
        <patternFill>
          <bgColor rgb="FF92D050"/>
        </patternFill>
      </fill>
    </dxf>
    <dxf>
      <fill>
        <patternFill>
          <bgColor rgb="FF0066FF"/>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font>
      <fill>
        <patternFill>
          <bgColor rgb="FFFFFF00"/>
        </patternFill>
      </fill>
    </dxf>
    <dxf>
      <font>
        <b/>
        <i val="0"/>
      </font>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0066FF"/>
        </patternFill>
      </fill>
    </dxf>
    <dxf>
      <fill>
        <patternFill>
          <bgColor theme="8" tint="0.39994506668294322"/>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0066FF"/>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revisionHeaders" Target="revisions/revisionHeaders.xml"/><Relationship Id="rId10" Type="http://schemas.openxmlformats.org/officeDocument/2006/relationships/worksheet" Target="worksheets/sheet10.xml"/><Relationship Id="rId19" Type="http://schemas.openxmlformats.org/officeDocument/2006/relationships/usernames" Target="revisions/userNames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18</xdr:row>
      <xdr:rowOff>142875</xdr:rowOff>
    </xdr:from>
    <xdr:to>
      <xdr:col>3</xdr:col>
      <xdr:colOff>322851</xdr:colOff>
      <xdr:row>36</xdr:row>
      <xdr:rowOff>113875</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647700" y="3571875"/>
          <a:ext cx="7990476" cy="3400000"/>
        </a:xfrm>
        <a:prstGeom prst="rect">
          <a:avLst/>
        </a:prstGeom>
      </xdr:spPr>
    </xdr:pic>
    <xdr:clientData/>
  </xdr:twoCellAnchor>
</xdr:wsDr>
</file>

<file path=xl/revisions/_rels/revisionHeaders.xml.rels><?xml version="1.0" encoding="UTF-8" standalone="yes"?>
<Relationships xmlns="http://schemas.openxmlformats.org/package/2006/relationships"><Relationship Id="rId21" Type="http://schemas.openxmlformats.org/officeDocument/2006/relationships/revisionLog" Target="revisionLog21.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28DD0F0C-D0F6-4078-AD3C-CF9EFCF7D9C9}" diskRevisions="1" revisionId="60" version="21">
  <header guid="{28DD0F0C-D0F6-4078-AD3C-CF9EFCF7D9C9}" dateTime="2020-05-21T18:32:40" maxSheetId="11" userName="EXTERNAL Nguyen Trung Hieu (Ban Vien, RBVH/EPS45)" r:id="rId21" minRId="58" maxRId="60">
    <sheetIdMap count="10">
      <sheetId val="1"/>
      <sheetId val="2"/>
      <sheetId val="3"/>
      <sheetId val="4"/>
      <sheetId val="5"/>
      <sheetId val="6"/>
      <sheetId val="7"/>
      <sheetId val="8"/>
      <sheetId val="9"/>
      <sheetId val="10"/>
    </sheetIdMap>
  </header>
</header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 sId="1" numFmtId="19">
    <nc r="AB358">
      <v>43972</v>
    </nc>
  </rcc>
  <rcc rId="59" sId="1" numFmtId="19">
    <nc r="AB359">
      <v>43972</v>
    </nc>
  </rcc>
  <rcc rId="60" sId="1" numFmtId="19">
    <nc r="AB360">
      <v>43972</v>
    </nc>
  </rcc>
</revisions>
</file>

<file path=xl/revisions/userNames1.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comments" Target="../comments1.xm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22.bin"/><Relationship Id="rId3" Type="http://schemas.openxmlformats.org/officeDocument/2006/relationships/printerSettings" Target="../printerSettings/printerSettings17.bin"/><Relationship Id="rId7" Type="http://schemas.openxmlformats.org/officeDocument/2006/relationships/printerSettings" Target="../printerSettings/printerSettings21.bin"/><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printerSettings" Target="../printerSettings/printerSettings20.bin"/><Relationship Id="rId5" Type="http://schemas.openxmlformats.org/officeDocument/2006/relationships/printerSettings" Target="../printerSettings/printerSettings19.bin"/><Relationship Id="rId10" Type="http://schemas.openxmlformats.org/officeDocument/2006/relationships/printerSettings" Target="../printerSettings/printerSettings24.bin"/><Relationship Id="rId4" Type="http://schemas.openxmlformats.org/officeDocument/2006/relationships/printerSettings" Target="../printerSettings/printerSettings18.bin"/><Relationship Id="rId9" Type="http://schemas.openxmlformats.org/officeDocument/2006/relationships/printerSettings" Target="../printerSettings/printerSettings2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34.bin"/><Relationship Id="rId3" Type="http://schemas.openxmlformats.org/officeDocument/2006/relationships/printerSettings" Target="../printerSettings/printerSettings29.bin"/><Relationship Id="rId7" Type="http://schemas.openxmlformats.org/officeDocument/2006/relationships/printerSettings" Target="../printerSettings/printerSettings33.bin"/><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printerSettings" Target="../printerSettings/printerSettings32.bin"/><Relationship Id="rId11" Type="http://schemas.openxmlformats.org/officeDocument/2006/relationships/printerSettings" Target="../printerSettings/printerSettings37.bin"/><Relationship Id="rId5" Type="http://schemas.openxmlformats.org/officeDocument/2006/relationships/printerSettings" Target="../printerSettings/printerSettings31.bin"/><Relationship Id="rId10" Type="http://schemas.openxmlformats.org/officeDocument/2006/relationships/printerSettings" Target="../printerSettings/printerSettings36.bin"/><Relationship Id="rId4" Type="http://schemas.openxmlformats.org/officeDocument/2006/relationships/printerSettings" Target="../printerSettings/printerSettings30.bin"/><Relationship Id="rId9" Type="http://schemas.openxmlformats.org/officeDocument/2006/relationships/printerSettings" Target="../printerSettings/printerSettings3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0.bin"/><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 Id="rId4" Type="http://schemas.openxmlformats.org/officeDocument/2006/relationships/printerSettings" Target="../printerSettings/printerSettings41.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49.bin"/><Relationship Id="rId3" Type="http://schemas.openxmlformats.org/officeDocument/2006/relationships/printerSettings" Target="../printerSettings/printerSettings44.bin"/><Relationship Id="rId7" Type="http://schemas.openxmlformats.org/officeDocument/2006/relationships/printerSettings" Target="../printerSettings/printerSettings48.bin"/><Relationship Id="rId2" Type="http://schemas.openxmlformats.org/officeDocument/2006/relationships/printerSettings" Target="../printerSettings/printerSettings43.bin"/><Relationship Id="rId1" Type="http://schemas.openxmlformats.org/officeDocument/2006/relationships/printerSettings" Target="../printerSettings/printerSettings42.bin"/><Relationship Id="rId6" Type="http://schemas.openxmlformats.org/officeDocument/2006/relationships/printerSettings" Target="../printerSettings/printerSettings47.bin"/><Relationship Id="rId11" Type="http://schemas.openxmlformats.org/officeDocument/2006/relationships/printerSettings" Target="../printerSettings/printerSettings52.bin"/><Relationship Id="rId5" Type="http://schemas.openxmlformats.org/officeDocument/2006/relationships/printerSettings" Target="../printerSettings/printerSettings46.bin"/><Relationship Id="rId10" Type="http://schemas.openxmlformats.org/officeDocument/2006/relationships/printerSettings" Target="../printerSettings/printerSettings51.bin"/><Relationship Id="rId4" Type="http://schemas.openxmlformats.org/officeDocument/2006/relationships/printerSettings" Target="../printerSettings/printerSettings45.bin"/><Relationship Id="rId9" Type="http://schemas.openxmlformats.org/officeDocument/2006/relationships/printerSettings" Target="../printerSettings/printerSettings5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P433"/>
  <sheetViews>
    <sheetView topLeftCell="A328" zoomScale="85" zoomScaleNormal="85" workbookViewId="0">
      <selection activeCell="I350" sqref="I350"/>
    </sheetView>
  </sheetViews>
  <sheetFormatPr defaultRowHeight="15" x14ac:dyDescent="0.25"/>
  <cols>
    <col min="3" max="3" width="10.85546875" customWidth="1"/>
    <col min="4" max="4" width="10.140625" customWidth="1"/>
    <col min="5" max="5" width="19.7109375" customWidth="1"/>
    <col min="6" max="6" width="66.42578125" customWidth="1"/>
    <col min="7" max="7" width="10.42578125" customWidth="1"/>
    <col min="8" max="8" width="12.140625" bestFit="1" customWidth="1"/>
    <col min="9" max="9" width="76.5703125" bestFit="1" customWidth="1"/>
    <col min="10" max="10" width="12" bestFit="1" customWidth="1"/>
    <col min="11" max="11" width="10.140625" customWidth="1"/>
    <col min="12" max="12" width="10.7109375" customWidth="1"/>
    <col min="13" max="13" width="13" customWidth="1"/>
    <col min="14" max="14" width="10.42578125" customWidth="1"/>
    <col min="15" max="15" width="4.85546875" customWidth="1"/>
    <col min="16" max="16" width="31.85546875" customWidth="1"/>
    <col min="17" max="17" width="1.85546875" customWidth="1"/>
    <col min="18" max="18" width="10.42578125" bestFit="1" customWidth="1"/>
    <col min="19" max="19" width="13" customWidth="1"/>
    <col min="20" max="20" width="6.28515625" customWidth="1"/>
    <col min="21" max="21" width="5.7109375" customWidth="1"/>
    <col min="22" max="22" width="5.5703125" customWidth="1"/>
    <col min="23" max="23" width="5.140625" customWidth="1"/>
    <col min="24" max="24" width="7" customWidth="1"/>
    <col min="25" max="25" width="6.140625" customWidth="1"/>
    <col min="26" max="26" width="6.5703125" customWidth="1"/>
    <col min="27" max="27" width="19.28515625" customWidth="1"/>
    <col min="28" max="28" width="15" bestFit="1" customWidth="1"/>
    <col min="29" max="29" width="17.42578125" bestFit="1" customWidth="1"/>
    <col min="30" max="30" width="16" bestFit="1" customWidth="1"/>
    <col min="31" max="32" width="14.5703125" bestFit="1" customWidth="1"/>
    <col min="33" max="33" width="7.7109375" bestFit="1" customWidth="1"/>
    <col min="34" max="35" width="9.140625" bestFit="1" customWidth="1"/>
    <col min="36" max="36" width="9.85546875" bestFit="1" customWidth="1"/>
    <col min="37" max="37" width="7" customWidth="1"/>
    <col min="38" max="38" width="48.85546875" customWidth="1"/>
    <col min="39" max="39" width="35.85546875" bestFit="1" customWidth="1"/>
    <col min="40" max="40" width="45.140625" customWidth="1"/>
  </cols>
  <sheetData>
    <row r="1" spans="1:13" x14ac:dyDescent="0.25">
      <c r="A1" s="73" t="s">
        <v>150</v>
      </c>
    </row>
    <row r="2" spans="1:13" x14ac:dyDescent="0.25">
      <c r="B2" s="73" t="s">
        <v>52</v>
      </c>
      <c r="C2" s="24"/>
      <c r="D2" s="24"/>
      <c r="E2" s="24"/>
      <c r="F2" s="24"/>
      <c r="G2" s="24"/>
      <c r="H2" s="24"/>
    </row>
    <row r="3" spans="1:13" x14ac:dyDescent="0.25">
      <c r="B3" s="66" t="s">
        <v>0</v>
      </c>
      <c r="C3" s="66" t="s">
        <v>8</v>
      </c>
      <c r="D3" s="66" t="s">
        <v>129</v>
      </c>
      <c r="E3" s="66" t="s">
        <v>53</v>
      </c>
      <c r="F3" s="66" t="s">
        <v>136</v>
      </c>
      <c r="G3" s="66" t="s">
        <v>616</v>
      </c>
      <c r="H3" s="67" t="s">
        <v>24</v>
      </c>
      <c r="J3" s="73" t="s">
        <v>39</v>
      </c>
    </row>
    <row r="4" spans="1:13" x14ac:dyDescent="0.25">
      <c r="B4" s="68">
        <v>1</v>
      </c>
      <c r="C4" s="79" t="s">
        <v>6</v>
      </c>
      <c r="D4" s="70">
        <f>SUMIFS($W$48:$W$422,$D$48:$D$422,Table!$D$3,$S$48:$S$422,C4)</f>
        <v>4689</v>
      </c>
      <c r="E4" s="70">
        <f>SUMIFS($W$48:$W$422,$D$48:$D$422,Table!$D$3,$S$48:$S$422,C4)-SUM(SUMIFS($W$48:$W$422,$D$48:$D$422,Table!$D$3,$S$48:$S$422,C4,$AA$48:$AA$422,{"Ongoing","N\A",""}))</f>
        <v>4689</v>
      </c>
      <c r="F4" s="70">
        <f>1/8*(SUMIFS($Z$48:$Z$422,$D$48:$D$422,Table!$D$3,$S$48:$S$422,C4)-SUM(SUMIFS($Z$48:$Z$422,$D$48:$D$422,Table!$D$3,$S$48:$S$422,C4,$AA$48:$AA$422,{"Ongoing","N/A",""})))</f>
        <v>3.5</v>
      </c>
      <c r="G4" s="70">
        <f>IF(ISERROR(E4/(F4)),"N/A",E4/F4)</f>
        <v>1339.7142857142858</v>
      </c>
      <c r="H4" s="71">
        <f>IF(ISERROR(E4/D4),"N/A",E4/D4)</f>
        <v>1</v>
      </c>
      <c r="K4" s="73" t="s">
        <v>41</v>
      </c>
    </row>
    <row r="5" spans="1:13" x14ac:dyDescent="0.25">
      <c r="B5" s="68">
        <v>2</v>
      </c>
      <c r="C5" s="79" t="s">
        <v>64</v>
      </c>
      <c r="D5" s="70">
        <f>SUMIFS($W$48:$W$422,$D$48:$D$422,Table!$D$3,$S$48:$S$422,C5)</f>
        <v>8156</v>
      </c>
      <c r="E5" s="70">
        <f>SUMIFS($W$48:$W$422,$D$48:$D$422,Table!$D$3,$S$48:$S$422,C5)-SUM(SUMIFS($W$48:$W$422,$D$48:$D$422,Table!$D$3,$S$48:$S$422,C5,$AA$48:$AA$422,{"Ongoing","N/A",""}))</f>
        <v>8156</v>
      </c>
      <c r="F5" s="70">
        <f>1/8*(SUMIFS($Z$48:$Z$422,$D$48:$D$422,Table!$D$3,$S$48:$S$422,C5)-SUM(SUMIFS($Z$48:$Z$422,$D$48:$D$422,Table!$D$3,$S$48:$S$422,C5,$AA$48:$AA$422,{"Ongoing","N/A",""})))</f>
        <v>9.0875000000000004</v>
      </c>
      <c r="G5" s="70">
        <f t="shared" ref="G5:G6" si="0">IF(ISERROR(E5/(F5)),"N/A",E5/F5)</f>
        <v>897.49656121045393</v>
      </c>
      <c r="H5" s="71">
        <f t="shared" ref="H5:H14" si="1">IF(ISERROR(E5/D5),"N/A",E5/D5)</f>
        <v>1</v>
      </c>
      <c r="L5" s="24" t="s">
        <v>40</v>
      </c>
    </row>
    <row r="6" spans="1:13" x14ac:dyDescent="0.25">
      <c r="B6" s="68">
        <v>3</v>
      </c>
      <c r="C6" s="79" t="s">
        <v>65</v>
      </c>
      <c r="D6" s="70">
        <f>SUMIFS($W$48:$W$422,$D$48:$D$422,Table!$D$3,$S$48:$S$422,C6)</f>
        <v>8173</v>
      </c>
      <c r="E6" s="70">
        <f>SUMIFS($W$48:$W$422,$D$48:$D$422,Table!$D$3,$S$48:$S$422,C6)-SUM(SUMIFS($W$48:$W$422,$D$48:$D$422,Table!$D$3,$S$48:$S$422,C6,$AA$48:$AA$422,{"Ongoing","N/A",""}))</f>
        <v>7129</v>
      </c>
      <c r="F6" s="70">
        <f>1/8*(SUMIFS($Z$48:$Z$422,$D$48:$D$422,Table!$D$3,$S$48:$S$422,C6)-SUM(SUMIFS($Z$48:$Z$422,$D$48:$D$422,Table!$D$3,$S$48:$S$422,C6,$AA$48:$AA$422,{"Ongoing","N/A",""})))</f>
        <v>5</v>
      </c>
      <c r="G6" s="70">
        <f t="shared" si="0"/>
        <v>1425.8</v>
      </c>
      <c r="H6" s="71">
        <f t="shared" si="1"/>
        <v>0.87226232717484398</v>
      </c>
      <c r="L6" s="24" t="s">
        <v>100</v>
      </c>
    </row>
    <row r="7" spans="1:13" x14ac:dyDescent="0.25">
      <c r="B7" s="68">
        <v>4</v>
      </c>
      <c r="C7" s="83" t="s">
        <v>66</v>
      </c>
      <c r="D7" s="70">
        <f>SUMIFS($W$48:$W$422,$D$48:$D$422,Table!$D$3,$S$48:$S$422,C7)</f>
        <v>0</v>
      </c>
      <c r="E7" s="70">
        <f>SUMIFS($W$48:$W$422,$D$48:$D$422,Table!$D$3,$S$48:$S$422,C7)-SUM(SUMIFS($W$48:$W$422,$D$48:$D$422,Table!$D$3,$S$48:$S$422,C7,$AA$48:$AA$422,{"Ongoing","N/A",""}))</f>
        <v>0</v>
      </c>
      <c r="F7" s="70">
        <f>1/8*(SUMIFS($Z$48:$Z$422,$D$48:$D$422,Table!$D$3,$S$48:$S$422,C7)-SUM(SUMIFS($Z$48:$Z$422,$D$48:$D$422,Table!$D$3,$S$48:$S$422,C7,$AA$48:$AA$422,{"Ongoing","N/A",""})))</f>
        <v>0</v>
      </c>
      <c r="G7" s="70" t="str">
        <f t="shared" ref="G7:G13" si="2">IF(ISERROR(E7/(F7)),"N/A",E7/F7)</f>
        <v>N/A</v>
      </c>
      <c r="H7" s="71" t="str">
        <f t="shared" ref="H7:H13" si="3">IF(ISERROR(E7/D7),"N/A",E7/D7)</f>
        <v>N/A</v>
      </c>
      <c r="K7" s="73" t="s">
        <v>42</v>
      </c>
    </row>
    <row r="8" spans="1:13" x14ac:dyDescent="0.25">
      <c r="B8" s="68">
        <v>5</v>
      </c>
      <c r="C8" s="79" t="s">
        <v>67</v>
      </c>
      <c r="D8" s="70">
        <f>SUMIFS($W$48:$W$422,$D$48:$D$422,Table!$D$3,$S$48:$S$422,C8)</f>
        <v>10148</v>
      </c>
      <c r="E8" s="70">
        <f>SUMIFS($W$48:$W$422,$D$48:$D$422,Table!$D$3,$S$48:$S$422,C8)-SUM(SUMIFS($W$48:$W$422,$D$48:$D$422,Table!$D$3,$S$48:$S$422,C8,$AA$48:$AA$422,{"Ongoing","N/A",""}))</f>
        <v>6613</v>
      </c>
      <c r="F8" s="70">
        <f>1/8*(SUMIFS($Z$48:$Z$422,$D$48:$D$422,Table!$D$3,$S$48:$S$422,C8)-SUM(SUMIFS($Z$48:$Z$422,$D$48:$D$422,Table!$D$3,$S$48:$S$422,C8,$AA$48:$AA$422,{"Ongoing","N/A",""})))</f>
        <v>9.93</v>
      </c>
      <c r="G8" s="70">
        <f t="shared" si="2"/>
        <v>665.96173212487417</v>
      </c>
      <c r="H8" s="71">
        <f t="shared" si="3"/>
        <v>0.65165549862041783</v>
      </c>
      <c r="L8" s="24" t="s">
        <v>43</v>
      </c>
    </row>
    <row r="9" spans="1:13" x14ac:dyDescent="0.25">
      <c r="B9" s="68">
        <v>6</v>
      </c>
      <c r="C9" s="79" t="s">
        <v>68</v>
      </c>
      <c r="D9" s="70">
        <f>SUMIFS($W$48:$W$422,$D$48:$D$422,Table!$D$3,$S$48:$S$422,C9)</f>
        <v>9239</v>
      </c>
      <c r="E9" s="70">
        <f>SUMIFS($W$48:$W$422,$D$48:$D$422,Table!$D$3,$S$48:$S$422,C9)-SUM(SUMIFS($W$48:$W$422,$D$48:$D$422,Table!$D$3,$S$48:$S$422,C9,$AA$48:$AA$422,{"Ongoing","N/A",""}))</f>
        <v>6931</v>
      </c>
      <c r="F9" s="70">
        <f>1/8*(SUMIFS($Z$48:$Z$422,$D$48:$D$422,Table!$D$3,$S$48:$S$422,C9)-SUM(SUMIFS($Z$48:$Z$422,$D$48:$D$422,Table!$D$3,$S$48:$S$422,C9,$AA$48:$AA$422,{"Ongoing","N/A",""})))</f>
        <v>11.956250000000001</v>
      </c>
      <c r="G9" s="70">
        <f t="shared" si="2"/>
        <v>579.69681129116566</v>
      </c>
      <c r="H9" s="71">
        <f t="shared" si="3"/>
        <v>0.75018941443879206</v>
      </c>
      <c r="L9" s="24" t="s">
        <v>44</v>
      </c>
    </row>
    <row r="10" spans="1:13" x14ac:dyDescent="0.25">
      <c r="B10" s="68">
        <v>7</v>
      </c>
      <c r="C10" s="79" t="s">
        <v>69</v>
      </c>
      <c r="D10" s="70">
        <f>SUMIFS($W$48:$W$422,$D$48:$D$422,Table!$D$3,$S$48:$S$422,C10)</f>
        <v>9325</v>
      </c>
      <c r="E10" s="70">
        <f>SUMIFS($W$48:$W$422,$D$48:$D$422,Table!$D$3,$S$48:$S$422,C10)-SUM(SUMIFS($W$48:$W$422,$D$48:$D$422,Table!$D$3,$S$48:$S$422,C10,$AA$48:$AA$422,{"Ongoing","N/A",""}))</f>
        <v>7317</v>
      </c>
      <c r="F10" s="70">
        <f>1/8*(SUMIFS($Z$48:$Z$422,$D$48:$D$422,Table!$D$3,$S$48:$S$422,C10)-SUM(SUMIFS($Z$48:$Z$422,$D$48:$D$422,Table!$D$3,$S$48:$S$422,C10,$AA$48:$AA$422,{"Ongoing","N/A",""})))</f>
        <v>10.349999999999998</v>
      </c>
      <c r="G10" s="70">
        <f t="shared" si="2"/>
        <v>706.95652173913061</v>
      </c>
      <c r="H10" s="71">
        <f t="shared" si="3"/>
        <v>0.78466487935656837</v>
      </c>
    </row>
    <row r="11" spans="1:13" x14ac:dyDescent="0.25">
      <c r="B11" s="68">
        <v>8</v>
      </c>
      <c r="C11" s="79" t="s">
        <v>70</v>
      </c>
      <c r="D11" s="70">
        <f>SUMIFS($W$48:$W$422,$D$48:$D$422,Table!$D$3,$S$48:$S$422,C11)</f>
        <v>7543</v>
      </c>
      <c r="E11" s="70">
        <f>SUMIFS($W$48:$W$422,$D$48:$D$422,Table!$D$3,$S$48:$S$422,C11)-SUM(SUMIFS($W$48:$W$422,$D$48:$D$422,Table!$D$3,$S$48:$S$422,C11,$AA$48:$AA$422,{"Ongoing","N/A",""}))</f>
        <v>7543</v>
      </c>
      <c r="F11" s="70">
        <f>1/8*(SUMIFS($Z$48:$Z$422,$D$48:$D$422,Table!$D$3,$S$48:$S$422,C11)-SUM(SUMIFS($Z$48:$Z$422,$D$48:$D$422,Table!$D$3,$S$48:$S$422,C11,$AA$48:$AA$422,{"Ongoing","N/A",""})))</f>
        <v>4.6875</v>
      </c>
      <c r="G11" s="70">
        <f t="shared" si="2"/>
        <v>1609.1733333333334</v>
      </c>
      <c r="H11" s="71">
        <f t="shared" si="3"/>
        <v>1</v>
      </c>
    </row>
    <row r="12" spans="1:13" x14ac:dyDescent="0.25">
      <c r="B12" s="68">
        <v>9</v>
      </c>
      <c r="C12" s="69" t="s">
        <v>156</v>
      </c>
      <c r="D12" s="70">
        <f>SUMIFS($W$48:$W$422,$D$48:$D$422,Table!$D$3,$S$48:$S$422,C12)</f>
        <v>0</v>
      </c>
      <c r="E12" s="70">
        <f>SUMIFS($W$48:$W$422,$D$48:$D$422,Table!$D$3,$S$48:$S$422,C12)-SUM(SUMIFS($W$48:$W$422,$D$48:$D$422,Table!$D$3,$S$48:$S$422,C12,$AA$48:$AA$422,{"Ongoing","N/A",""}))</f>
        <v>0</v>
      </c>
      <c r="F12" s="70">
        <f>1/8*(SUMIFS($Z$48:$Z$422,$D$48:$D$422,Table!$D$3,$S$48:$S$422,C12)-SUM(SUMIFS($Z$48:$Z$422,$D$48:$D$422,Table!$D$3,$S$48:$S$422,C12,$AA$48:$AA$422,{"Ongoing","N/A",""})))</f>
        <v>0</v>
      </c>
      <c r="G12" s="70" t="str">
        <f t="shared" si="2"/>
        <v>N/A</v>
      </c>
      <c r="H12" s="71" t="str">
        <f t="shared" si="3"/>
        <v>N/A</v>
      </c>
    </row>
    <row r="13" spans="1:13" x14ac:dyDescent="0.25">
      <c r="B13" s="68">
        <v>10</v>
      </c>
      <c r="C13" s="79" t="s">
        <v>157</v>
      </c>
      <c r="D13" s="70">
        <f>SUMIFS($W$48:$W$422,$D$48:$D$422,Table!$D$3,$S$48:$S$422,C13)</f>
        <v>5016</v>
      </c>
      <c r="E13" s="70">
        <f>SUMIFS($W$48:$W$422,$D$48:$D$422,Table!$D$3,$S$48:$S$422,C13)-SUM(SUMIFS($W$48:$W$422,$D$48:$D$422,Table!$D$3,$S$48:$S$422,C13,$AA$48:$AA$422,{"Ongoing","N/A",""}))</f>
        <v>5016</v>
      </c>
      <c r="F13" s="70">
        <f>1/8*(SUMIFS($Z$48:$Z$422,$D$48:$D$422,Table!$D$3,$S$48:$S$422,C13)-SUM(SUMIFS($Z$48:$Z$422,$D$48:$D$422,Table!$D$3,$S$48:$S$422,C13,$AA$48:$AA$422,{"Ongoing","N/A",""})))</f>
        <v>4.5325000000000006</v>
      </c>
      <c r="G13" s="70">
        <f t="shared" si="2"/>
        <v>1106.6740209597351</v>
      </c>
      <c r="H13" s="71">
        <f t="shared" si="3"/>
        <v>1</v>
      </c>
      <c r="J13" s="73" t="s">
        <v>38</v>
      </c>
      <c r="K13" s="75">
        <v>43952</v>
      </c>
      <c r="M13" s="75">
        <f ca="1">TODAY()</f>
        <v>43972</v>
      </c>
    </row>
    <row r="14" spans="1:13" x14ac:dyDescent="0.25">
      <c r="B14" s="66" t="s">
        <v>109</v>
      </c>
      <c r="C14" s="72"/>
      <c r="D14" s="74">
        <f>SUMIFS($W$48:$W$422,$D$48:$D$422,Table!$D$3)</f>
        <v>62289</v>
      </c>
      <c r="E14" s="74">
        <f>SUMIFS($W$48:$W$422,$D$48:$D$422,Table!$D$3)-SUM(SUMIFS($W$48:$W$422,$D$48:$D$422,Table!$D$3,$AA$48:$AA$422,{"Ongoing","N/A",""}))</f>
        <v>53394</v>
      </c>
      <c r="F14" s="74">
        <f>1/8*(SUMIFS($Z$48:$Z$422,$D$48:$D$422,Table!$D$3)-SUM(SUMIFS($Z$48:$Z$422,$D$48:$D$422,Table!$D$3,$AA$48:$AA$422,{"Ongoing","N/A",""})))</f>
        <v>59.043750000000017</v>
      </c>
      <c r="G14" s="70">
        <f>IF(ISERROR(E14/(F14)),"N/A",E14/F14)</f>
        <v>904.31248015242909</v>
      </c>
      <c r="H14" s="71">
        <f t="shared" si="1"/>
        <v>0.85719790011077401</v>
      </c>
      <c r="J14" s="73" t="s">
        <v>30</v>
      </c>
      <c r="K14" s="76">
        <f ca="1">SUM(INT((WEEKDAY(K13-{2,3,4,5,6}) +M13-K13)/7))</f>
        <v>15</v>
      </c>
    </row>
    <row r="15" spans="1:13" x14ac:dyDescent="0.25">
      <c r="J15" s="73" t="s">
        <v>145</v>
      </c>
      <c r="K15" s="76">
        <v>1</v>
      </c>
      <c r="L15" s="77" t="s">
        <v>318</v>
      </c>
    </row>
    <row r="16" spans="1:13" x14ac:dyDescent="0.25">
      <c r="J16" s="73" t="s">
        <v>111</v>
      </c>
      <c r="K16" s="24">
        <f ca="1">IF(TODAY()&lt;M13,SUM(INT((WEEKDAY(K13-{2,3,4,5,6})+TODAY()-K13)/7)),SUM(INT((WEEKDAY(K13-{2,3,4,5,6})+M13-K13)/7)))-K15</f>
        <v>14</v>
      </c>
    </row>
    <row r="17" spans="1:13" x14ac:dyDescent="0.25">
      <c r="B17" s="73" t="s">
        <v>51</v>
      </c>
    </row>
    <row r="18" spans="1:13" x14ac:dyDescent="0.25">
      <c r="B18" s="66" t="s">
        <v>0</v>
      </c>
      <c r="C18" s="66" t="s">
        <v>8</v>
      </c>
      <c r="D18" s="66" t="s">
        <v>129</v>
      </c>
      <c r="E18" s="66" t="s">
        <v>53</v>
      </c>
      <c r="F18" s="66" t="s">
        <v>136</v>
      </c>
      <c r="G18" s="66" t="s">
        <v>22</v>
      </c>
      <c r="H18" s="67" t="s">
        <v>24</v>
      </c>
    </row>
    <row r="19" spans="1:13" x14ac:dyDescent="0.25">
      <c r="B19" s="68">
        <v>1</v>
      </c>
      <c r="C19" s="79" t="s">
        <v>6</v>
      </c>
      <c r="D19" s="70">
        <f>SUMIFS($W$48:$W$422,$D$48:$D$422,Table!$C$3,$S$48:$S$422,C19)</f>
        <v>0</v>
      </c>
      <c r="E19" s="70">
        <f>SUMIFS($X$48:$X$422,$D$48:$D$422,Table!$C$3,$S$48:$S$422,C19)-SUM(SUMIFS($X$48:$X$422,$D$48:$D$422,Table!$C$3,$S$48:$S$422,C19,$AA$48:$AA$422,{"Ongoing","N/A",""}))</f>
        <v>0</v>
      </c>
      <c r="F19" s="70">
        <f>1/8*(SUMIFS($Z$48:$Z$422,$D$48:$D$422,Table!$C$3,$S$48:$S$422,C19)-SUM(SUMIFS($Z$48:$Z$422,$D$48:$D$422,Table!$C$3,$S$48:$S$422,C19,$AA$48:$AA$422,{"Ongoing","N/A",""})))</f>
        <v>0</v>
      </c>
      <c r="G19" s="70" t="str">
        <f>IF(ISERROR(E19/(F19)),"N/A",E19/F19)</f>
        <v>N/A</v>
      </c>
      <c r="H19" s="71" t="str">
        <f>IF(ISERROR(E19/D19),"N/A",E19/D19)</f>
        <v>N/A</v>
      </c>
      <c r="J19" s="87"/>
      <c r="K19" s="75"/>
      <c r="M19" s="75"/>
    </row>
    <row r="20" spans="1:13" x14ac:dyDescent="0.25">
      <c r="B20" s="68">
        <v>2</v>
      </c>
      <c r="C20" s="79" t="s">
        <v>64</v>
      </c>
      <c r="D20" s="70">
        <f>SUMIFS($W$48:$W$422,$D$48:$D$422,Table!$C$3,$S$48:$S$422,C20)</f>
        <v>20</v>
      </c>
      <c r="E20" s="70">
        <f>SUMIFS($X$48:$X$422,$D$48:$D$422,Table!$C$3,$S$48:$S$422,C20)-SUM(SUMIFS($X$48:$X$422,$D$48:$D$422,Table!$C$3,$S$48:$S$422,C20,$AA$48:$AA$422,{"Ongoing","N/A",""}))</f>
        <v>20</v>
      </c>
      <c r="F20" s="70">
        <f>1/8*(SUMIFS($Z$48:$Z$422,$D$48:$D$422,Table!$C$3,$S$48:$S$422,C20)-SUM(SUMIFS($Z$48:$Z$422,$D$48:$D$422,Table!$C$3,$S$48:$S$422,C20,$AA$48:$AA$422,{"Ongoing","N/A",""})))</f>
        <v>0.15375</v>
      </c>
      <c r="G20" s="70">
        <f t="shared" ref="G20:G29" si="4">IF(ISERROR(E20/(F20)),"N/A",E20/F20)</f>
        <v>130.08130081300814</v>
      </c>
      <c r="H20" s="71">
        <f t="shared" ref="H20:H29" si="5">IF(ISERROR(E20/D20),"N/A",E20/D20)</f>
        <v>1</v>
      </c>
      <c r="J20" s="87"/>
      <c r="K20" s="24"/>
    </row>
    <row r="21" spans="1:13" x14ac:dyDescent="0.25">
      <c r="B21" s="68">
        <v>3</v>
      </c>
      <c r="C21" s="79" t="s">
        <v>65</v>
      </c>
      <c r="D21" s="70">
        <f>SUMIFS($W$48:$W$422,$D$48:$D$422,Table!$C$3,$S$48:$S$422,C21)</f>
        <v>0</v>
      </c>
      <c r="E21" s="70">
        <f>SUMIFS($X$48:$X$422,$D$48:$D$422,Table!$C$3,$S$48:$S$422,C21)-SUM(SUMIFS($X$48:$X$422,$D$48:$D$422,Table!$C$3,$S$48:$S$422,C21,$AA$48:$AA$422,{"Ongoing","N/A",""}))</f>
        <v>0</v>
      </c>
      <c r="F21" s="70">
        <f>1/8*(SUMIFS($Z$48:$Z$422,$D$48:$D$422,Table!$C$3,$S$48:$S$422,C21)-SUM(SUMIFS($Z$48:$Z$422,$D$48:$D$422,Table!$C$3,$S$48:$S$422,C21,$AA$48:$AA$422,{"Ongoing","N/A",""})))</f>
        <v>0</v>
      </c>
      <c r="G21" s="70" t="str">
        <f t="shared" ref="G21:G28" si="6">IF(ISERROR(E21/(F21)),"N/A",E21/F21)</f>
        <v>N/A</v>
      </c>
      <c r="H21" s="71" t="str">
        <f t="shared" ref="H21:H28" si="7">IF(ISERROR(E21/D21),"N/A",E21/D21)</f>
        <v>N/A</v>
      </c>
      <c r="J21" s="87"/>
      <c r="K21" s="24"/>
      <c r="L21" s="77"/>
    </row>
    <row r="22" spans="1:13" x14ac:dyDescent="0.25">
      <c r="B22" s="68">
        <v>4</v>
      </c>
      <c r="C22" s="83" t="s">
        <v>66</v>
      </c>
      <c r="D22" s="70">
        <f>SUMIFS($W$48:$W$422,$D$48:$D$422,Table!$C$3,$S$48:$S$422,C22)</f>
        <v>0</v>
      </c>
      <c r="E22" s="70">
        <f>SUMIFS($X$48:$X$422,$D$48:$D$422,Table!$C$3,$S$48:$S$422,C22)-SUM(SUMIFS($X$48:$X$422,$D$48:$D$422,Table!$C$3,$S$48:$S$422,C22,$AA$48:$AA$422,{"Ongoing","N/A",""}))</f>
        <v>0</v>
      </c>
      <c r="F22" s="70">
        <f>1/8*(SUMIFS($Z$48:$Z$422,$D$48:$D$422,Table!$C$3,$S$48:$S$422,C22)-SUM(SUMIFS($Z$48:$Z$422,$D$48:$D$422,Table!$C$3,$S$48:$S$422,C22,$AA$48:$AA$422,{"Ongoing","N/A",""})))</f>
        <v>0</v>
      </c>
      <c r="G22" s="70" t="str">
        <f t="shared" si="6"/>
        <v>N/A</v>
      </c>
      <c r="H22" s="71" t="str">
        <f t="shared" si="7"/>
        <v>N/A</v>
      </c>
      <c r="J22" s="87"/>
      <c r="K22" s="24"/>
    </row>
    <row r="23" spans="1:13" x14ac:dyDescent="0.25">
      <c r="B23" s="68">
        <v>5</v>
      </c>
      <c r="C23" s="79" t="s">
        <v>67</v>
      </c>
      <c r="D23" s="70">
        <f>SUMIFS($W$48:$W$422,$D$48:$D$422,Table!$C$3,$S$48:$S$422,C23)</f>
        <v>113</v>
      </c>
      <c r="E23" s="70">
        <f>SUMIFS($X$48:$X$422,$D$48:$D$422,Table!$C$3,$S$48:$S$422,C23)-SUM(SUMIFS($X$48:$X$422,$D$48:$D$422,Table!$C$3,$S$48:$S$422,C23,$AA$48:$AA$422,{"Ongoing","N/A",""}))</f>
        <v>93</v>
      </c>
      <c r="F23" s="70">
        <f>1/8*(SUMIFS($Z$48:$Z$422,$D$48:$D$422,Table!$C$3,$S$48:$S$422,C23)-SUM(SUMIFS($Z$48:$Z$422,$D$48:$D$422,Table!$C$3,$S$48:$S$422,C23,$AA$48:$AA$422,{"Ongoing","N/A",""})))</f>
        <v>0.6875</v>
      </c>
      <c r="G23" s="70">
        <f t="shared" si="6"/>
        <v>135.27272727272728</v>
      </c>
      <c r="H23" s="71">
        <f t="shared" si="7"/>
        <v>0.82300884955752207</v>
      </c>
    </row>
    <row r="24" spans="1:13" x14ac:dyDescent="0.25">
      <c r="B24" s="68">
        <v>6</v>
      </c>
      <c r="C24" s="79" t="s">
        <v>68</v>
      </c>
      <c r="D24" s="70">
        <f>SUMIFS($W$48:$W$422,$D$48:$D$422,Table!$C$3,$S$48:$S$422,C24)</f>
        <v>166</v>
      </c>
      <c r="E24" s="70">
        <f>SUMIFS($X$48:$X$422,$D$48:$D$422,Table!$C$3,$S$48:$S$422,C24)-SUM(SUMIFS($X$48:$X$422,$D$48:$D$422,Table!$C$3,$S$48:$S$422,C24,$AA$48:$AA$422,{"Ongoing","N/A",""}))</f>
        <v>166</v>
      </c>
      <c r="F24" s="70">
        <f>1/8*(SUMIFS($Z$48:$Z$422,$D$48:$D$422,Table!$C$3,$S$48:$S$422,C24)-SUM(SUMIFS($Z$48:$Z$422,$D$48:$D$422,Table!$C$3,$S$48:$S$422,C24,$AA$48:$AA$422,{"Ongoing","N/A",""})))</f>
        <v>1</v>
      </c>
      <c r="G24" s="70">
        <f t="shared" si="6"/>
        <v>166</v>
      </c>
      <c r="H24" s="71">
        <f t="shared" si="7"/>
        <v>1</v>
      </c>
    </row>
    <row r="25" spans="1:13" x14ac:dyDescent="0.25">
      <c r="B25" s="68">
        <v>7</v>
      </c>
      <c r="C25" s="79" t="s">
        <v>69</v>
      </c>
      <c r="D25" s="70">
        <f>SUMIFS($W$48:$W$422,$D$48:$D$422,Table!$C$3,$S$48:$S$422,C25)</f>
        <v>162</v>
      </c>
      <c r="E25" s="70">
        <f>SUMIFS($X$48:$X$422,$D$48:$D$422,Table!$C$3,$S$48:$S$422,C25)-SUM(SUMIFS($X$48:$X$422,$D$48:$D$422,Table!$C$3,$S$48:$S$422,C25,$AA$48:$AA$422,{"Ongoing","N/A",""}))</f>
        <v>162</v>
      </c>
      <c r="F25" s="70">
        <f>1/8*(SUMIFS($Z$48:$Z$422,$D$48:$D$422,Table!$C$3,$S$48:$S$422,C25)-SUM(SUMIFS($Z$48:$Z$422,$D$48:$D$422,Table!$C$3,$S$48:$S$422,C25,$AA$48:$AA$422,{"Ongoing","N/A",""})))</f>
        <v>1.1875</v>
      </c>
      <c r="G25" s="70">
        <f t="shared" si="6"/>
        <v>136.42105263157896</v>
      </c>
      <c r="H25" s="71">
        <f t="shared" si="7"/>
        <v>1</v>
      </c>
    </row>
    <row r="26" spans="1:13" x14ac:dyDescent="0.25">
      <c r="B26" s="68">
        <v>8</v>
      </c>
      <c r="C26" s="79" t="s">
        <v>70</v>
      </c>
      <c r="D26" s="70">
        <f>SUMIFS($W$48:$W$422,$D$48:$D$422,Table!$C$3,$S$48:$S$422,C26)</f>
        <v>11</v>
      </c>
      <c r="E26" s="70">
        <f>SUMIFS($X$48:$X$422,$D$48:$D$422,Table!$C$3,$S$48:$S$422,C26)-SUM(SUMIFS($X$48:$X$422,$D$48:$D$422,Table!$C$3,$S$48:$S$422,C26,$AA$48:$AA$422,{"Ongoing","N/A",""}))</f>
        <v>11</v>
      </c>
      <c r="F26" s="70">
        <f>1/8*(SUMIFS($Z$48:$Z$422,$D$48:$D$422,Table!$C$3,$S$48:$S$422,C26)-SUM(SUMIFS($Z$48:$Z$422,$D$48:$D$422,Table!$C$3,$S$48:$S$422,C26,$AA$48:$AA$422,{"Ongoing","N/A",""})))</f>
        <v>6.25E-2</v>
      </c>
      <c r="G26" s="70">
        <f t="shared" si="6"/>
        <v>176</v>
      </c>
      <c r="H26" s="71">
        <f t="shared" si="7"/>
        <v>1</v>
      </c>
    </row>
    <row r="27" spans="1:13" x14ac:dyDescent="0.25">
      <c r="B27" s="68">
        <v>9</v>
      </c>
      <c r="C27" s="69" t="s">
        <v>156</v>
      </c>
      <c r="D27" s="70">
        <f>SUMIFS($W$48:$W$422,$D$48:$D$422,Table!$C$3,$S$48:$S$422,C27)</f>
        <v>0</v>
      </c>
      <c r="E27" s="70">
        <f>SUMIFS($X$48:$X$422,$D$48:$D$422,Table!$C$3,$S$48:$S$422,C27)-SUM(SUMIFS($X$48:$X$422,$D$48:$D$422,Table!$C$3,$S$48:$S$422,C27,$AA$48:$AA$422,{"Ongoing","N/A",""}))</f>
        <v>0</v>
      </c>
      <c r="F27" s="70">
        <f>1/8*(SUMIFS($Z$48:$Z$422,$D$48:$D$422,Table!$C$3,$S$48:$S$422,C27)-SUM(SUMIFS($Z$48:$Z$422,$D$48:$D$422,Table!$C$3,$S$48:$S$422,C27,$AA$48:$AA$422,{"Ongoing","N/A",""})))</f>
        <v>0</v>
      </c>
      <c r="G27" s="70" t="str">
        <f t="shared" si="6"/>
        <v>N/A</v>
      </c>
      <c r="H27" s="71" t="str">
        <f t="shared" si="7"/>
        <v>N/A</v>
      </c>
    </row>
    <row r="28" spans="1:13" x14ac:dyDescent="0.25">
      <c r="B28" s="68">
        <v>10</v>
      </c>
      <c r="C28" s="79" t="s">
        <v>157</v>
      </c>
      <c r="D28" s="70">
        <f>SUMIFS($W$48:$W$422,$D$48:$D$422,Table!$C$3,$S$48:$S$422,C28)</f>
        <v>97</v>
      </c>
      <c r="E28" s="70">
        <f>SUMIFS($X$48:$X$422,$D$48:$D$422,Table!$C$3,$S$48:$S$422,C28)-SUM(SUMIFS($X$48:$X$422,$D$48:$D$422,Table!$C$3,$S$48:$S$422,C28,$AA$48:$AA$422,{"Ongoing","N/A",""}))</f>
        <v>97</v>
      </c>
      <c r="F28" s="70">
        <f>1/8*(SUMIFS($Z$48:$Z$422,$D$48:$D$422,Table!$C$3,$S$48:$S$422,C28)-SUM(SUMIFS($Z$48:$Z$422,$D$48:$D$422,Table!$C$3,$S$48:$S$422,C28,$AA$48:$AA$422,{"Ongoing","N/A",""})))</f>
        <v>1.4375</v>
      </c>
      <c r="G28" s="70">
        <f t="shared" si="6"/>
        <v>67.478260869565219</v>
      </c>
      <c r="H28" s="71">
        <f t="shared" si="7"/>
        <v>1</v>
      </c>
    </row>
    <row r="29" spans="1:13" x14ac:dyDescent="0.25">
      <c r="B29" s="66" t="s">
        <v>109</v>
      </c>
      <c r="C29" s="72"/>
      <c r="D29" s="74">
        <f>ROUND(SUMIFS($W$48:$W$422,$D$48:$D$422,Table!$C$3),3)</f>
        <v>569</v>
      </c>
      <c r="E29" s="74">
        <f>ROUND(SUMIFS($W$48:$W$422,$D$48:$D$422,Table!$C$3)-SUM(SUMIFS($W$48:$W$422,$D$48:$D$422,Table!$C$3,$AA$48:$AA$422,{"Ongoing","N/A",""})),3)</f>
        <v>549</v>
      </c>
      <c r="F29" s="74">
        <f>1/8*(SUMIFS($Z$48:$Z$422,$D$48:$D$422,Table!$C$3)-SUM(SUMIFS($Z$48:$Z$422,$D$48:$D$422,Table!$C$3,$AA$48:$AA$422,{"Ongoing","N/A",""})))</f>
        <v>4.5287499999999996</v>
      </c>
      <c r="G29" s="70">
        <f t="shared" si="4"/>
        <v>121.22550372619378</v>
      </c>
      <c r="H29" s="71">
        <f t="shared" si="5"/>
        <v>0.96485061511423553</v>
      </c>
      <c r="L29" s="6"/>
    </row>
    <row r="31" spans="1:13" ht="19.5" customHeight="1" x14ac:dyDescent="0.25"/>
    <row r="32" spans="1:13" x14ac:dyDescent="0.25">
      <c r="A32" s="1" t="s">
        <v>417</v>
      </c>
      <c r="B32" s="73" t="s">
        <v>110</v>
      </c>
    </row>
    <row r="33" spans="2:41" x14ac:dyDescent="0.25">
      <c r="B33" s="66" t="s">
        <v>0</v>
      </c>
      <c r="C33" s="66" t="s">
        <v>8</v>
      </c>
      <c r="D33" s="66" t="s">
        <v>129</v>
      </c>
      <c r="E33" s="66" t="s">
        <v>53</v>
      </c>
      <c r="F33" s="66" t="s">
        <v>102</v>
      </c>
      <c r="G33" s="66" t="s">
        <v>22</v>
      </c>
      <c r="H33" s="67" t="s">
        <v>24</v>
      </c>
      <c r="I33" s="95" t="s">
        <v>149</v>
      </c>
      <c r="J33" s="96" t="s">
        <v>164</v>
      </c>
    </row>
    <row r="34" spans="2:41" ht="15.75" x14ac:dyDescent="0.25">
      <c r="B34" s="68">
        <v>1</v>
      </c>
      <c r="C34" s="79" t="s">
        <v>6</v>
      </c>
      <c r="D34" s="70">
        <f>SUM(D19*Table!$D$4/Table!$C$4,D4)</f>
        <v>4689</v>
      </c>
      <c r="E34" s="70">
        <f>SUM(E19*Table!$D$4/Table!$C$4,E4)</f>
        <v>4689</v>
      </c>
      <c r="F34" s="70">
        <f ca="1">$K$16</f>
        <v>14</v>
      </c>
      <c r="G34" s="70">
        <f t="shared" ref="G34" ca="1" si="8">IF(ISERROR(E34/(F34)),"N/A",E34/F34)</f>
        <v>334.92857142857144</v>
      </c>
      <c r="H34" s="71">
        <f t="shared" ref="H34:H44" si="9">IF(ISERROR(E34/D34),"N/A",E34/D34)</f>
        <v>1</v>
      </c>
      <c r="I34" s="97">
        <f>COUNTIFS($S$48:$S$422,C34,$AK$48:$AK$422,Table!$C$36)</f>
        <v>1</v>
      </c>
      <c r="J34" s="97">
        <f>COUNTIFS($S$48:$S$422,C34,$AK$48:$AK$422,Table!$C$37)</f>
        <v>0</v>
      </c>
    </row>
    <row r="35" spans="2:41" ht="15.75" x14ac:dyDescent="0.25">
      <c r="B35" s="68">
        <v>2</v>
      </c>
      <c r="C35" s="79" t="s">
        <v>64</v>
      </c>
      <c r="D35" s="70">
        <f>SUM(D20*Table!$D$4/Table!$C$4,D5)</f>
        <v>8225.2307692307695</v>
      </c>
      <c r="E35" s="70">
        <f>SUM(E20*Table!$D$4/Table!$C$4,E5)</f>
        <v>8225.2307692307695</v>
      </c>
      <c r="F35" s="70">
        <f t="shared" ref="F35:F43" ca="1" si="10">$K$16</f>
        <v>14</v>
      </c>
      <c r="G35" s="70">
        <f ca="1">IF(ISERROR(E35/(F35)),"N/A",E35/F35)</f>
        <v>587.5164835164835</v>
      </c>
      <c r="H35" s="71">
        <f t="shared" si="9"/>
        <v>1</v>
      </c>
      <c r="I35" s="97">
        <f>COUNTIFS($S$48:$S$422,C35,$AK$48:$AK$422,Table!$C$36)</f>
        <v>4</v>
      </c>
      <c r="J35" s="97">
        <f>COUNTIFS($S$48:$S$422,C35,$AK$48:$AK$422,Table!$C$37)</f>
        <v>0</v>
      </c>
    </row>
    <row r="36" spans="2:41" ht="15.75" x14ac:dyDescent="0.25">
      <c r="B36" s="68">
        <v>3</v>
      </c>
      <c r="C36" s="79" t="s">
        <v>65</v>
      </c>
      <c r="D36" s="70">
        <f>SUM(D21*Table!$D$4/Table!$C$4,D6)</f>
        <v>8173</v>
      </c>
      <c r="E36" s="70">
        <f>SUM(E21*Table!$D$4/Table!$C$4,E6)</f>
        <v>7129</v>
      </c>
      <c r="F36" s="70">
        <f t="shared" ca="1" si="10"/>
        <v>14</v>
      </c>
      <c r="G36" s="70">
        <f t="shared" ref="G36:G43" ca="1" si="11">IF(ISERROR(E36/(F36)),"N/A",E36/F36)</f>
        <v>509.21428571428572</v>
      </c>
      <c r="H36" s="71">
        <f t="shared" ref="H36:H43" si="12">IF(ISERROR(E36/D36),"N/A",E36/D36)</f>
        <v>0.87226232717484398</v>
      </c>
      <c r="I36" s="97">
        <f>COUNTIFS($S$48:$S$422,C36,$AK$48:$AK$422,Table!$C$36)</f>
        <v>4</v>
      </c>
      <c r="J36" s="97">
        <f>COUNTIFS($S$48:$S$422,C36,$AK$48:$AK$422,Table!$C$37)</f>
        <v>0</v>
      </c>
    </row>
    <row r="37" spans="2:41" ht="15.75" x14ac:dyDescent="0.25">
      <c r="B37" s="68">
        <v>4</v>
      </c>
      <c r="C37" s="83" t="s">
        <v>66</v>
      </c>
      <c r="D37" s="70">
        <f>SUM(D22*Table!$D$4/Table!$C$4,D7)</f>
        <v>0</v>
      </c>
      <c r="E37" s="70">
        <f>SUM(E22*Table!$D$4/Table!$C$4,E7)</f>
        <v>0</v>
      </c>
      <c r="F37" s="70">
        <f t="shared" ca="1" si="10"/>
        <v>14</v>
      </c>
      <c r="G37" s="70">
        <f t="shared" ca="1" si="11"/>
        <v>0</v>
      </c>
      <c r="H37" s="71" t="str">
        <f t="shared" si="12"/>
        <v>N/A</v>
      </c>
      <c r="I37" s="97">
        <f>COUNTIFS($S$48:$S$422,C37,$AK$48:$AK$422,Table!$C$36)</f>
        <v>0</v>
      </c>
      <c r="J37" s="97">
        <f>COUNTIFS($S$48:$S$422,C37,$AK$48:$AK$422,Table!$C$37)</f>
        <v>0</v>
      </c>
    </row>
    <row r="38" spans="2:41" ht="15.75" x14ac:dyDescent="0.25">
      <c r="B38" s="68">
        <v>5</v>
      </c>
      <c r="C38" s="79" t="s">
        <v>67</v>
      </c>
      <c r="D38" s="70">
        <f>SUM(D23*Table!$D$4/Table!$C$4,D8)</f>
        <v>10539.153846153846</v>
      </c>
      <c r="E38" s="70">
        <f>SUM(E23*Table!$D$4/Table!$C$4,E8)</f>
        <v>6934.9230769230771</v>
      </c>
      <c r="F38" s="70">
        <f t="shared" ca="1" si="10"/>
        <v>14</v>
      </c>
      <c r="G38" s="70">
        <f t="shared" ca="1" si="11"/>
        <v>495.35164835164835</v>
      </c>
      <c r="H38" s="71">
        <f t="shared" si="12"/>
        <v>0.65801516688684691</v>
      </c>
      <c r="I38" s="97">
        <f>COUNTIFS($S$48:$S$422,C38,$AK$48:$AK$422,Table!$C$36)</f>
        <v>7</v>
      </c>
      <c r="J38" s="97">
        <f>COUNTIFS($S$48:$S$422,C38,$AK$48:$AK$422,Table!$C$37)</f>
        <v>0</v>
      </c>
      <c r="M38" s="5"/>
      <c r="N38" s="5"/>
      <c r="O38" s="5"/>
      <c r="P38" s="5"/>
      <c r="Q38" s="5"/>
    </row>
    <row r="39" spans="2:41" ht="15.75" x14ac:dyDescent="0.25">
      <c r="B39" s="68">
        <v>6</v>
      </c>
      <c r="C39" s="79" t="s">
        <v>68</v>
      </c>
      <c r="D39" s="70">
        <f>SUM(D24*Table!$D$4/Table!$C$4,D9)</f>
        <v>9813.6153846153848</v>
      </c>
      <c r="E39" s="70">
        <f>SUM(E24*Table!$D$4/Table!$C$4,E9)</f>
        <v>7505.6153846153848</v>
      </c>
      <c r="F39" s="70">
        <f t="shared" ca="1" si="10"/>
        <v>14</v>
      </c>
      <c r="G39" s="70">
        <f t="shared" ca="1" si="11"/>
        <v>536.11538461538464</v>
      </c>
      <c r="H39" s="71">
        <f t="shared" si="12"/>
        <v>0.76481654216669148</v>
      </c>
      <c r="I39" s="97">
        <f>COUNTIFS($S$48:$S$422,C39,$AK$48:$AK$422,Table!$C$36)</f>
        <v>5</v>
      </c>
      <c r="J39" s="97">
        <f>COUNTIFS($S$48:$S$422,C39,$AK$48:$AK$422,Table!$C$37)</f>
        <v>0</v>
      </c>
      <c r="M39" s="5"/>
      <c r="N39" s="123"/>
      <c r="O39" s="124"/>
      <c r="P39" s="123"/>
      <c r="Q39" s="5"/>
    </row>
    <row r="40" spans="2:41" ht="15.75" x14ac:dyDescent="0.25">
      <c r="B40" s="68">
        <v>7</v>
      </c>
      <c r="C40" s="79" t="s">
        <v>69</v>
      </c>
      <c r="D40" s="70">
        <f>SUM(D25*Table!$D$4/Table!$C$4,D10)</f>
        <v>9885.7692307692305</v>
      </c>
      <c r="E40" s="70">
        <f>SUM(E25*Table!$D$4/Table!$C$4,E10)</f>
        <v>7877.7692307692305</v>
      </c>
      <c r="F40" s="70">
        <f t="shared" ca="1" si="10"/>
        <v>14</v>
      </c>
      <c r="G40" s="70">
        <f t="shared" ca="1" si="11"/>
        <v>562.69780219780216</v>
      </c>
      <c r="H40" s="71">
        <f t="shared" si="12"/>
        <v>0.79687974166439712</v>
      </c>
      <c r="I40" s="97">
        <f>COUNTIFS($S$48:$S$422,C40,$AK$48:$AK$422,Table!$C$36)</f>
        <v>9</v>
      </c>
      <c r="J40" s="97">
        <f>COUNTIFS($S$48:$S$422,C40,$AK$48:$AK$422,Table!$C$37)</f>
        <v>0</v>
      </c>
      <c r="M40" s="5"/>
      <c r="N40" s="5"/>
      <c r="O40" s="5"/>
      <c r="P40" s="5"/>
      <c r="Q40" s="5"/>
    </row>
    <row r="41" spans="2:41" ht="15.75" x14ac:dyDescent="0.25">
      <c r="B41" s="68">
        <v>8</v>
      </c>
      <c r="C41" s="79" t="s">
        <v>70</v>
      </c>
      <c r="D41" s="70">
        <f>SUM(D26*Table!$D$4/Table!$C$4,D11)</f>
        <v>7581.0769230769229</v>
      </c>
      <c r="E41" s="70">
        <f>SUM(E26*Table!$D$4/Table!$C$4,E11)</f>
        <v>7581.0769230769229</v>
      </c>
      <c r="F41" s="70">
        <f t="shared" ca="1" si="10"/>
        <v>14</v>
      </c>
      <c r="G41" s="70">
        <f t="shared" ca="1" si="11"/>
        <v>541.50549450549454</v>
      </c>
      <c r="H41" s="71">
        <f t="shared" si="12"/>
        <v>1</v>
      </c>
      <c r="I41" s="97">
        <f>COUNTIFS($S$48:$S$422,C41,$AK$48:$AK$422,Table!$C$36)</f>
        <v>5</v>
      </c>
      <c r="J41" s="97">
        <f>COUNTIFS($S$48:$S$422,C41,$AK$48:$AK$422,Table!$C$37)</f>
        <v>1</v>
      </c>
    </row>
    <row r="42" spans="2:41" ht="15.75" x14ac:dyDescent="0.25">
      <c r="B42" s="68">
        <v>9</v>
      </c>
      <c r="C42" s="69" t="s">
        <v>156</v>
      </c>
      <c r="D42" s="70">
        <f>SUM(D27*Table!$D$4/Table!$C$4,D12)</f>
        <v>0</v>
      </c>
      <c r="E42" s="70">
        <f>SUM(E27*Table!$D$4/Table!$C$4,E12)</f>
        <v>0</v>
      </c>
      <c r="F42" s="70">
        <f t="shared" ca="1" si="10"/>
        <v>14</v>
      </c>
      <c r="G42" s="70">
        <f t="shared" ca="1" si="11"/>
        <v>0</v>
      </c>
      <c r="H42" s="71" t="str">
        <f t="shared" si="12"/>
        <v>N/A</v>
      </c>
      <c r="I42" s="97">
        <f>COUNTIFS($S$48:$S$422,C42,$AK$48:$AK$422,Table!$C$36)</f>
        <v>0</v>
      </c>
      <c r="J42" s="97">
        <f>COUNTIFS($S$48:$S$422,C42,$AK$48:$AK$422,Table!$C$37)</f>
        <v>0</v>
      </c>
    </row>
    <row r="43" spans="2:41" ht="15.75" x14ac:dyDescent="0.25">
      <c r="B43" s="68">
        <v>10</v>
      </c>
      <c r="C43" s="79" t="s">
        <v>157</v>
      </c>
      <c r="D43" s="70">
        <f>SUM(D28*Table!$D$4/Table!$C$4,D13)</f>
        <v>5351.7692307692305</v>
      </c>
      <c r="E43" s="70">
        <f>SUM(E28*Table!$D$4/Table!$C$4,E13)</f>
        <v>5351.7692307692305</v>
      </c>
      <c r="F43" s="70">
        <f t="shared" ca="1" si="10"/>
        <v>14</v>
      </c>
      <c r="G43" s="70">
        <f t="shared" ca="1" si="11"/>
        <v>382.26923076923077</v>
      </c>
      <c r="H43" s="71">
        <f t="shared" si="12"/>
        <v>1</v>
      </c>
      <c r="I43" s="97">
        <f>COUNTIFS($S$48:$S$422,C43,$AK$48:$AK$422,Table!$C$36)</f>
        <v>8</v>
      </c>
      <c r="J43" s="97">
        <f>COUNTIFS($S$48:$S$422,C43,$AK$48:$AK$422,Table!$C$37)</f>
        <v>0</v>
      </c>
    </row>
    <row r="44" spans="2:41" ht="15.75" x14ac:dyDescent="0.25">
      <c r="B44" s="66" t="s">
        <v>109</v>
      </c>
      <c r="C44" s="72"/>
      <c r="D44" s="70">
        <f>SUM(D34:D43)</f>
        <v>64258.61538461539</v>
      </c>
      <c r="E44" s="70">
        <f>SUM(E34:E43)</f>
        <v>55294.384615384624</v>
      </c>
      <c r="F44" s="70">
        <f ca="1">$K$16*COUNTA(C34:C43)</f>
        <v>140</v>
      </c>
      <c r="G44" s="70">
        <f ca="1">IF(ISERROR(E44/(F44)),"N/A",E44/F44)</f>
        <v>394.95989010989018</v>
      </c>
      <c r="H44" s="71">
        <f t="shared" si="9"/>
        <v>0.86049760463128566</v>
      </c>
      <c r="I44" s="97">
        <f>SUM(I34:I43)</f>
        <v>43</v>
      </c>
      <c r="J44" s="97">
        <f>SUM(J34:J43)</f>
        <v>1</v>
      </c>
    </row>
    <row r="47" spans="2:41" x14ac:dyDescent="0.25">
      <c r="B47" s="61" t="s">
        <v>0</v>
      </c>
      <c r="C47" s="61" t="s">
        <v>63</v>
      </c>
      <c r="D47" s="61" t="s">
        <v>1</v>
      </c>
      <c r="E47" s="61" t="s">
        <v>56</v>
      </c>
      <c r="F47" s="61" t="s">
        <v>57</v>
      </c>
      <c r="G47" s="61" t="s">
        <v>158</v>
      </c>
      <c r="H47" s="61" t="s">
        <v>113</v>
      </c>
      <c r="I47" s="61" t="s">
        <v>58</v>
      </c>
      <c r="J47" s="61" t="s">
        <v>112</v>
      </c>
      <c r="K47" s="61" t="s">
        <v>159</v>
      </c>
      <c r="L47" s="61" t="s">
        <v>72</v>
      </c>
      <c r="M47" s="61" t="s">
        <v>162</v>
      </c>
      <c r="N47" s="61" t="s">
        <v>71</v>
      </c>
      <c r="O47" s="61" t="s">
        <v>62</v>
      </c>
      <c r="P47" s="61" t="s">
        <v>80</v>
      </c>
      <c r="Q47" s="58" t="s">
        <v>55</v>
      </c>
      <c r="R47" s="62" t="s">
        <v>7</v>
      </c>
      <c r="S47" s="62" t="s">
        <v>8</v>
      </c>
      <c r="T47" s="62" t="s">
        <v>78</v>
      </c>
      <c r="U47" s="62" t="s">
        <v>92</v>
      </c>
      <c r="V47" s="62" t="s">
        <v>75</v>
      </c>
      <c r="W47" s="62" t="s">
        <v>76</v>
      </c>
      <c r="X47" s="62" t="s">
        <v>53</v>
      </c>
      <c r="Y47" s="62" t="s">
        <v>79</v>
      </c>
      <c r="Z47" s="62" t="s">
        <v>54</v>
      </c>
      <c r="AA47" s="62" t="s">
        <v>17</v>
      </c>
      <c r="AB47" s="62" t="s">
        <v>184</v>
      </c>
      <c r="AC47" s="62" t="s">
        <v>59</v>
      </c>
      <c r="AD47" s="62" t="s">
        <v>60</v>
      </c>
      <c r="AE47" s="61" t="s">
        <v>12</v>
      </c>
      <c r="AF47" s="61" t="s">
        <v>13</v>
      </c>
      <c r="AG47" s="61" t="s">
        <v>77</v>
      </c>
      <c r="AH47" s="61" t="s">
        <v>14</v>
      </c>
      <c r="AI47" s="61" t="s">
        <v>15</v>
      </c>
      <c r="AJ47" s="62" t="s">
        <v>16</v>
      </c>
      <c r="AK47" s="61" t="s">
        <v>160</v>
      </c>
      <c r="AL47" s="62" t="s">
        <v>147</v>
      </c>
      <c r="AM47" s="62" t="s">
        <v>146</v>
      </c>
      <c r="AN47" s="62" t="s">
        <v>81</v>
      </c>
    </row>
    <row r="48" spans="2:41" x14ac:dyDescent="0.25">
      <c r="B48" s="78">
        <v>1</v>
      </c>
      <c r="C48" s="17">
        <v>20200428</v>
      </c>
      <c r="D48" s="16" t="s">
        <v>3</v>
      </c>
      <c r="E48" s="16" t="s">
        <v>319</v>
      </c>
      <c r="F48" s="80" t="s">
        <v>449</v>
      </c>
      <c r="G48" s="18">
        <v>1435905</v>
      </c>
      <c r="H48" s="57" t="s">
        <v>61</v>
      </c>
      <c r="I48" s="16" t="s">
        <v>176</v>
      </c>
      <c r="J48" s="57" t="s">
        <v>61</v>
      </c>
      <c r="K48" s="16" t="s">
        <v>161</v>
      </c>
      <c r="L48" s="16" t="s">
        <v>323</v>
      </c>
      <c r="M48" s="16" t="s">
        <v>171</v>
      </c>
      <c r="N48" s="16" t="s">
        <v>333</v>
      </c>
      <c r="O48" s="18" t="s">
        <v>61</v>
      </c>
      <c r="P48" s="18" t="s">
        <v>328</v>
      </c>
      <c r="Q48" s="19"/>
      <c r="R48" s="57" t="s">
        <v>61</v>
      </c>
      <c r="S48" s="16" t="s">
        <v>157</v>
      </c>
      <c r="T48" s="16"/>
      <c r="U48" s="16"/>
      <c r="V48" s="16">
        <v>145</v>
      </c>
      <c r="W48" s="16">
        <f>V48</f>
        <v>145</v>
      </c>
      <c r="X48" s="16">
        <f>W48</f>
        <v>145</v>
      </c>
      <c r="Y48" s="16">
        <f>ROUNDDOWN(W48/HLOOKUP(D48,Table!$C$3:$D$4,2,0)*8,2)</f>
        <v>2.57</v>
      </c>
      <c r="Z48" s="16">
        <v>2</v>
      </c>
      <c r="AA48" s="16" t="s">
        <v>74</v>
      </c>
      <c r="AB48" s="20">
        <v>43956</v>
      </c>
      <c r="AC48" s="20">
        <v>43949</v>
      </c>
      <c r="AD48" s="20">
        <v>43956</v>
      </c>
      <c r="AE48" s="20">
        <v>43956</v>
      </c>
      <c r="AF48" s="20">
        <v>43956</v>
      </c>
      <c r="AG48" s="20" t="s">
        <v>335</v>
      </c>
      <c r="AH48" s="32">
        <v>1</v>
      </c>
      <c r="AI48" s="32">
        <v>1</v>
      </c>
      <c r="AJ48" s="32">
        <v>1</v>
      </c>
      <c r="AK48" s="20" t="s">
        <v>165</v>
      </c>
      <c r="AL48" s="16" t="s">
        <v>61</v>
      </c>
      <c r="AM48" s="16" t="s">
        <v>61</v>
      </c>
      <c r="AN48" s="122" t="s">
        <v>61</v>
      </c>
      <c r="AO48" s="141"/>
    </row>
    <row r="49" spans="2:40" x14ac:dyDescent="0.25">
      <c r="B49" s="78">
        <f t="shared" ref="B49:B52" si="13">B48+1</f>
        <v>2</v>
      </c>
      <c r="C49" s="17">
        <v>20200428</v>
      </c>
      <c r="D49" s="16" t="s">
        <v>3</v>
      </c>
      <c r="E49" s="16" t="s">
        <v>319</v>
      </c>
      <c r="F49" s="80" t="s">
        <v>450</v>
      </c>
      <c r="G49" s="18">
        <v>1435905</v>
      </c>
      <c r="H49" s="57" t="s">
        <v>61</v>
      </c>
      <c r="I49" s="16" t="s">
        <v>172</v>
      </c>
      <c r="J49" s="57" t="s">
        <v>61</v>
      </c>
      <c r="K49" s="16" t="s">
        <v>161</v>
      </c>
      <c r="L49" s="16" t="s">
        <v>323</v>
      </c>
      <c r="M49" s="16" t="s">
        <v>171</v>
      </c>
      <c r="N49" s="16" t="s">
        <v>333</v>
      </c>
      <c r="O49" s="18" t="s">
        <v>61</v>
      </c>
      <c r="P49" s="18" t="s">
        <v>328</v>
      </c>
      <c r="Q49" s="19"/>
      <c r="R49" s="57" t="s">
        <v>61</v>
      </c>
      <c r="S49" s="16" t="s">
        <v>157</v>
      </c>
      <c r="T49" s="16"/>
      <c r="U49" s="16"/>
      <c r="V49" s="16">
        <v>101</v>
      </c>
      <c r="W49" s="16">
        <f t="shared" ref="W49:W111" si="14">V49</f>
        <v>101</v>
      </c>
      <c r="X49" s="16">
        <f t="shared" ref="X49:X55" si="15">W49</f>
        <v>101</v>
      </c>
      <c r="Y49" s="16">
        <f>ROUNDDOWN(W49/HLOOKUP(D49,Table!$C$3:$D$4,2,0)*8,2)</f>
        <v>1.79</v>
      </c>
      <c r="Z49" s="16">
        <v>1</v>
      </c>
      <c r="AA49" s="16" t="s">
        <v>74</v>
      </c>
      <c r="AB49" s="20">
        <v>43956</v>
      </c>
      <c r="AC49" s="20">
        <v>43949</v>
      </c>
      <c r="AD49" s="20">
        <v>43956</v>
      </c>
      <c r="AE49" s="20">
        <v>43955</v>
      </c>
      <c r="AF49" s="20">
        <v>43955</v>
      </c>
      <c r="AG49" s="20" t="s">
        <v>335</v>
      </c>
      <c r="AH49" s="32">
        <v>1</v>
      </c>
      <c r="AI49" s="32">
        <v>1</v>
      </c>
      <c r="AJ49" s="32">
        <v>1</v>
      </c>
      <c r="AK49" s="20" t="s">
        <v>165</v>
      </c>
      <c r="AL49" s="16" t="s">
        <v>61</v>
      </c>
      <c r="AM49" s="16" t="s">
        <v>61</v>
      </c>
      <c r="AN49" s="16" t="s">
        <v>61</v>
      </c>
    </row>
    <row r="50" spans="2:40" x14ac:dyDescent="0.25">
      <c r="B50" s="78">
        <f t="shared" si="13"/>
        <v>3</v>
      </c>
      <c r="C50" s="17">
        <v>20200428</v>
      </c>
      <c r="D50" s="16" t="s">
        <v>3</v>
      </c>
      <c r="E50" s="16" t="s">
        <v>319</v>
      </c>
      <c r="F50" s="80" t="s">
        <v>451</v>
      </c>
      <c r="G50" s="18">
        <v>1435905</v>
      </c>
      <c r="H50" s="57" t="s">
        <v>61</v>
      </c>
      <c r="I50" s="16" t="s">
        <v>173</v>
      </c>
      <c r="J50" s="57" t="s">
        <v>61</v>
      </c>
      <c r="K50" s="16" t="s">
        <v>161</v>
      </c>
      <c r="L50" s="16" t="s">
        <v>323</v>
      </c>
      <c r="M50" s="16" t="s">
        <v>171</v>
      </c>
      <c r="N50" s="16" t="s">
        <v>333</v>
      </c>
      <c r="O50" s="18" t="s">
        <v>61</v>
      </c>
      <c r="P50" s="18" t="s">
        <v>328</v>
      </c>
      <c r="Q50" s="19"/>
      <c r="R50" s="57" t="s">
        <v>61</v>
      </c>
      <c r="S50" s="16" t="s">
        <v>157</v>
      </c>
      <c r="T50" s="16"/>
      <c r="U50" s="16"/>
      <c r="V50" s="16">
        <v>154</v>
      </c>
      <c r="W50" s="16">
        <f t="shared" si="14"/>
        <v>154</v>
      </c>
      <c r="X50" s="16">
        <f t="shared" si="15"/>
        <v>154</v>
      </c>
      <c r="Y50" s="16">
        <f>ROUNDDOWN(W50/HLOOKUP(D50,Table!$C$3:$D$4,2,0)*8,2)</f>
        <v>2.73</v>
      </c>
      <c r="Z50" s="16">
        <v>2</v>
      </c>
      <c r="AA50" s="16" t="s">
        <v>74</v>
      </c>
      <c r="AB50" s="20">
        <v>43956</v>
      </c>
      <c r="AC50" s="20">
        <v>43949</v>
      </c>
      <c r="AD50" s="20">
        <v>43956</v>
      </c>
      <c r="AE50" s="20">
        <v>43955</v>
      </c>
      <c r="AF50" s="20">
        <v>43955</v>
      </c>
      <c r="AG50" s="20" t="s">
        <v>336</v>
      </c>
      <c r="AH50" s="32">
        <v>0.96</v>
      </c>
      <c r="AI50" s="32">
        <v>0.9</v>
      </c>
      <c r="AJ50" s="32">
        <v>1</v>
      </c>
      <c r="AK50" s="20" t="s">
        <v>149</v>
      </c>
      <c r="AL50" s="16" t="s">
        <v>778</v>
      </c>
      <c r="AM50" s="16"/>
      <c r="AN50" s="16" t="s">
        <v>473</v>
      </c>
    </row>
    <row r="51" spans="2:40" x14ac:dyDescent="0.25">
      <c r="B51" s="78">
        <f t="shared" si="13"/>
        <v>4</v>
      </c>
      <c r="C51" s="17">
        <v>20200428</v>
      </c>
      <c r="D51" s="16" t="s">
        <v>3</v>
      </c>
      <c r="E51" s="16" t="s">
        <v>319</v>
      </c>
      <c r="F51" s="80" t="s">
        <v>452</v>
      </c>
      <c r="G51" s="18">
        <v>1435905</v>
      </c>
      <c r="H51" s="57" t="s">
        <v>61</v>
      </c>
      <c r="I51" s="17" t="s">
        <v>177</v>
      </c>
      <c r="J51" s="57" t="s">
        <v>61</v>
      </c>
      <c r="K51" s="16" t="s">
        <v>161</v>
      </c>
      <c r="L51" s="16" t="s">
        <v>323</v>
      </c>
      <c r="M51" s="16" t="s">
        <v>171</v>
      </c>
      <c r="N51" s="16" t="s">
        <v>333</v>
      </c>
      <c r="O51" s="18" t="s">
        <v>61</v>
      </c>
      <c r="P51" s="18" t="s">
        <v>328</v>
      </c>
      <c r="Q51" s="19"/>
      <c r="R51" s="57" t="s">
        <v>61</v>
      </c>
      <c r="S51" s="16" t="s">
        <v>157</v>
      </c>
      <c r="T51" s="16"/>
      <c r="U51" s="16"/>
      <c r="V51" s="16">
        <v>120</v>
      </c>
      <c r="W51" s="16">
        <f t="shared" si="14"/>
        <v>120</v>
      </c>
      <c r="X51" s="16">
        <f t="shared" si="15"/>
        <v>120</v>
      </c>
      <c r="Y51" s="16">
        <f>ROUNDDOWN(W51/HLOOKUP(D51,Table!$C$3:$D$4,2,0)*8,2)</f>
        <v>2.13</v>
      </c>
      <c r="Z51" s="16">
        <v>2</v>
      </c>
      <c r="AA51" s="16" t="s">
        <v>74</v>
      </c>
      <c r="AB51" s="20">
        <v>43956</v>
      </c>
      <c r="AC51" s="20">
        <v>43949</v>
      </c>
      <c r="AD51" s="20">
        <v>43956</v>
      </c>
      <c r="AE51" s="20">
        <v>43955</v>
      </c>
      <c r="AF51" s="20">
        <v>43955</v>
      </c>
      <c r="AG51" s="20" t="s">
        <v>336</v>
      </c>
      <c r="AH51" s="32">
        <v>1</v>
      </c>
      <c r="AI51" s="32">
        <v>0.98</v>
      </c>
      <c r="AJ51" s="32">
        <v>1</v>
      </c>
      <c r="AK51" s="20" t="s">
        <v>149</v>
      </c>
      <c r="AL51" s="16" t="s">
        <v>779</v>
      </c>
      <c r="AM51" s="16"/>
      <c r="AN51" s="149" t="s">
        <v>448</v>
      </c>
    </row>
    <row r="52" spans="2:40" x14ac:dyDescent="0.25">
      <c r="B52" s="78">
        <f t="shared" si="13"/>
        <v>5</v>
      </c>
      <c r="C52" s="17">
        <v>20200428</v>
      </c>
      <c r="D52" s="16" t="s">
        <v>3</v>
      </c>
      <c r="E52" s="16" t="s">
        <v>319</v>
      </c>
      <c r="F52" s="80" t="s">
        <v>453</v>
      </c>
      <c r="G52" s="18">
        <v>1435905</v>
      </c>
      <c r="H52" s="57" t="s">
        <v>61</v>
      </c>
      <c r="I52" s="16" t="s">
        <v>178</v>
      </c>
      <c r="J52" s="57" t="s">
        <v>61</v>
      </c>
      <c r="K52" s="16" t="s">
        <v>161</v>
      </c>
      <c r="L52" s="16" t="s">
        <v>323</v>
      </c>
      <c r="M52" s="16" t="s">
        <v>171</v>
      </c>
      <c r="N52" s="16" t="s">
        <v>333</v>
      </c>
      <c r="O52" s="18" t="s">
        <v>61</v>
      </c>
      <c r="P52" s="18" t="s">
        <v>328</v>
      </c>
      <c r="Q52" s="19"/>
      <c r="R52" s="57" t="s">
        <v>61</v>
      </c>
      <c r="S52" s="16" t="s">
        <v>64</v>
      </c>
      <c r="T52" s="16"/>
      <c r="U52" s="16"/>
      <c r="V52" s="16">
        <v>178</v>
      </c>
      <c r="W52" s="16">
        <f t="shared" si="14"/>
        <v>178</v>
      </c>
      <c r="X52" s="16">
        <f t="shared" si="15"/>
        <v>178</v>
      </c>
      <c r="Y52" s="16">
        <f>ROUNDDOWN(W52/HLOOKUP(D52,Table!$C$3:$D$4,2,0)*8,2)</f>
        <v>3.16</v>
      </c>
      <c r="Z52" s="16">
        <v>1</v>
      </c>
      <c r="AA52" s="16" t="s">
        <v>74</v>
      </c>
      <c r="AB52" s="20">
        <v>43956</v>
      </c>
      <c r="AC52" s="20">
        <v>43949</v>
      </c>
      <c r="AD52" s="20">
        <v>43956</v>
      </c>
      <c r="AE52" s="20">
        <v>43955</v>
      </c>
      <c r="AF52" s="20">
        <v>43955</v>
      </c>
      <c r="AG52" s="20" t="s">
        <v>335</v>
      </c>
      <c r="AH52" s="32" t="s">
        <v>61</v>
      </c>
      <c r="AI52" s="32" t="s">
        <v>61</v>
      </c>
      <c r="AJ52" s="32" t="s">
        <v>61</v>
      </c>
      <c r="AK52" s="20" t="s">
        <v>165</v>
      </c>
      <c r="AL52" s="16" t="s">
        <v>61</v>
      </c>
      <c r="AM52" s="16" t="s">
        <v>61</v>
      </c>
      <c r="AN52" s="16" t="s">
        <v>418</v>
      </c>
    </row>
    <row r="53" spans="2:40" x14ac:dyDescent="0.25">
      <c r="B53" s="78">
        <f t="shared" ref="B53:B116" si="16">B52+1</f>
        <v>6</v>
      </c>
      <c r="C53" s="17">
        <v>20200428</v>
      </c>
      <c r="D53" s="16" t="s">
        <v>3</v>
      </c>
      <c r="E53" s="16" t="s">
        <v>319</v>
      </c>
      <c r="F53" s="80" t="s">
        <v>454</v>
      </c>
      <c r="G53" s="18">
        <v>1435905</v>
      </c>
      <c r="H53" s="57" t="s">
        <v>61</v>
      </c>
      <c r="I53" s="16" t="s">
        <v>174</v>
      </c>
      <c r="J53" s="57" t="s">
        <v>61</v>
      </c>
      <c r="K53" s="16" t="s">
        <v>161</v>
      </c>
      <c r="L53" s="16" t="s">
        <v>323</v>
      </c>
      <c r="M53" s="16" t="s">
        <v>171</v>
      </c>
      <c r="N53" s="16" t="s">
        <v>333</v>
      </c>
      <c r="O53" s="18" t="s">
        <v>61</v>
      </c>
      <c r="P53" s="18" t="s">
        <v>328</v>
      </c>
      <c r="Q53" s="19"/>
      <c r="R53" s="57" t="s">
        <v>61</v>
      </c>
      <c r="S53" s="16" t="s">
        <v>64</v>
      </c>
      <c r="T53" s="16"/>
      <c r="U53" s="16"/>
      <c r="V53" s="16">
        <v>124</v>
      </c>
      <c r="W53" s="16">
        <f t="shared" si="14"/>
        <v>124</v>
      </c>
      <c r="X53" s="16">
        <f t="shared" si="15"/>
        <v>124</v>
      </c>
      <c r="Y53" s="16">
        <f>ROUNDDOWN(W53/HLOOKUP(D53,Table!$C$3:$D$4,2,0)*8,2)</f>
        <v>2.2000000000000002</v>
      </c>
      <c r="Z53" s="16">
        <v>2</v>
      </c>
      <c r="AA53" s="16" t="s">
        <v>74</v>
      </c>
      <c r="AB53" s="20">
        <v>43956</v>
      </c>
      <c r="AC53" s="20">
        <v>43949</v>
      </c>
      <c r="AD53" s="20">
        <v>43956</v>
      </c>
      <c r="AE53" s="20">
        <v>43955</v>
      </c>
      <c r="AF53" s="20">
        <v>43955</v>
      </c>
      <c r="AG53" s="20" t="s">
        <v>336</v>
      </c>
      <c r="AH53" s="32">
        <v>1</v>
      </c>
      <c r="AI53" s="32">
        <v>1</v>
      </c>
      <c r="AJ53" s="32">
        <v>1</v>
      </c>
      <c r="AK53" s="20" t="s">
        <v>165</v>
      </c>
      <c r="AL53" s="16" t="s">
        <v>61</v>
      </c>
      <c r="AM53" s="16" t="s">
        <v>61</v>
      </c>
      <c r="AN53" s="16" t="s">
        <v>438</v>
      </c>
    </row>
    <row r="54" spans="2:40" x14ac:dyDescent="0.25">
      <c r="B54" s="78">
        <f t="shared" si="16"/>
        <v>7</v>
      </c>
      <c r="C54" s="17">
        <v>20200428</v>
      </c>
      <c r="D54" s="16" t="s">
        <v>3</v>
      </c>
      <c r="E54" s="16" t="s">
        <v>319</v>
      </c>
      <c r="F54" s="80" t="s">
        <v>455</v>
      </c>
      <c r="G54" s="18">
        <v>1435905</v>
      </c>
      <c r="H54" s="57" t="s">
        <v>61</v>
      </c>
      <c r="I54" s="16" t="s">
        <v>322</v>
      </c>
      <c r="J54" s="57" t="s">
        <v>61</v>
      </c>
      <c r="K54" s="16" t="s">
        <v>161</v>
      </c>
      <c r="L54" s="16" t="s">
        <v>323</v>
      </c>
      <c r="M54" s="16" t="s">
        <v>171</v>
      </c>
      <c r="N54" s="16" t="s">
        <v>333</v>
      </c>
      <c r="O54" s="18" t="s">
        <v>61</v>
      </c>
      <c r="P54" s="18" t="s">
        <v>328</v>
      </c>
      <c r="Q54" s="19"/>
      <c r="R54" s="57" t="s">
        <v>61</v>
      </c>
      <c r="S54" s="16" t="s">
        <v>64</v>
      </c>
      <c r="T54" s="16"/>
      <c r="U54" s="16"/>
      <c r="V54" s="16">
        <v>106</v>
      </c>
      <c r="W54" s="16">
        <f t="shared" si="14"/>
        <v>106</v>
      </c>
      <c r="X54" s="16">
        <f t="shared" si="15"/>
        <v>106</v>
      </c>
      <c r="Y54" s="16">
        <f>ROUNDDOWN(W54/HLOOKUP(D54,Table!$C$3:$D$4,2,0)*8,2)</f>
        <v>1.88</v>
      </c>
      <c r="Z54" s="16">
        <v>2</v>
      </c>
      <c r="AA54" s="16" t="s">
        <v>74</v>
      </c>
      <c r="AB54" s="20">
        <v>43956</v>
      </c>
      <c r="AC54" s="20">
        <v>43949</v>
      </c>
      <c r="AD54" s="20">
        <v>43956</v>
      </c>
      <c r="AE54" s="20">
        <v>43955</v>
      </c>
      <c r="AF54" s="20">
        <v>43955</v>
      </c>
      <c r="AG54" s="20" t="s">
        <v>336</v>
      </c>
      <c r="AH54" s="32">
        <v>0.36</v>
      </c>
      <c r="AI54" s="32">
        <v>0</v>
      </c>
      <c r="AJ54" s="32">
        <v>1</v>
      </c>
      <c r="AK54" s="20" t="s">
        <v>149</v>
      </c>
      <c r="AL54" s="16" t="s">
        <v>471</v>
      </c>
      <c r="AM54" s="16"/>
      <c r="AN54" s="16" t="s">
        <v>448</v>
      </c>
    </row>
    <row r="55" spans="2:40" x14ac:dyDescent="0.25">
      <c r="B55" s="78">
        <f t="shared" si="16"/>
        <v>8</v>
      </c>
      <c r="C55" s="17">
        <v>20200428</v>
      </c>
      <c r="D55" s="16" t="s">
        <v>3</v>
      </c>
      <c r="E55" s="16" t="s">
        <v>169</v>
      </c>
      <c r="F55" s="80" t="s">
        <v>456</v>
      </c>
      <c r="G55" s="18">
        <v>1439160</v>
      </c>
      <c r="H55" s="57" t="s">
        <v>61</v>
      </c>
      <c r="I55" s="16" t="s">
        <v>182</v>
      </c>
      <c r="J55" s="57" t="s">
        <v>61</v>
      </c>
      <c r="K55" s="16" t="s">
        <v>161</v>
      </c>
      <c r="L55" s="16" t="s">
        <v>324</v>
      </c>
      <c r="M55" s="19" t="s">
        <v>334</v>
      </c>
      <c r="N55" s="16" t="s">
        <v>326</v>
      </c>
      <c r="O55" s="18" t="s">
        <v>61</v>
      </c>
      <c r="P55" s="18" t="s">
        <v>167</v>
      </c>
      <c r="Q55" s="19"/>
      <c r="R55" s="57" t="s">
        <v>61</v>
      </c>
      <c r="S55" s="16" t="s">
        <v>64</v>
      </c>
      <c r="T55" s="16"/>
      <c r="U55" s="16"/>
      <c r="V55" s="16">
        <v>188</v>
      </c>
      <c r="W55" s="16">
        <f t="shared" si="14"/>
        <v>188</v>
      </c>
      <c r="X55" s="16">
        <f t="shared" si="15"/>
        <v>188</v>
      </c>
      <c r="Y55" s="16">
        <f>ROUNDDOWN(W55/HLOOKUP(D55,Table!$C$3:$D$4,2,0)*8,2)</f>
        <v>3.34</v>
      </c>
      <c r="Z55" s="16">
        <v>1</v>
      </c>
      <c r="AA55" s="16" t="s">
        <v>74</v>
      </c>
      <c r="AB55" s="20">
        <v>43956</v>
      </c>
      <c r="AC55" s="20">
        <v>43949</v>
      </c>
      <c r="AD55" s="20">
        <v>43956</v>
      </c>
      <c r="AE55" s="20">
        <v>43955</v>
      </c>
      <c r="AF55" s="20">
        <v>43955</v>
      </c>
      <c r="AG55" s="20" t="s">
        <v>335</v>
      </c>
      <c r="AH55" s="32" t="s">
        <v>61</v>
      </c>
      <c r="AI55" s="32" t="s">
        <v>61</v>
      </c>
      <c r="AJ55" s="32" t="s">
        <v>61</v>
      </c>
      <c r="AK55" s="20" t="s">
        <v>165</v>
      </c>
      <c r="AL55" s="16" t="s">
        <v>61</v>
      </c>
      <c r="AM55" s="16" t="s">
        <v>61</v>
      </c>
      <c r="AN55" s="16" t="s">
        <v>418</v>
      </c>
    </row>
    <row r="56" spans="2:40" x14ac:dyDescent="0.25">
      <c r="B56" s="78">
        <f t="shared" si="16"/>
        <v>9</v>
      </c>
      <c r="C56" s="17">
        <v>20200428</v>
      </c>
      <c r="D56" s="16" t="s">
        <v>3</v>
      </c>
      <c r="E56" s="16" t="s">
        <v>169</v>
      </c>
      <c r="F56" s="80" t="s">
        <v>457</v>
      </c>
      <c r="G56" s="18">
        <v>1439160</v>
      </c>
      <c r="H56" s="57" t="s">
        <v>61</v>
      </c>
      <c r="I56" s="16" t="s">
        <v>181</v>
      </c>
      <c r="J56" s="57" t="s">
        <v>61</v>
      </c>
      <c r="K56" s="16" t="s">
        <v>161</v>
      </c>
      <c r="L56" s="16" t="s">
        <v>324</v>
      </c>
      <c r="M56" s="19" t="s">
        <v>334</v>
      </c>
      <c r="N56" s="16" t="s">
        <v>326</v>
      </c>
      <c r="O56" s="18" t="s">
        <v>61</v>
      </c>
      <c r="P56" s="18" t="s">
        <v>167</v>
      </c>
      <c r="Q56" s="19"/>
      <c r="R56" s="57" t="s">
        <v>61</v>
      </c>
      <c r="S56" s="16" t="s">
        <v>64</v>
      </c>
      <c r="T56" s="16"/>
      <c r="U56" s="16"/>
      <c r="V56" s="16">
        <v>257</v>
      </c>
      <c r="W56" s="16">
        <f t="shared" si="14"/>
        <v>257</v>
      </c>
      <c r="X56" s="16">
        <f t="shared" ref="X56:X57" si="17">W56</f>
        <v>257</v>
      </c>
      <c r="Y56" s="16">
        <f>ROUNDDOWN(W56/HLOOKUP(D56,Table!$C$3:$D$4,2,0)*8,2)</f>
        <v>4.5599999999999996</v>
      </c>
      <c r="Z56" s="16">
        <v>2</v>
      </c>
      <c r="AA56" s="16" t="s">
        <v>74</v>
      </c>
      <c r="AB56" s="20">
        <v>43956</v>
      </c>
      <c r="AC56" s="20">
        <v>43949</v>
      </c>
      <c r="AD56" s="20">
        <v>43956</v>
      </c>
      <c r="AE56" s="20">
        <v>43955</v>
      </c>
      <c r="AF56" s="20">
        <v>43955</v>
      </c>
      <c r="AG56" s="20" t="s">
        <v>335</v>
      </c>
      <c r="AH56" s="32">
        <v>1</v>
      </c>
      <c r="AI56" s="32">
        <v>1</v>
      </c>
      <c r="AJ56" s="32">
        <v>1</v>
      </c>
      <c r="AK56" s="20" t="s">
        <v>165</v>
      </c>
      <c r="AL56" s="16" t="s">
        <v>61</v>
      </c>
      <c r="AM56" s="16" t="s">
        <v>61</v>
      </c>
      <c r="AN56" s="16" t="s">
        <v>61</v>
      </c>
    </row>
    <row r="57" spans="2:40" x14ac:dyDescent="0.25">
      <c r="B57" s="78">
        <f t="shared" si="16"/>
        <v>10</v>
      </c>
      <c r="C57" s="17">
        <v>20200428</v>
      </c>
      <c r="D57" s="16" t="s">
        <v>3</v>
      </c>
      <c r="E57" s="16" t="s">
        <v>169</v>
      </c>
      <c r="F57" s="80" t="s">
        <v>458</v>
      </c>
      <c r="G57" s="18">
        <v>1439160</v>
      </c>
      <c r="H57" s="57" t="s">
        <v>61</v>
      </c>
      <c r="I57" s="16" t="s">
        <v>183</v>
      </c>
      <c r="J57" s="57" t="s">
        <v>61</v>
      </c>
      <c r="K57" s="16" t="s">
        <v>161</v>
      </c>
      <c r="L57" s="16" t="s">
        <v>324</v>
      </c>
      <c r="M57" s="19" t="s">
        <v>334</v>
      </c>
      <c r="N57" s="16" t="s">
        <v>326</v>
      </c>
      <c r="O57" s="18" t="s">
        <v>61</v>
      </c>
      <c r="P57" s="18" t="s">
        <v>167</v>
      </c>
      <c r="Q57" s="19"/>
      <c r="R57" s="57" t="s">
        <v>61</v>
      </c>
      <c r="S57" s="16" t="s">
        <v>64</v>
      </c>
      <c r="T57" s="16"/>
      <c r="U57" s="16"/>
      <c r="V57" s="16">
        <v>1141</v>
      </c>
      <c r="W57" s="16">
        <f t="shared" si="14"/>
        <v>1141</v>
      </c>
      <c r="X57" s="16">
        <f t="shared" si="17"/>
        <v>1141</v>
      </c>
      <c r="Y57" s="16">
        <f>ROUNDDOWN(W57/HLOOKUP(D57,Table!$C$3:$D$4,2,0)*8,2)</f>
        <v>20.28</v>
      </c>
      <c r="Z57" s="16">
        <v>4</v>
      </c>
      <c r="AA57" s="16" t="s">
        <v>74</v>
      </c>
      <c r="AB57" s="20">
        <v>43956</v>
      </c>
      <c r="AC57" s="20">
        <v>43949</v>
      </c>
      <c r="AD57" s="20">
        <v>43956</v>
      </c>
      <c r="AE57" s="20">
        <v>43950</v>
      </c>
      <c r="AF57" s="20">
        <v>43950</v>
      </c>
      <c r="AG57" s="20" t="s">
        <v>335</v>
      </c>
      <c r="AH57" s="32">
        <v>1</v>
      </c>
      <c r="AI57" s="32">
        <v>1</v>
      </c>
      <c r="AJ57" s="32">
        <v>1</v>
      </c>
      <c r="AK57" s="20" t="s">
        <v>165</v>
      </c>
      <c r="AL57" s="16" t="s">
        <v>61</v>
      </c>
      <c r="AM57" s="16" t="s">
        <v>61</v>
      </c>
      <c r="AN57" s="16" t="s">
        <v>61</v>
      </c>
    </row>
    <row r="58" spans="2:40" x14ac:dyDescent="0.25">
      <c r="B58" s="78">
        <f t="shared" si="16"/>
        <v>11</v>
      </c>
      <c r="C58" s="17">
        <v>20200428</v>
      </c>
      <c r="D58" s="16" t="s">
        <v>3</v>
      </c>
      <c r="E58" s="16" t="s">
        <v>169</v>
      </c>
      <c r="F58" s="80" t="s">
        <v>459</v>
      </c>
      <c r="G58" s="18">
        <v>1439160</v>
      </c>
      <c r="H58" s="57" t="s">
        <v>61</v>
      </c>
      <c r="I58" s="16" t="s">
        <v>168</v>
      </c>
      <c r="J58" s="57" t="s">
        <v>61</v>
      </c>
      <c r="K58" s="16" t="s">
        <v>161</v>
      </c>
      <c r="L58" s="16" t="s">
        <v>324</v>
      </c>
      <c r="M58" s="19" t="s">
        <v>334</v>
      </c>
      <c r="N58" s="16" t="s">
        <v>326</v>
      </c>
      <c r="O58" s="18" t="s">
        <v>61</v>
      </c>
      <c r="P58" s="18" t="s">
        <v>167</v>
      </c>
      <c r="Q58" s="19"/>
      <c r="R58" s="57" t="s">
        <v>61</v>
      </c>
      <c r="S58" s="16" t="s">
        <v>65</v>
      </c>
      <c r="T58" s="16"/>
      <c r="U58" s="16"/>
      <c r="V58" s="16">
        <v>997</v>
      </c>
      <c r="W58" s="16">
        <f t="shared" si="14"/>
        <v>997</v>
      </c>
      <c r="X58" s="16">
        <f t="shared" ref="X58:X71" si="18">W58</f>
        <v>997</v>
      </c>
      <c r="Y58" s="16">
        <f>ROUNDDOWN(W58/HLOOKUP(D58,Table!$C$3:$D$4,2,0)*8,2)</f>
        <v>17.72</v>
      </c>
      <c r="Z58" s="16">
        <v>2</v>
      </c>
      <c r="AA58" s="16" t="s">
        <v>74</v>
      </c>
      <c r="AB58" s="20">
        <v>43956</v>
      </c>
      <c r="AC58" s="20">
        <v>43949</v>
      </c>
      <c r="AD58" s="20">
        <v>43956</v>
      </c>
      <c r="AE58" s="20">
        <v>43956</v>
      </c>
      <c r="AF58" s="20">
        <v>43956</v>
      </c>
      <c r="AG58" s="20" t="s">
        <v>335</v>
      </c>
      <c r="AH58" s="32">
        <v>1</v>
      </c>
      <c r="AI58" s="32">
        <v>1</v>
      </c>
      <c r="AJ58" s="32">
        <v>1</v>
      </c>
      <c r="AK58" s="20" t="s">
        <v>165</v>
      </c>
      <c r="AL58" s="16" t="s">
        <v>61</v>
      </c>
      <c r="AM58" s="16" t="s">
        <v>61</v>
      </c>
      <c r="AN58" s="16" t="s">
        <v>61</v>
      </c>
    </row>
    <row r="59" spans="2:40" x14ac:dyDescent="0.25">
      <c r="B59" s="78">
        <f t="shared" si="16"/>
        <v>12</v>
      </c>
      <c r="C59" s="17">
        <v>20200428</v>
      </c>
      <c r="D59" s="16" t="s">
        <v>3</v>
      </c>
      <c r="E59" s="16" t="s">
        <v>320</v>
      </c>
      <c r="F59" s="80" t="s">
        <v>460</v>
      </c>
      <c r="G59" s="18">
        <v>1439436</v>
      </c>
      <c r="H59" s="57" t="s">
        <v>61</v>
      </c>
      <c r="I59" s="16" t="s">
        <v>182</v>
      </c>
      <c r="J59" s="57" t="s">
        <v>61</v>
      </c>
      <c r="K59" s="16" t="s">
        <v>161</v>
      </c>
      <c r="L59" s="16" t="s">
        <v>325</v>
      </c>
      <c r="M59" s="16" t="s">
        <v>331</v>
      </c>
      <c r="N59" s="16" t="s">
        <v>327</v>
      </c>
      <c r="O59" s="18" t="s">
        <v>61</v>
      </c>
      <c r="P59" s="18" t="s">
        <v>329</v>
      </c>
      <c r="Q59" s="19"/>
      <c r="R59" s="57" t="s">
        <v>61</v>
      </c>
      <c r="S59" s="16" t="s">
        <v>157</v>
      </c>
      <c r="T59" s="16"/>
      <c r="U59" s="16"/>
      <c r="V59" s="16">
        <v>142</v>
      </c>
      <c r="W59" s="16">
        <f t="shared" si="14"/>
        <v>142</v>
      </c>
      <c r="X59" s="16">
        <f t="shared" si="18"/>
        <v>142</v>
      </c>
      <c r="Y59" s="16">
        <f>ROUNDDOWN(W59/HLOOKUP(D59,Table!$C$3:$D$4,2,0)*8,2)</f>
        <v>2.52</v>
      </c>
      <c r="Z59" s="16">
        <v>0.1</v>
      </c>
      <c r="AA59" s="16" t="s">
        <v>74</v>
      </c>
      <c r="AB59" s="20">
        <v>43956</v>
      </c>
      <c r="AC59" s="20">
        <v>43949</v>
      </c>
      <c r="AD59" s="20">
        <v>43956</v>
      </c>
      <c r="AE59" s="20">
        <v>43955</v>
      </c>
      <c r="AF59" s="20">
        <v>43955</v>
      </c>
      <c r="AG59" s="20" t="s">
        <v>335</v>
      </c>
      <c r="AH59" s="32" t="s">
        <v>61</v>
      </c>
      <c r="AI59" s="32" t="s">
        <v>61</v>
      </c>
      <c r="AJ59" s="32" t="s">
        <v>61</v>
      </c>
      <c r="AK59" s="20" t="s">
        <v>165</v>
      </c>
      <c r="AL59" s="16" t="s">
        <v>61</v>
      </c>
      <c r="AM59" s="16" t="s">
        <v>61</v>
      </c>
      <c r="AN59" s="16" t="s">
        <v>418</v>
      </c>
    </row>
    <row r="60" spans="2:40" x14ac:dyDescent="0.25">
      <c r="B60" s="78">
        <f t="shared" si="16"/>
        <v>13</v>
      </c>
      <c r="C60" s="17">
        <v>20200428</v>
      </c>
      <c r="D60" s="16" t="s">
        <v>3</v>
      </c>
      <c r="E60" s="16" t="s">
        <v>320</v>
      </c>
      <c r="F60" s="80" t="s">
        <v>461</v>
      </c>
      <c r="G60" s="18">
        <v>1439436</v>
      </c>
      <c r="H60" s="57" t="s">
        <v>61</v>
      </c>
      <c r="I60" s="16" t="s">
        <v>183</v>
      </c>
      <c r="J60" s="57" t="s">
        <v>61</v>
      </c>
      <c r="K60" s="16" t="s">
        <v>161</v>
      </c>
      <c r="L60" s="16" t="s">
        <v>325</v>
      </c>
      <c r="M60" s="16" t="s">
        <v>331</v>
      </c>
      <c r="N60" s="16" t="s">
        <v>327</v>
      </c>
      <c r="O60" s="18" t="s">
        <v>61</v>
      </c>
      <c r="P60" s="18" t="s">
        <v>329</v>
      </c>
      <c r="Q60" s="19"/>
      <c r="R60" s="57" t="s">
        <v>61</v>
      </c>
      <c r="S60" s="16" t="s">
        <v>157</v>
      </c>
      <c r="T60" s="16"/>
      <c r="U60" s="16"/>
      <c r="V60" s="16">
        <v>35</v>
      </c>
      <c r="W60" s="16">
        <f t="shared" si="14"/>
        <v>35</v>
      </c>
      <c r="X60" s="16">
        <f t="shared" si="18"/>
        <v>35</v>
      </c>
      <c r="Y60" s="16">
        <f>ROUNDDOWN(W60/HLOOKUP(D60,Table!$C$3:$D$4,2,0)*8,2)</f>
        <v>0.62</v>
      </c>
      <c r="Z60" s="16">
        <v>0.15</v>
      </c>
      <c r="AA60" s="16" t="s">
        <v>74</v>
      </c>
      <c r="AB60" s="20">
        <v>43956</v>
      </c>
      <c r="AC60" s="20">
        <v>43949</v>
      </c>
      <c r="AD60" s="20">
        <v>43956</v>
      </c>
      <c r="AE60" s="20">
        <v>43949</v>
      </c>
      <c r="AF60" s="20">
        <v>43949</v>
      </c>
      <c r="AG60" s="20" t="s">
        <v>335</v>
      </c>
      <c r="AH60" s="32">
        <v>1</v>
      </c>
      <c r="AI60" s="32">
        <v>1</v>
      </c>
      <c r="AJ60" s="32">
        <v>1</v>
      </c>
      <c r="AK60" s="20" t="s">
        <v>165</v>
      </c>
      <c r="AL60" s="16" t="s">
        <v>61</v>
      </c>
      <c r="AM60" s="16" t="s">
        <v>61</v>
      </c>
      <c r="AN60" s="16"/>
    </row>
    <row r="61" spans="2:40" x14ac:dyDescent="0.25">
      <c r="B61" s="78">
        <f t="shared" si="16"/>
        <v>14</v>
      </c>
      <c r="C61" s="17">
        <v>20200428</v>
      </c>
      <c r="D61" s="16" t="s">
        <v>3</v>
      </c>
      <c r="E61" s="16" t="s">
        <v>320</v>
      </c>
      <c r="F61" s="80" t="s">
        <v>462</v>
      </c>
      <c r="G61" s="18">
        <v>1439436</v>
      </c>
      <c r="H61" s="57" t="s">
        <v>61</v>
      </c>
      <c r="I61" s="16" t="s">
        <v>168</v>
      </c>
      <c r="J61" s="57" t="s">
        <v>61</v>
      </c>
      <c r="K61" s="16" t="s">
        <v>161</v>
      </c>
      <c r="L61" s="16" t="s">
        <v>325</v>
      </c>
      <c r="M61" s="16" t="s">
        <v>331</v>
      </c>
      <c r="N61" s="16" t="s">
        <v>327</v>
      </c>
      <c r="O61" s="18" t="s">
        <v>61</v>
      </c>
      <c r="P61" s="18" t="s">
        <v>329</v>
      </c>
      <c r="Q61" s="19"/>
      <c r="R61" s="57" t="s">
        <v>61</v>
      </c>
      <c r="S61" s="16" t="s">
        <v>157</v>
      </c>
      <c r="T61" s="16"/>
      <c r="U61" s="16"/>
      <c r="V61" s="16">
        <v>34</v>
      </c>
      <c r="W61" s="98">
        <v>278</v>
      </c>
      <c r="X61" s="17">
        <f t="shared" si="18"/>
        <v>278</v>
      </c>
      <c r="Y61" s="16">
        <f>ROUNDDOWN(W61/HLOOKUP(D61,Table!$C$3:$D$4,2,0)*8,2)</f>
        <v>4.9400000000000004</v>
      </c>
      <c r="Z61" s="16">
        <v>1</v>
      </c>
      <c r="AA61" s="16" t="s">
        <v>74</v>
      </c>
      <c r="AB61" s="20">
        <v>43956</v>
      </c>
      <c r="AC61" s="20">
        <v>43949</v>
      </c>
      <c r="AD61" s="20">
        <v>43956</v>
      </c>
      <c r="AE61" s="20">
        <v>43955</v>
      </c>
      <c r="AF61" s="20">
        <v>43955</v>
      </c>
      <c r="AG61" s="20" t="s">
        <v>335</v>
      </c>
      <c r="AH61" s="32">
        <v>1</v>
      </c>
      <c r="AI61" s="32">
        <v>1</v>
      </c>
      <c r="AJ61" s="32">
        <v>1</v>
      </c>
      <c r="AK61" s="20" t="s">
        <v>165</v>
      </c>
      <c r="AL61" s="16" t="s">
        <v>61</v>
      </c>
      <c r="AM61" s="16" t="s">
        <v>61</v>
      </c>
      <c r="AN61" s="16" t="s">
        <v>435</v>
      </c>
    </row>
    <row r="62" spans="2:40" x14ac:dyDescent="0.25">
      <c r="B62" s="78">
        <f t="shared" si="16"/>
        <v>15</v>
      </c>
      <c r="C62" s="17">
        <v>20200428</v>
      </c>
      <c r="D62" s="16" t="s">
        <v>3</v>
      </c>
      <c r="E62" s="16" t="s">
        <v>321</v>
      </c>
      <c r="F62" s="80" t="s">
        <v>463</v>
      </c>
      <c r="G62" s="18">
        <v>1417033</v>
      </c>
      <c r="H62" s="57" t="s">
        <v>61</v>
      </c>
      <c r="I62" s="16" t="s">
        <v>181</v>
      </c>
      <c r="J62" s="57" t="s">
        <v>61</v>
      </c>
      <c r="K62" s="16" t="s">
        <v>161</v>
      </c>
      <c r="L62" s="16" t="s">
        <v>165</v>
      </c>
      <c r="M62" s="16" t="s">
        <v>170</v>
      </c>
      <c r="N62" s="16" t="s">
        <v>175</v>
      </c>
      <c r="O62" s="18" t="s">
        <v>61</v>
      </c>
      <c r="P62" s="18" t="s">
        <v>330</v>
      </c>
      <c r="Q62" s="19"/>
      <c r="R62" s="57" t="s">
        <v>61</v>
      </c>
      <c r="S62" s="16" t="s">
        <v>157</v>
      </c>
      <c r="T62" s="16"/>
      <c r="U62" s="16"/>
      <c r="V62" s="16">
        <v>76</v>
      </c>
      <c r="W62" s="16">
        <f t="shared" si="14"/>
        <v>76</v>
      </c>
      <c r="X62" s="16">
        <f t="shared" si="18"/>
        <v>76</v>
      </c>
      <c r="Y62" s="16">
        <f>ROUNDDOWN(W62/HLOOKUP(D62,Table!$C$3:$D$4,2,0)*8,2)</f>
        <v>1.35</v>
      </c>
      <c r="Z62" s="16">
        <v>1</v>
      </c>
      <c r="AA62" s="16" t="s">
        <v>74</v>
      </c>
      <c r="AB62" s="20">
        <v>43956</v>
      </c>
      <c r="AC62" s="20">
        <v>43949</v>
      </c>
      <c r="AD62" s="20">
        <v>43956</v>
      </c>
      <c r="AE62" s="20">
        <v>43949</v>
      </c>
      <c r="AF62" s="20">
        <v>43949</v>
      </c>
      <c r="AG62" s="20" t="s">
        <v>335</v>
      </c>
      <c r="AH62" s="32">
        <v>1</v>
      </c>
      <c r="AI62" s="32">
        <v>1</v>
      </c>
      <c r="AJ62" s="32">
        <v>1</v>
      </c>
      <c r="AK62" s="20" t="s">
        <v>165</v>
      </c>
      <c r="AL62" s="16" t="s">
        <v>61</v>
      </c>
      <c r="AM62" s="16" t="s">
        <v>61</v>
      </c>
      <c r="AN62" s="16" t="s">
        <v>61</v>
      </c>
    </row>
    <row r="63" spans="2:40" x14ac:dyDescent="0.25">
      <c r="B63" s="78">
        <f t="shared" si="16"/>
        <v>16</v>
      </c>
      <c r="C63" s="17">
        <v>20200428</v>
      </c>
      <c r="D63" s="16" t="s">
        <v>3</v>
      </c>
      <c r="E63" s="16" t="s">
        <v>321</v>
      </c>
      <c r="F63" s="80" t="s">
        <v>464</v>
      </c>
      <c r="G63" s="18">
        <v>1417033</v>
      </c>
      <c r="H63" s="57" t="s">
        <v>61</v>
      </c>
      <c r="I63" s="16" t="s">
        <v>168</v>
      </c>
      <c r="J63" s="57" t="s">
        <v>61</v>
      </c>
      <c r="K63" s="16" t="s">
        <v>161</v>
      </c>
      <c r="L63" s="16" t="s">
        <v>165</v>
      </c>
      <c r="M63" s="16" t="s">
        <v>170</v>
      </c>
      <c r="N63" s="16" t="s">
        <v>175</v>
      </c>
      <c r="O63" s="18" t="s">
        <v>61</v>
      </c>
      <c r="P63" s="18" t="s">
        <v>330</v>
      </c>
      <c r="Q63" s="19"/>
      <c r="R63" s="57" t="s">
        <v>61</v>
      </c>
      <c r="S63" s="16" t="s">
        <v>157</v>
      </c>
      <c r="T63" s="16"/>
      <c r="U63" s="16"/>
      <c r="V63" s="16">
        <v>61</v>
      </c>
      <c r="W63" s="16">
        <f t="shared" si="14"/>
        <v>61</v>
      </c>
      <c r="X63" s="16">
        <f t="shared" si="18"/>
        <v>61</v>
      </c>
      <c r="Y63" s="16">
        <f>ROUNDDOWN(W63/HLOOKUP(D63,Table!$C$3:$D$4,2,0)*8,2)</f>
        <v>1.08</v>
      </c>
      <c r="Z63" s="16">
        <v>0.5</v>
      </c>
      <c r="AA63" s="16" t="s">
        <v>74</v>
      </c>
      <c r="AB63" s="20">
        <v>43956</v>
      </c>
      <c r="AC63" s="20">
        <v>43949</v>
      </c>
      <c r="AD63" s="20">
        <v>43956</v>
      </c>
      <c r="AE63" s="20">
        <v>43949</v>
      </c>
      <c r="AF63" s="20">
        <v>43949</v>
      </c>
      <c r="AG63" s="20" t="s">
        <v>335</v>
      </c>
      <c r="AH63" s="32">
        <v>1</v>
      </c>
      <c r="AI63" s="32">
        <v>1</v>
      </c>
      <c r="AJ63" s="32">
        <v>1</v>
      </c>
      <c r="AK63" s="20" t="s">
        <v>165</v>
      </c>
      <c r="AL63" s="16" t="s">
        <v>61</v>
      </c>
      <c r="AM63" s="16" t="s">
        <v>61</v>
      </c>
      <c r="AN63" s="16" t="s">
        <v>61</v>
      </c>
    </row>
    <row r="64" spans="2:40" x14ac:dyDescent="0.25">
      <c r="B64" s="84">
        <f t="shared" si="16"/>
        <v>17</v>
      </c>
      <c r="C64" s="17">
        <v>20200429</v>
      </c>
      <c r="D64" s="16" t="s">
        <v>3</v>
      </c>
      <c r="E64" s="16" t="s">
        <v>338</v>
      </c>
      <c r="F64" s="80" t="s">
        <v>465</v>
      </c>
      <c r="G64" s="18">
        <v>1439430</v>
      </c>
      <c r="H64" s="57" t="s">
        <v>61</v>
      </c>
      <c r="I64" s="16" t="s">
        <v>349</v>
      </c>
      <c r="J64" s="57" t="s">
        <v>61</v>
      </c>
      <c r="K64" s="16" t="s">
        <v>161</v>
      </c>
      <c r="L64" s="16" t="s">
        <v>345</v>
      </c>
      <c r="M64" s="16" t="s">
        <v>340</v>
      </c>
      <c r="N64" s="16" t="s">
        <v>347</v>
      </c>
      <c r="O64" s="18" t="s">
        <v>61</v>
      </c>
      <c r="P64" s="18" t="s">
        <v>342</v>
      </c>
      <c r="Q64" s="19"/>
      <c r="R64" s="57" t="s">
        <v>61</v>
      </c>
      <c r="S64" s="16" t="s">
        <v>65</v>
      </c>
      <c r="T64" s="16"/>
      <c r="U64" s="16"/>
      <c r="V64" s="16">
        <v>431</v>
      </c>
      <c r="W64" s="16">
        <f t="shared" si="14"/>
        <v>431</v>
      </c>
      <c r="X64" s="16">
        <f t="shared" si="18"/>
        <v>431</v>
      </c>
      <c r="Y64" s="16">
        <f>ROUNDDOWN(W64/HLOOKUP(D64,Table!$C$3:$D$4,2,0)*8,2)</f>
        <v>7.66</v>
      </c>
      <c r="Z64" s="16">
        <v>1</v>
      </c>
      <c r="AA64" s="16" t="s">
        <v>74</v>
      </c>
      <c r="AB64" s="20">
        <v>43957</v>
      </c>
      <c r="AC64" s="20">
        <v>43950</v>
      </c>
      <c r="AD64" s="20">
        <v>43957</v>
      </c>
      <c r="AE64" s="20">
        <v>43956</v>
      </c>
      <c r="AF64" s="20">
        <v>43956</v>
      </c>
      <c r="AG64" s="20" t="s">
        <v>335</v>
      </c>
      <c r="AH64" s="32">
        <v>1</v>
      </c>
      <c r="AI64" s="32">
        <v>1</v>
      </c>
      <c r="AJ64" s="32">
        <v>1</v>
      </c>
      <c r="AK64" s="20" t="s">
        <v>165</v>
      </c>
      <c r="AL64" s="16" t="s">
        <v>61</v>
      </c>
      <c r="AM64" s="16" t="s">
        <v>61</v>
      </c>
      <c r="AN64" s="16" t="s">
        <v>61</v>
      </c>
    </row>
    <row r="65" spans="1:40" x14ac:dyDescent="0.25">
      <c r="B65" s="84">
        <f t="shared" si="16"/>
        <v>18</v>
      </c>
      <c r="C65" s="17">
        <v>20200429</v>
      </c>
      <c r="D65" s="16" t="s">
        <v>3</v>
      </c>
      <c r="E65" s="16" t="s">
        <v>338</v>
      </c>
      <c r="F65" s="80" t="s">
        <v>466</v>
      </c>
      <c r="G65" s="18">
        <v>1439430</v>
      </c>
      <c r="H65" s="57" t="s">
        <v>61</v>
      </c>
      <c r="I65" s="16" t="s">
        <v>350</v>
      </c>
      <c r="J65" s="57" t="s">
        <v>61</v>
      </c>
      <c r="K65" s="16" t="s">
        <v>161</v>
      </c>
      <c r="L65" s="16" t="s">
        <v>345</v>
      </c>
      <c r="M65" s="16" t="s">
        <v>340</v>
      </c>
      <c r="N65" s="16" t="s">
        <v>347</v>
      </c>
      <c r="O65" s="18" t="s">
        <v>61</v>
      </c>
      <c r="P65" s="18" t="s">
        <v>342</v>
      </c>
      <c r="Q65" s="19"/>
      <c r="R65" s="57" t="s">
        <v>61</v>
      </c>
      <c r="S65" s="16" t="s">
        <v>65</v>
      </c>
      <c r="T65" s="16"/>
      <c r="U65" s="16"/>
      <c r="V65" s="16">
        <v>184</v>
      </c>
      <c r="W65" s="16">
        <f t="shared" si="14"/>
        <v>184</v>
      </c>
      <c r="X65" s="16">
        <f t="shared" si="18"/>
        <v>184</v>
      </c>
      <c r="Y65" s="16">
        <f>ROUNDDOWN(W65/HLOOKUP(D65,Table!$C$3:$D$4,2,0)*8,2)</f>
        <v>3.27</v>
      </c>
      <c r="Z65" s="16">
        <v>1</v>
      </c>
      <c r="AA65" s="16" t="s">
        <v>74</v>
      </c>
      <c r="AB65" s="20">
        <v>43957</v>
      </c>
      <c r="AC65" s="20">
        <v>43950</v>
      </c>
      <c r="AD65" s="20">
        <v>43957</v>
      </c>
      <c r="AE65" s="20">
        <v>43956</v>
      </c>
      <c r="AF65" s="20">
        <v>43956</v>
      </c>
      <c r="AG65" s="20" t="s">
        <v>335</v>
      </c>
      <c r="AH65" s="32">
        <v>1</v>
      </c>
      <c r="AI65" s="32">
        <v>1</v>
      </c>
      <c r="AJ65" s="32">
        <v>1</v>
      </c>
      <c r="AK65" s="20" t="s">
        <v>165</v>
      </c>
      <c r="AL65" s="16" t="s">
        <v>61</v>
      </c>
      <c r="AM65" s="16" t="s">
        <v>61</v>
      </c>
      <c r="AN65" s="16" t="s">
        <v>61</v>
      </c>
    </row>
    <row r="66" spans="1:40" x14ac:dyDescent="0.25">
      <c r="B66" s="84">
        <f t="shared" si="16"/>
        <v>19</v>
      </c>
      <c r="C66" s="17">
        <v>20200429</v>
      </c>
      <c r="D66" s="16" t="s">
        <v>3</v>
      </c>
      <c r="E66" s="16" t="s">
        <v>339</v>
      </c>
      <c r="F66" s="80" t="s">
        <v>467</v>
      </c>
      <c r="G66" s="18">
        <v>1416489</v>
      </c>
      <c r="H66" s="57" t="s">
        <v>61</v>
      </c>
      <c r="I66" s="16" t="s">
        <v>351</v>
      </c>
      <c r="J66" s="57" t="s">
        <v>61</v>
      </c>
      <c r="K66" s="16" t="s">
        <v>161</v>
      </c>
      <c r="L66" s="16" t="s">
        <v>346</v>
      </c>
      <c r="M66" s="16" t="s">
        <v>341</v>
      </c>
      <c r="N66" s="16" t="s">
        <v>348</v>
      </c>
      <c r="O66" s="18" t="s">
        <v>61</v>
      </c>
      <c r="P66" s="18" t="s">
        <v>343</v>
      </c>
      <c r="Q66" s="19"/>
      <c r="R66" s="57" t="s">
        <v>61</v>
      </c>
      <c r="S66" s="16" t="s">
        <v>157</v>
      </c>
      <c r="T66" s="16"/>
      <c r="U66" s="16"/>
      <c r="V66" s="16">
        <v>332</v>
      </c>
      <c r="W66" s="98">
        <v>636</v>
      </c>
      <c r="X66" s="16">
        <f t="shared" si="18"/>
        <v>636</v>
      </c>
      <c r="Y66" s="16">
        <f>ROUNDDOWN(W66/HLOOKUP(D66,Table!$C$3:$D$4,2,0)*8,2)</f>
        <v>11.3</v>
      </c>
      <c r="Z66" s="93">
        <v>2</v>
      </c>
      <c r="AA66" s="92" t="s">
        <v>74</v>
      </c>
      <c r="AB66" s="20">
        <v>43957</v>
      </c>
      <c r="AC66" s="20">
        <v>43950</v>
      </c>
      <c r="AD66" s="20">
        <v>43957</v>
      </c>
      <c r="AE66" s="102">
        <v>43956</v>
      </c>
      <c r="AF66" s="102">
        <v>43956</v>
      </c>
      <c r="AG66" s="102" t="s">
        <v>335</v>
      </c>
      <c r="AH66" s="103">
        <v>1</v>
      </c>
      <c r="AI66" s="103">
        <v>1</v>
      </c>
      <c r="AJ66" s="103">
        <v>1</v>
      </c>
      <c r="AK66" s="102" t="s">
        <v>165</v>
      </c>
      <c r="AL66" s="92" t="s">
        <v>61</v>
      </c>
      <c r="AM66" s="16" t="s">
        <v>61</v>
      </c>
      <c r="AN66" s="16" t="s">
        <v>472</v>
      </c>
    </row>
    <row r="67" spans="1:40" x14ac:dyDescent="0.25">
      <c r="B67" s="84">
        <f t="shared" si="16"/>
        <v>20</v>
      </c>
      <c r="C67" s="17">
        <v>20200429</v>
      </c>
      <c r="D67" s="16" t="s">
        <v>3</v>
      </c>
      <c r="E67" s="16" t="s">
        <v>321</v>
      </c>
      <c r="F67" s="80" t="s">
        <v>468</v>
      </c>
      <c r="G67" s="18">
        <v>1442021</v>
      </c>
      <c r="H67" s="57" t="s">
        <v>61</v>
      </c>
      <c r="I67" s="16" t="s">
        <v>352</v>
      </c>
      <c r="J67" s="57" t="s">
        <v>61</v>
      </c>
      <c r="K67" s="16" t="s">
        <v>161</v>
      </c>
      <c r="L67" s="16" t="s">
        <v>165</v>
      </c>
      <c r="M67" s="16" t="s">
        <v>170</v>
      </c>
      <c r="N67" s="16" t="s">
        <v>175</v>
      </c>
      <c r="O67" s="18" t="s">
        <v>61</v>
      </c>
      <c r="P67" s="18" t="s">
        <v>344</v>
      </c>
      <c r="Q67" s="19"/>
      <c r="R67" s="57" t="s">
        <v>61</v>
      </c>
      <c r="S67" s="16" t="s">
        <v>157</v>
      </c>
      <c r="T67" s="16"/>
      <c r="U67" s="16"/>
      <c r="V67" s="16">
        <v>163</v>
      </c>
      <c r="W67" s="16">
        <f t="shared" si="14"/>
        <v>163</v>
      </c>
      <c r="X67" s="16">
        <f t="shared" si="18"/>
        <v>163</v>
      </c>
      <c r="Y67" s="16">
        <f>ROUNDDOWN(W67/HLOOKUP(D67,Table!$C$3:$D$4,2,0)*8,2)</f>
        <v>2.89</v>
      </c>
      <c r="Z67" s="16">
        <v>2</v>
      </c>
      <c r="AA67" s="16" t="s">
        <v>74</v>
      </c>
      <c r="AB67" s="20">
        <v>43957</v>
      </c>
      <c r="AC67" s="20">
        <v>43950</v>
      </c>
      <c r="AD67" s="20">
        <v>43957</v>
      </c>
      <c r="AE67" s="20">
        <v>43956</v>
      </c>
      <c r="AF67" s="20">
        <v>43956</v>
      </c>
      <c r="AG67" s="20" t="s">
        <v>336</v>
      </c>
      <c r="AH67" s="32">
        <v>1</v>
      </c>
      <c r="AI67" s="32">
        <v>0.91</v>
      </c>
      <c r="AJ67" s="32">
        <v>0.66</v>
      </c>
      <c r="AK67" s="20" t="s">
        <v>149</v>
      </c>
      <c r="AL67" s="16" t="s">
        <v>570</v>
      </c>
      <c r="AM67" s="16"/>
      <c r="AN67" s="92" t="s">
        <v>566</v>
      </c>
    </row>
    <row r="68" spans="1:40" x14ac:dyDescent="0.25">
      <c r="B68" s="45">
        <f t="shared" si="16"/>
        <v>21</v>
      </c>
      <c r="C68" s="17">
        <v>20200429</v>
      </c>
      <c r="D68" s="16" t="s">
        <v>2</v>
      </c>
      <c r="E68" s="16" t="s">
        <v>354</v>
      </c>
      <c r="F68" s="112" t="s">
        <v>61</v>
      </c>
      <c r="G68" s="18">
        <v>1445483</v>
      </c>
      <c r="H68" s="57" t="s">
        <v>61</v>
      </c>
      <c r="I68" s="16" t="s">
        <v>357</v>
      </c>
      <c r="J68" s="57" t="s">
        <v>61</v>
      </c>
      <c r="K68" s="16" t="s">
        <v>353</v>
      </c>
      <c r="L68" s="16" t="s">
        <v>165</v>
      </c>
      <c r="M68" s="16" t="s">
        <v>165</v>
      </c>
      <c r="N68" s="16" t="s">
        <v>366</v>
      </c>
      <c r="O68" s="18" t="s">
        <v>365</v>
      </c>
      <c r="P68" s="18" t="s">
        <v>367</v>
      </c>
      <c r="Q68" s="19"/>
      <c r="R68" s="57" t="s">
        <v>61</v>
      </c>
      <c r="S68" s="16" t="s">
        <v>68</v>
      </c>
      <c r="T68" s="16"/>
      <c r="U68" s="16"/>
      <c r="V68" s="16">
        <f>42*2</f>
        <v>84</v>
      </c>
      <c r="W68" s="16">
        <f t="shared" si="14"/>
        <v>84</v>
      </c>
      <c r="X68" s="16">
        <f t="shared" si="18"/>
        <v>84</v>
      </c>
      <c r="Y68" s="16">
        <f>ROUNDDOWN(W68/HLOOKUP(D68,Table!$C$3:$D$4,2,0)*8,2)</f>
        <v>5.16</v>
      </c>
      <c r="Z68" s="16">
        <v>4</v>
      </c>
      <c r="AA68" s="16" t="s">
        <v>74</v>
      </c>
      <c r="AB68" s="20">
        <v>43958</v>
      </c>
      <c r="AC68" s="20">
        <v>43955</v>
      </c>
      <c r="AD68" s="20">
        <v>43959</v>
      </c>
      <c r="AE68" s="20">
        <v>43957</v>
      </c>
      <c r="AF68" s="20">
        <v>43957</v>
      </c>
      <c r="AG68" s="20" t="s">
        <v>336</v>
      </c>
      <c r="AH68" s="32">
        <v>0.93799999999999994</v>
      </c>
      <c r="AI68" s="32">
        <v>0.94699999999999995</v>
      </c>
      <c r="AJ68" s="32">
        <v>1</v>
      </c>
      <c r="AK68" s="20" t="s">
        <v>165</v>
      </c>
      <c r="AL68" s="18" t="s">
        <v>443</v>
      </c>
      <c r="AM68" s="16"/>
      <c r="AN68" s="16" t="s">
        <v>61</v>
      </c>
    </row>
    <row r="69" spans="1:40" x14ac:dyDescent="0.25">
      <c r="B69" s="45">
        <f t="shared" si="16"/>
        <v>22</v>
      </c>
      <c r="C69" s="17">
        <v>20200429</v>
      </c>
      <c r="D69" s="16" t="s">
        <v>3</v>
      </c>
      <c r="E69" s="16" t="s">
        <v>355</v>
      </c>
      <c r="F69" s="80" t="s">
        <v>1049</v>
      </c>
      <c r="G69" s="18">
        <v>1373116</v>
      </c>
      <c r="H69" s="57" t="s">
        <v>61</v>
      </c>
      <c r="I69" s="16" t="s">
        <v>358</v>
      </c>
      <c r="J69" s="57" t="s">
        <v>61</v>
      </c>
      <c r="K69" s="16" t="s">
        <v>353</v>
      </c>
      <c r="L69" s="16" t="s">
        <v>165</v>
      </c>
      <c r="M69" s="16" t="s">
        <v>165</v>
      </c>
      <c r="N69" s="16" t="s">
        <v>419</v>
      </c>
      <c r="O69" s="18" t="s">
        <v>61</v>
      </c>
      <c r="P69" s="18" t="s">
        <v>368</v>
      </c>
      <c r="Q69" s="19"/>
      <c r="R69" s="57" t="s">
        <v>61</v>
      </c>
      <c r="S69" s="16" t="s">
        <v>67</v>
      </c>
      <c r="T69" s="16"/>
      <c r="U69" s="16"/>
      <c r="V69" s="16">
        <f>632*2</f>
        <v>1264</v>
      </c>
      <c r="W69" s="16">
        <f t="shared" si="14"/>
        <v>1264</v>
      </c>
      <c r="X69" s="16">
        <f t="shared" si="18"/>
        <v>1264</v>
      </c>
      <c r="Y69" s="16">
        <f>ROUNDDOWN(W69/HLOOKUP(D69,Table!$C$3:$D$4,2,0)*8,2)</f>
        <v>22.47</v>
      </c>
      <c r="Z69" s="16">
        <v>8</v>
      </c>
      <c r="AA69" s="16" t="s">
        <v>74</v>
      </c>
      <c r="AB69" s="20">
        <v>43958</v>
      </c>
      <c r="AC69" s="20">
        <v>43955</v>
      </c>
      <c r="AD69" s="20">
        <v>43959</v>
      </c>
      <c r="AE69" s="20">
        <v>43955</v>
      </c>
      <c r="AF69" s="20">
        <v>43955</v>
      </c>
      <c r="AG69" s="20" t="s">
        <v>335</v>
      </c>
      <c r="AH69" s="32">
        <v>1</v>
      </c>
      <c r="AI69" s="32">
        <v>1</v>
      </c>
      <c r="AJ69" s="32">
        <v>1</v>
      </c>
      <c r="AK69" s="20" t="s">
        <v>165</v>
      </c>
      <c r="AL69" s="16" t="s">
        <v>61</v>
      </c>
      <c r="AM69" s="16" t="s">
        <v>61</v>
      </c>
      <c r="AN69" s="16" t="s">
        <v>61</v>
      </c>
    </row>
    <row r="70" spans="1:40" x14ac:dyDescent="0.25">
      <c r="B70" s="45">
        <f t="shared" si="16"/>
        <v>23</v>
      </c>
      <c r="C70" s="17">
        <v>20200429</v>
      </c>
      <c r="D70" s="16" t="s">
        <v>3</v>
      </c>
      <c r="E70" s="16" t="s">
        <v>355</v>
      </c>
      <c r="F70" s="80" t="s">
        <v>1049</v>
      </c>
      <c r="G70" s="18">
        <v>1373116</v>
      </c>
      <c r="H70" s="57" t="s">
        <v>61</v>
      </c>
      <c r="I70" s="16" t="s">
        <v>796</v>
      </c>
      <c r="J70" s="57" t="s">
        <v>61</v>
      </c>
      <c r="K70" s="16" t="s">
        <v>353</v>
      </c>
      <c r="L70" s="16" t="s">
        <v>165</v>
      </c>
      <c r="M70" s="16" t="s">
        <v>165</v>
      </c>
      <c r="N70" s="16" t="s">
        <v>419</v>
      </c>
      <c r="O70" s="18" t="s">
        <v>61</v>
      </c>
      <c r="P70" s="18" t="s">
        <v>368</v>
      </c>
      <c r="Q70" s="19"/>
      <c r="R70" s="57" t="s">
        <v>61</v>
      </c>
      <c r="S70" s="16" t="s">
        <v>70</v>
      </c>
      <c r="T70" s="16"/>
      <c r="U70" s="16"/>
      <c r="V70" s="16">
        <f>162*2</f>
        <v>324</v>
      </c>
      <c r="W70" s="16">
        <f t="shared" si="14"/>
        <v>324</v>
      </c>
      <c r="X70" s="16">
        <f t="shared" si="18"/>
        <v>324</v>
      </c>
      <c r="Y70" s="16">
        <f>ROUNDDOWN(W70/HLOOKUP(D70,Table!$C$3:$D$4,2,0)*8,2)</f>
        <v>5.76</v>
      </c>
      <c r="Z70" s="16">
        <v>3</v>
      </c>
      <c r="AA70" s="16" t="s">
        <v>74</v>
      </c>
      <c r="AB70" s="20">
        <v>43958</v>
      </c>
      <c r="AC70" s="20">
        <v>43955</v>
      </c>
      <c r="AD70" s="20">
        <v>43959</v>
      </c>
      <c r="AE70" s="20">
        <v>43955</v>
      </c>
      <c r="AF70" s="20">
        <v>43955</v>
      </c>
      <c r="AG70" s="20" t="s">
        <v>335</v>
      </c>
      <c r="AH70" s="32">
        <v>1</v>
      </c>
      <c r="AI70" s="32">
        <v>1</v>
      </c>
      <c r="AJ70" s="32">
        <v>1</v>
      </c>
      <c r="AK70" s="20" t="s">
        <v>165</v>
      </c>
      <c r="AL70" s="16" t="s">
        <v>61</v>
      </c>
      <c r="AM70" s="16" t="s">
        <v>61</v>
      </c>
      <c r="AN70" s="16" t="s">
        <v>61</v>
      </c>
    </row>
    <row r="71" spans="1:40" ht="30" x14ac:dyDescent="0.25">
      <c r="B71" s="45">
        <f t="shared" si="16"/>
        <v>24</v>
      </c>
      <c r="C71" s="17">
        <v>20200429</v>
      </c>
      <c r="D71" s="16" t="s">
        <v>2</v>
      </c>
      <c r="E71" s="16" t="s">
        <v>356</v>
      </c>
      <c r="F71" s="112" t="s">
        <v>61</v>
      </c>
      <c r="G71" s="18">
        <v>1352203</v>
      </c>
      <c r="H71" s="57" t="s">
        <v>61</v>
      </c>
      <c r="I71" s="16" t="s">
        <v>359</v>
      </c>
      <c r="J71" s="57" t="s">
        <v>61</v>
      </c>
      <c r="K71" s="16" t="s">
        <v>353</v>
      </c>
      <c r="L71" s="16" t="s">
        <v>165</v>
      </c>
      <c r="M71" s="16" t="s">
        <v>165</v>
      </c>
      <c r="N71" s="16">
        <v>1352203</v>
      </c>
      <c r="O71" s="18" t="s">
        <v>365</v>
      </c>
      <c r="P71" s="18" t="s">
        <v>369</v>
      </c>
      <c r="Q71" s="19"/>
      <c r="R71" s="57" t="s">
        <v>61</v>
      </c>
      <c r="S71" s="16" t="s">
        <v>69</v>
      </c>
      <c r="T71" s="16"/>
      <c r="U71" s="16"/>
      <c r="V71" s="16">
        <f>18*2</f>
        <v>36</v>
      </c>
      <c r="W71" s="16">
        <f t="shared" si="14"/>
        <v>36</v>
      </c>
      <c r="X71" s="16">
        <f t="shared" si="18"/>
        <v>36</v>
      </c>
      <c r="Y71" s="16">
        <f>ROUNDDOWN(W71/HLOOKUP(D71,Table!$C$3:$D$4,2,0)*8,2)</f>
        <v>2.21</v>
      </c>
      <c r="Z71" s="16">
        <v>1</v>
      </c>
      <c r="AA71" s="16" t="s">
        <v>74</v>
      </c>
      <c r="AB71" s="20">
        <v>43958</v>
      </c>
      <c r="AC71" s="20">
        <v>43955</v>
      </c>
      <c r="AD71" s="20">
        <v>43959</v>
      </c>
      <c r="AE71" s="20">
        <v>43955</v>
      </c>
      <c r="AF71" s="20">
        <v>43955</v>
      </c>
      <c r="AG71" s="20" t="s">
        <v>336</v>
      </c>
      <c r="AH71" s="32">
        <v>1</v>
      </c>
      <c r="AI71" s="32">
        <v>1</v>
      </c>
      <c r="AJ71" s="32">
        <v>0.83299999999999996</v>
      </c>
      <c r="AK71" s="20" t="s">
        <v>149</v>
      </c>
      <c r="AL71" s="16" t="s">
        <v>408</v>
      </c>
      <c r="AM71" s="16"/>
      <c r="AN71" s="120" t="s">
        <v>820</v>
      </c>
    </row>
    <row r="72" spans="1:40" x14ac:dyDescent="0.25">
      <c r="B72" s="45">
        <f t="shared" si="16"/>
        <v>25</v>
      </c>
      <c r="C72" s="17">
        <v>20200429</v>
      </c>
      <c r="D72" s="16" t="s">
        <v>2</v>
      </c>
      <c r="E72" s="16" t="s">
        <v>356</v>
      </c>
      <c r="F72" s="112" t="s">
        <v>61</v>
      </c>
      <c r="G72" s="18">
        <v>1352203</v>
      </c>
      <c r="H72" s="57" t="s">
        <v>61</v>
      </c>
      <c r="I72" s="16" t="s">
        <v>360</v>
      </c>
      <c r="J72" s="57" t="s">
        <v>61</v>
      </c>
      <c r="K72" s="16" t="s">
        <v>353</v>
      </c>
      <c r="L72" s="16" t="s">
        <v>165</v>
      </c>
      <c r="M72" s="16" t="s">
        <v>165</v>
      </c>
      <c r="N72" s="16">
        <v>1352203</v>
      </c>
      <c r="O72" s="18" t="s">
        <v>362</v>
      </c>
      <c r="P72" s="18" t="s">
        <v>369</v>
      </c>
      <c r="Q72" s="19"/>
      <c r="R72" s="57" t="s">
        <v>61</v>
      </c>
      <c r="S72" s="16" t="s">
        <v>69</v>
      </c>
      <c r="T72" s="16"/>
      <c r="U72" s="16"/>
      <c r="V72" s="16">
        <f>58*2</f>
        <v>116</v>
      </c>
      <c r="W72" s="16">
        <f t="shared" si="14"/>
        <v>116</v>
      </c>
      <c r="X72" s="16">
        <f>W72</f>
        <v>116</v>
      </c>
      <c r="Y72" s="16">
        <f>ROUNDDOWN(W72/HLOOKUP(D72,Table!$C$3:$D$4,2,0)*8,2)</f>
        <v>7.13</v>
      </c>
      <c r="Z72" s="16">
        <v>8</v>
      </c>
      <c r="AA72" s="16" t="s">
        <v>74</v>
      </c>
      <c r="AB72" s="20">
        <v>43958</v>
      </c>
      <c r="AC72" s="20">
        <v>43955</v>
      </c>
      <c r="AD72" s="20">
        <v>43959</v>
      </c>
      <c r="AE72" s="20">
        <v>43957</v>
      </c>
      <c r="AF72" s="20">
        <v>43957</v>
      </c>
      <c r="AG72" s="20" t="s">
        <v>335</v>
      </c>
      <c r="AH72" s="32">
        <v>1</v>
      </c>
      <c r="AI72" s="32">
        <v>1</v>
      </c>
      <c r="AJ72" s="32">
        <v>1</v>
      </c>
      <c r="AK72" s="20" t="s">
        <v>165</v>
      </c>
      <c r="AL72" s="16"/>
      <c r="AM72" s="16"/>
      <c r="AN72" s="121" t="s">
        <v>615</v>
      </c>
    </row>
    <row r="73" spans="1:40" ht="18" customHeight="1" x14ac:dyDescent="0.25">
      <c r="B73" s="45">
        <f t="shared" si="16"/>
        <v>26</v>
      </c>
      <c r="C73" s="17">
        <v>20200429</v>
      </c>
      <c r="D73" s="16" t="s">
        <v>2</v>
      </c>
      <c r="E73" s="16" t="s">
        <v>356</v>
      </c>
      <c r="F73" s="112" t="s">
        <v>61</v>
      </c>
      <c r="G73" s="18">
        <v>1352203</v>
      </c>
      <c r="H73" s="57" t="s">
        <v>61</v>
      </c>
      <c r="I73" s="16" t="s">
        <v>361</v>
      </c>
      <c r="J73" s="57" t="s">
        <v>61</v>
      </c>
      <c r="K73" s="16" t="s">
        <v>353</v>
      </c>
      <c r="L73" s="16" t="s">
        <v>165</v>
      </c>
      <c r="M73" s="16" t="s">
        <v>165</v>
      </c>
      <c r="N73" s="16">
        <v>1352203</v>
      </c>
      <c r="O73" s="18" t="s">
        <v>363</v>
      </c>
      <c r="P73" s="18" t="s">
        <v>369</v>
      </c>
      <c r="Q73" s="19"/>
      <c r="R73" s="57" t="s">
        <v>61</v>
      </c>
      <c r="S73" s="16" t="s">
        <v>68</v>
      </c>
      <c r="T73" s="16"/>
      <c r="U73" s="16"/>
      <c r="V73" s="108">
        <v>28</v>
      </c>
      <c r="W73" s="19">
        <f>41*2</f>
        <v>82</v>
      </c>
      <c r="X73" s="16">
        <f>W73</f>
        <v>82</v>
      </c>
      <c r="Y73" s="16">
        <f>ROUNDDOWN(W73/HLOOKUP(D73,Table!$C$3:$D$4,2,0)*8,2)</f>
        <v>5.04</v>
      </c>
      <c r="Z73" s="16">
        <v>4</v>
      </c>
      <c r="AA73" s="16" t="s">
        <v>74</v>
      </c>
      <c r="AB73" s="20">
        <v>43958</v>
      </c>
      <c r="AC73" s="20">
        <v>43955</v>
      </c>
      <c r="AD73" s="20">
        <v>43959</v>
      </c>
      <c r="AE73" s="20">
        <v>43957</v>
      </c>
      <c r="AF73" s="20">
        <v>43957</v>
      </c>
      <c r="AG73" s="20" t="s">
        <v>336</v>
      </c>
      <c r="AH73" s="32">
        <v>1</v>
      </c>
      <c r="AI73" s="32">
        <v>1</v>
      </c>
      <c r="AJ73" s="32">
        <v>0.77800000000000002</v>
      </c>
      <c r="AK73" s="20" t="s">
        <v>149</v>
      </c>
      <c r="AL73" s="113" t="s">
        <v>613</v>
      </c>
      <c r="AM73" s="16"/>
      <c r="AN73" s="18" t="s">
        <v>448</v>
      </c>
    </row>
    <row r="74" spans="1:40" x14ac:dyDescent="0.25">
      <c r="B74" s="45">
        <f t="shared" si="16"/>
        <v>27</v>
      </c>
      <c r="C74" s="17">
        <v>20200429</v>
      </c>
      <c r="D74" s="16" t="s">
        <v>2</v>
      </c>
      <c r="E74" s="16" t="s">
        <v>356</v>
      </c>
      <c r="F74" s="112" t="s">
        <v>61</v>
      </c>
      <c r="G74" s="18">
        <v>1352203</v>
      </c>
      <c r="H74" s="57" t="s">
        <v>61</v>
      </c>
      <c r="I74" s="16" t="s">
        <v>441</v>
      </c>
      <c r="J74" s="57" t="s">
        <v>61</v>
      </c>
      <c r="K74" s="16" t="s">
        <v>353</v>
      </c>
      <c r="L74" s="16" t="s">
        <v>165</v>
      </c>
      <c r="M74" s="16" t="s">
        <v>165</v>
      </c>
      <c r="N74" s="16">
        <v>1352203</v>
      </c>
      <c r="O74" s="18" t="s">
        <v>364</v>
      </c>
      <c r="P74" s="18" t="s">
        <v>369</v>
      </c>
      <c r="Q74" s="19"/>
      <c r="R74" s="57" t="s">
        <v>61</v>
      </c>
      <c r="S74" s="16" t="s">
        <v>67</v>
      </c>
      <c r="T74" s="16"/>
      <c r="U74" s="16"/>
      <c r="V74" s="16">
        <f>4*2</f>
        <v>8</v>
      </c>
      <c r="W74" s="16">
        <f t="shared" si="14"/>
        <v>8</v>
      </c>
      <c r="X74" s="16">
        <v>8</v>
      </c>
      <c r="Y74" s="16">
        <f>ROUNDDOWN(W74/HLOOKUP(D74,Table!$C$3:$D$4,2,0)*8,2)</f>
        <v>0.49</v>
      </c>
      <c r="Z74" s="16">
        <v>0.5</v>
      </c>
      <c r="AA74" s="16" t="s">
        <v>74</v>
      </c>
      <c r="AB74" s="20">
        <v>43958</v>
      </c>
      <c r="AC74" s="20">
        <v>43955</v>
      </c>
      <c r="AD74" s="20">
        <v>43959</v>
      </c>
      <c r="AE74" s="20">
        <v>43957</v>
      </c>
      <c r="AF74" s="20">
        <v>43957</v>
      </c>
      <c r="AG74" s="20" t="s">
        <v>335</v>
      </c>
      <c r="AH74" s="32">
        <v>1</v>
      </c>
      <c r="AI74" s="32">
        <v>1</v>
      </c>
      <c r="AJ74" s="32">
        <v>1</v>
      </c>
      <c r="AK74" s="20" t="s">
        <v>165</v>
      </c>
      <c r="AL74" s="16" t="s">
        <v>61</v>
      </c>
      <c r="AM74" s="16" t="s">
        <v>61</v>
      </c>
      <c r="AN74" s="16" t="s">
        <v>61</v>
      </c>
    </row>
    <row r="75" spans="1:40" x14ac:dyDescent="0.25">
      <c r="B75" s="85">
        <f t="shared" si="16"/>
        <v>28</v>
      </c>
      <c r="C75" s="17">
        <v>20200429</v>
      </c>
      <c r="D75" s="16" t="s">
        <v>3</v>
      </c>
      <c r="E75" s="16" t="s">
        <v>370</v>
      </c>
      <c r="F75" s="80" t="s">
        <v>1050</v>
      </c>
      <c r="G75" s="116">
        <v>1411876</v>
      </c>
      <c r="H75" s="114" t="s">
        <v>61</v>
      </c>
      <c r="I75" s="115" t="s">
        <v>371</v>
      </c>
      <c r="J75" s="114" t="s">
        <v>61</v>
      </c>
      <c r="K75" s="115" t="s">
        <v>161</v>
      </c>
      <c r="L75" s="115" t="s">
        <v>165</v>
      </c>
      <c r="M75" s="115" t="s">
        <v>165</v>
      </c>
      <c r="N75" s="115" t="s">
        <v>420</v>
      </c>
      <c r="O75" s="116" t="s">
        <v>61</v>
      </c>
      <c r="P75" s="116" t="s">
        <v>403</v>
      </c>
      <c r="Q75" s="117"/>
      <c r="R75" s="114" t="s">
        <v>61</v>
      </c>
      <c r="S75" s="115" t="s">
        <v>68</v>
      </c>
      <c r="T75" s="115"/>
      <c r="U75" s="115"/>
      <c r="V75" s="115">
        <v>92</v>
      </c>
      <c r="W75" s="16">
        <f t="shared" si="14"/>
        <v>92</v>
      </c>
      <c r="X75" s="16">
        <f>W75</f>
        <v>92</v>
      </c>
      <c r="Y75" s="16">
        <f>ROUNDDOWN(W75/HLOOKUP(D75,Table!$C$3:$D$4,2,0)*8,2)</f>
        <v>1.63</v>
      </c>
      <c r="Z75" s="16">
        <v>1</v>
      </c>
      <c r="AA75" s="16" t="s">
        <v>74</v>
      </c>
      <c r="AB75" s="20">
        <v>43964</v>
      </c>
      <c r="AC75" s="20">
        <v>43955</v>
      </c>
      <c r="AD75" s="20">
        <v>43966</v>
      </c>
      <c r="AE75" s="20">
        <v>43959</v>
      </c>
      <c r="AF75" s="20">
        <v>43959</v>
      </c>
      <c r="AG75" s="20" t="s">
        <v>335</v>
      </c>
      <c r="AH75" s="32">
        <v>1</v>
      </c>
      <c r="AI75" s="32">
        <v>1</v>
      </c>
      <c r="AJ75" s="32">
        <v>1</v>
      </c>
      <c r="AK75" s="20" t="s">
        <v>165</v>
      </c>
      <c r="AL75" s="16" t="s">
        <v>61</v>
      </c>
      <c r="AM75" s="16" t="s">
        <v>61</v>
      </c>
      <c r="AN75" s="16" t="s">
        <v>61</v>
      </c>
    </row>
    <row r="76" spans="1:40" x14ac:dyDescent="0.25">
      <c r="B76" s="85">
        <f t="shared" si="16"/>
        <v>29</v>
      </c>
      <c r="C76" s="17">
        <v>20200429</v>
      </c>
      <c r="D76" s="16" t="s">
        <v>3</v>
      </c>
      <c r="E76" s="16" t="s">
        <v>370</v>
      </c>
      <c r="F76" s="80" t="s">
        <v>1051</v>
      </c>
      <c r="G76" s="18">
        <v>1411876</v>
      </c>
      <c r="H76" s="57" t="s">
        <v>61</v>
      </c>
      <c r="I76" s="16" t="s">
        <v>372</v>
      </c>
      <c r="J76" s="57" t="s">
        <v>61</v>
      </c>
      <c r="K76" s="16" t="s">
        <v>161</v>
      </c>
      <c r="L76" s="16" t="s">
        <v>165</v>
      </c>
      <c r="M76" s="16" t="s">
        <v>165</v>
      </c>
      <c r="N76" s="16" t="s">
        <v>420</v>
      </c>
      <c r="O76" s="18" t="s">
        <v>61</v>
      </c>
      <c r="P76" s="18" t="s">
        <v>403</v>
      </c>
      <c r="Q76" s="19"/>
      <c r="R76" s="57" t="s">
        <v>61</v>
      </c>
      <c r="S76" s="16" t="s">
        <v>67</v>
      </c>
      <c r="T76" s="16"/>
      <c r="U76" s="16"/>
      <c r="V76" s="16">
        <v>99</v>
      </c>
      <c r="W76" s="16">
        <f t="shared" si="14"/>
        <v>99</v>
      </c>
      <c r="X76" s="16">
        <v>99</v>
      </c>
      <c r="Y76" s="16">
        <f>ROUNDDOWN(W76/HLOOKUP(D76,Table!$C$3:$D$4,2,0)*8,2)</f>
        <v>1.76</v>
      </c>
      <c r="Z76" s="16">
        <v>0.5</v>
      </c>
      <c r="AA76" s="16" t="s">
        <v>74</v>
      </c>
      <c r="AB76" s="20">
        <v>43964</v>
      </c>
      <c r="AC76" s="20">
        <v>43955</v>
      </c>
      <c r="AD76" s="20">
        <v>43966</v>
      </c>
      <c r="AE76" s="20">
        <v>43956</v>
      </c>
      <c r="AF76" s="20">
        <v>43956</v>
      </c>
      <c r="AG76" s="20" t="s">
        <v>335</v>
      </c>
      <c r="AH76" s="16" t="s">
        <v>61</v>
      </c>
      <c r="AI76" s="16" t="s">
        <v>61</v>
      </c>
      <c r="AJ76" s="16" t="s">
        <v>61</v>
      </c>
      <c r="AK76" s="16" t="s">
        <v>61</v>
      </c>
      <c r="AL76" s="16" t="s">
        <v>61</v>
      </c>
      <c r="AM76" s="16" t="s">
        <v>61</v>
      </c>
      <c r="AN76" s="17" t="s">
        <v>418</v>
      </c>
    </row>
    <row r="77" spans="1:40" x14ac:dyDescent="0.25">
      <c r="B77" s="85">
        <f t="shared" si="16"/>
        <v>30</v>
      </c>
      <c r="C77" s="17">
        <v>20200429</v>
      </c>
      <c r="D77" s="16" t="s">
        <v>3</v>
      </c>
      <c r="E77" s="16" t="s">
        <v>370</v>
      </c>
      <c r="F77" s="80" t="s">
        <v>1052</v>
      </c>
      <c r="G77" s="18">
        <v>1411876</v>
      </c>
      <c r="H77" s="57" t="s">
        <v>61</v>
      </c>
      <c r="I77" s="16" t="s">
        <v>373</v>
      </c>
      <c r="J77" s="57" t="s">
        <v>61</v>
      </c>
      <c r="K77" s="16" t="s">
        <v>161</v>
      </c>
      <c r="L77" s="16" t="s">
        <v>165</v>
      </c>
      <c r="M77" s="16" t="s">
        <v>165</v>
      </c>
      <c r="N77" s="16" t="s">
        <v>420</v>
      </c>
      <c r="O77" s="18" t="s">
        <v>61</v>
      </c>
      <c r="P77" s="18" t="s">
        <v>403</v>
      </c>
      <c r="Q77" s="19"/>
      <c r="R77" s="57" t="s">
        <v>61</v>
      </c>
      <c r="S77" s="16" t="s">
        <v>67</v>
      </c>
      <c r="T77" s="16"/>
      <c r="U77" s="16"/>
      <c r="V77" s="16">
        <v>1</v>
      </c>
      <c r="W77" s="98">
        <v>16</v>
      </c>
      <c r="X77" s="16">
        <v>16</v>
      </c>
      <c r="Y77" s="16">
        <f>ROUNDDOWN(W77/HLOOKUP(D77,Table!$C$3:$D$4,2,0)*8,2)</f>
        <v>0.28000000000000003</v>
      </c>
      <c r="Z77" s="16">
        <v>0.2</v>
      </c>
      <c r="AA77" s="16" t="s">
        <v>74</v>
      </c>
      <c r="AB77" s="20">
        <v>43964</v>
      </c>
      <c r="AC77" s="20">
        <v>43955</v>
      </c>
      <c r="AD77" s="20">
        <v>43966</v>
      </c>
      <c r="AE77" s="20">
        <v>43956</v>
      </c>
      <c r="AF77" s="20">
        <v>43956</v>
      </c>
      <c r="AG77" s="20" t="s">
        <v>335</v>
      </c>
      <c r="AH77" s="32">
        <v>1</v>
      </c>
      <c r="AI77" s="32">
        <v>1</v>
      </c>
      <c r="AJ77" s="32">
        <v>1</v>
      </c>
      <c r="AK77" s="20" t="s">
        <v>165</v>
      </c>
      <c r="AL77" s="16" t="s">
        <v>61</v>
      </c>
      <c r="AM77" s="16" t="s">
        <v>61</v>
      </c>
      <c r="AN77" s="16" t="s">
        <v>61</v>
      </c>
    </row>
    <row r="78" spans="1:40" x14ac:dyDescent="0.25">
      <c r="B78" s="85">
        <f t="shared" si="16"/>
        <v>31</v>
      </c>
      <c r="C78" s="17">
        <v>20200429</v>
      </c>
      <c r="D78" s="16" t="s">
        <v>3</v>
      </c>
      <c r="E78" s="16" t="s">
        <v>370</v>
      </c>
      <c r="F78" s="80" t="s">
        <v>1053</v>
      </c>
      <c r="G78" s="18">
        <v>1411876</v>
      </c>
      <c r="H78" s="57" t="s">
        <v>61</v>
      </c>
      <c r="I78" s="16" t="s">
        <v>374</v>
      </c>
      <c r="J78" s="57" t="s">
        <v>61</v>
      </c>
      <c r="K78" s="16" t="s">
        <v>161</v>
      </c>
      <c r="L78" s="16" t="s">
        <v>165</v>
      </c>
      <c r="M78" s="16" t="s">
        <v>165</v>
      </c>
      <c r="N78" s="16" t="s">
        <v>420</v>
      </c>
      <c r="O78" s="18" t="s">
        <v>61</v>
      </c>
      <c r="P78" s="18" t="s">
        <v>403</v>
      </c>
      <c r="Q78" s="19"/>
      <c r="R78" s="57" t="s">
        <v>61</v>
      </c>
      <c r="S78" s="16" t="s">
        <v>69</v>
      </c>
      <c r="T78" s="16"/>
      <c r="U78" s="16"/>
      <c r="V78" s="16">
        <v>108</v>
      </c>
      <c r="W78" s="16">
        <f t="shared" si="14"/>
        <v>108</v>
      </c>
      <c r="X78" s="16">
        <f t="shared" ref="X78:X86" si="19">W78</f>
        <v>108</v>
      </c>
      <c r="Y78" s="16">
        <f>ROUNDDOWN(W78/HLOOKUP(D78,Table!$C$3:$D$4,2,0)*8,2)</f>
        <v>1.92</v>
      </c>
      <c r="Z78" s="16">
        <v>1</v>
      </c>
      <c r="AA78" s="16" t="s">
        <v>74</v>
      </c>
      <c r="AB78" s="20">
        <v>43964</v>
      </c>
      <c r="AC78" s="20">
        <v>43955</v>
      </c>
      <c r="AD78" s="20">
        <v>43966</v>
      </c>
      <c r="AE78" s="20">
        <v>43955</v>
      </c>
      <c r="AF78" s="20">
        <v>43955</v>
      </c>
      <c r="AG78" s="20" t="s">
        <v>336</v>
      </c>
      <c r="AH78" s="32">
        <v>0.36</v>
      </c>
      <c r="AI78" s="32">
        <v>0.31</v>
      </c>
      <c r="AJ78" s="32">
        <v>0.33</v>
      </c>
      <c r="AK78" s="20" t="s">
        <v>149</v>
      </c>
      <c r="AL78" s="16" t="s">
        <v>437</v>
      </c>
      <c r="AM78" s="16"/>
      <c r="AN78" s="152" t="s">
        <v>448</v>
      </c>
    </row>
    <row r="79" spans="1:40" x14ac:dyDescent="0.25">
      <c r="B79" s="85">
        <f t="shared" si="16"/>
        <v>32</v>
      </c>
      <c r="C79" s="17">
        <v>20200429</v>
      </c>
      <c r="D79" s="16" t="s">
        <v>3</v>
      </c>
      <c r="E79" s="16" t="s">
        <v>370</v>
      </c>
      <c r="F79" s="80" t="s">
        <v>1054</v>
      </c>
      <c r="G79" s="18">
        <v>1411876</v>
      </c>
      <c r="H79" s="57" t="s">
        <v>61</v>
      </c>
      <c r="I79" s="16" t="s">
        <v>375</v>
      </c>
      <c r="J79" s="57" t="s">
        <v>61</v>
      </c>
      <c r="K79" s="16" t="s">
        <v>161</v>
      </c>
      <c r="L79" s="16" t="s">
        <v>165</v>
      </c>
      <c r="M79" s="16" t="s">
        <v>165</v>
      </c>
      <c r="N79" s="16" t="s">
        <v>420</v>
      </c>
      <c r="O79" s="18" t="s">
        <v>61</v>
      </c>
      <c r="P79" s="18" t="s">
        <v>403</v>
      </c>
      <c r="Q79" s="19"/>
      <c r="R79" s="57" t="s">
        <v>61</v>
      </c>
      <c r="S79" s="16" t="s">
        <v>70</v>
      </c>
      <c r="T79" s="16"/>
      <c r="U79" s="16"/>
      <c r="V79" s="16">
        <v>159</v>
      </c>
      <c r="W79" s="16">
        <f t="shared" si="14"/>
        <v>159</v>
      </c>
      <c r="X79" s="16">
        <f t="shared" si="19"/>
        <v>159</v>
      </c>
      <c r="Y79" s="16">
        <f>ROUNDDOWN(W79/HLOOKUP(D79,Table!$C$3:$D$4,2,0)*8,2)</f>
        <v>2.82</v>
      </c>
      <c r="Z79" s="16">
        <v>1</v>
      </c>
      <c r="AA79" s="16" t="s">
        <v>74</v>
      </c>
      <c r="AB79" s="20">
        <v>43964</v>
      </c>
      <c r="AC79" s="20">
        <v>43955</v>
      </c>
      <c r="AD79" s="20">
        <v>43966</v>
      </c>
      <c r="AE79" s="20">
        <v>43956</v>
      </c>
      <c r="AF79" s="20">
        <v>43956</v>
      </c>
      <c r="AG79" s="20" t="s">
        <v>335</v>
      </c>
      <c r="AH79" s="32">
        <v>1</v>
      </c>
      <c r="AI79" s="32">
        <v>1</v>
      </c>
      <c r="AJ79" s="32">
        <v>1</v>
      </c>
      <c r="AK79" s="20" t="s">
        <v>165</v>
      </c>
      <c r="AL79" s="16" t="s">
        <v>61</v>
      </c>
      <c r="AM79" s="16" t="s">
        <v>61</v>
      </c>
      <c r="AN79" s="16" t="s">
        <v>61</v>
      </c>
    </row>
    <row r="80" spans="1:40" x14ac:dyDescent="0.25">
      <c r="B80" s="85">
        <f t="shared" si="16"/>
        <v>33</v>
      </c>
      <c r="C80" s="17">
        <v>20200429</v>
      </c>
      <c r="D80" s="16" t="s">
        <v>3</v>
      </c>
      <c r="E80" s="16" t="s">
        <v>370</v>
      </c>
      <c r="F80" s="80" t="s">
        <v>1054</v>
      </c>
      <c r="G80" s="116">
        <v>1411876</v>
      </c>
      <c r="H80" s="114" t="s">
        <v>61</v>
      </c>
      <c r="I80" s="115" t="s">
        <v>376</v>
      </c>
      <c r="J80" s="114" t="s">
        <v>61</v>
      </c>
      <c r="K80" s="115" t="s">
        <v>161</v>
      </c>
      <c r="L80" s="115" t="s">
        <v>165</v>
      </c>
      <c r="M80" s="115" t="s">
        <v>165</v>
      </c>
      <c r="N80" s="115" t="s">
        <v>420</v>
      </c>
      <c r="O80" s="116" t="s">
        <v>61</v>
      </c>
      <c r="P80" s="116" t="s">
        <v>403</v>
      </c>
      <c r="Q80" s="117"/>
      <c r="R80" s="114" t="s">
        <v>61</v>
      </c>
      <c r="S80" s="115" t="s">
        <v>68</v>
      </c>
      <c r="T80" s="115"/>
      <c r="U80" s="115"/>
      <c r="V80" s="115">
        <v>51</v>
      </c>
      <c r="W80" s="16">
        <f t="shared" si="14"/>
        <v>51</v>
      </c>
      <c r="X80" s="16">
        <f t="shared" si="19"/>
        <v>51</v>
      </c>
      <c r="Y80" s="16">
        <f>ROUNDDOWN(W80/HLOOKUP(D80,Table!$C$3:$D$4,2,0)*8,2)</f>
        <v>0.9</v>
      </c>
      <c r="Z80" s="16">
        <v>1</v>
      </c>
      <c r="AA80" s="16" t="s">
        <v>74</v>
      </c>
      <c r="AB80" s="20">
        <v>43964</v>
      </c>
      <c r="AC80" s="20">
        <v>43955</v>
      </c>
      <c r="AD80" s="20">
        <v>43966</v>
      </c>
      <c r="AE80" s="20">
        <v>43959</v>
      </c>
      <c r="AF80" s="20">
        <v>43959</v>
      </c>
      <c r="AG80" s="20" t="s">
        <v>335</v>
      </c>
      <c r="AH80" s="32">
        <v>1</v>
      </c>
      <c r="AI80" s="32">
        <v>1</v>
      </c>
      <c r="AJ80" s="32">
        <v>1</v>
      </c>
      <c r="AK80" s="20" t="s">
        <v>165</v>
      </c>
      <c r="AL80" s="16" t="s">
        <v>61</v>
      </c>
      <c r="AM80" s="16" t="s">
        <v>61</v>
      </c>
      <c r="AN80" s="16" t="s">
        <v>61</v>
      </c>
    </row>
    <row r="81" spans="2:40" x14ac:dyDescent="0.25">
      <c r="B81" s="85">
        <f t="shared" si="16"/>
        <v>34</v>
      </c>
      <c r="C81" s="17">
        <v>20200429</v>
      </c>
      <c r="D81" s="16" t="s">
        <v>3</v>
      </c>
      <c r="E81" s="16" t="s">
        <v>370</v>
      </c>
      <c r="F81" s="80" t="s">
        <v>1054</v>
      </c>
      <c r="G81" s="18">
        <v>1411876</v>
      </c>
      <c r="H81" s="57" t="s">
        <v>61</v>
      </c>
      <c r="I81" s="16" t="s">
        <v>377</v>
      </c>
      <c r="J81" s="57" t="s">
        <v>61</v>
      </c>
      <c r="K81" s="16" t="s">
        <v>161</v>
      </c>
      <c r="L81" s="16" t="s">
        <v>165</v>
      </c>
      <c r="M81" s="16" t="s">
        <v>165</v>
      </c>
      <c r="N81" s="16" t="s">
        <v>420</v>
      </c>
      <c r="O81" s="18" t="s">
        <v>61</v>
      </c>
      <c r="P81" s="18" t="s">
        <v>403</v>
      </c>
      <c r="Q81" s="19"/>
      <c r="R81" s="57" t="s">
        <v>61</v>
      </c>
      <c r="S81" s="16" t="s">
        <v>70</v>
      </c>
      <c r="T81" s="16"/>
      <c r="U81" s="16"/>
      <c r="V81" s="16">
        <v>44</v>
      </c>
      <c r="W81" s="16">
        <f t="shared" si="14"/>
        <v>44</v>
      </c>
      <c r="X81" s="16">
        <f t="shared" si="19"/>
        <v>44</v>
      </c>
      <c r="Y81" s="16">
        <f>ROUNDDOWN(W81/HLOOKUP(D81,Table!$C$3:$D$4,2,0)*8,2)</f>
        <v>0.78</v>
      </c>
      <c r="Z81" s="16">
        <v>1</v>
      </c>
      <c r="AA81" s="16" t="s">
        <v>74</v>
      </c>
      <c r="AB81" s="20">
        <v>43964</v>
      </c>
      <c r="AC81" s="20">
        <v>43955</v>
      </c>
      <c r="AD81" s="20">
        <v>43966</v>
      </c>
      <c r="AE81" s="20">
        <v>43955</v>
      </c>
      <c r="AF81" s="20">
        <v>43955</v>
      </c>
      <c r="AG81" s="20" t="s">
        <v>335</v>
      </c>
      <c r="AH81" s="32">
        <v>1</v>
      </c>
      <c r="AI81" s="32">
        <v>1</v>
      </c>
      <c r="AJ81" s="32">
        <v>1</v>
      </c>
      <c r="AK81" s="20" t="s">
        <v>165</v>
      </c>
      <c r="AL81" s="16" t="s">
        <v>61</v>
      </c>
      <c r="AM81" s="16" t="s">
        <v>61</v>
      </c>
      <c r="AN81" s="16" t="s">
        <v>61</v>
      </c>
    </row>
    <row r="82" spans="2:40" x14ac:dyDescent="0.25">
      <c r="B82" s="85">
        <f t="shared" si="16"/>
        <v>35</v>
      </c>
      <c r="C82" s="17">
        <v>20200429</v>
      </c>
      <c r="D82" s="16" t="s">
        <v>3</v>
      </c>
      <c r="E82" s="16" t="s">
        <v>370</v>
      </c>
      <c r="F82" s="80" t="s">
        <v>1054</v>
      </c>
      <c r="G82" s="18">
        <v>1411876</v>
      </c>
      <c r="H82" s="57" t="s">
        <v>61</v>
      </c>
      <c r="I82" s="16" t="s">
        <v>378</v>
      </c>
      <c r="J82" s="57" t="s">
        <v>61</v>
      </c>
      <c r="K82" s="16" t="s">
        <v>161</v>
      </c>
      <c r="L82" s="16" t="s">
        <v>165</v>
      </c>
      <c r="M82" s="16" t="s">
        <v>165</v>
      </c>
      <c r="N82" s="16" t="s">
        <v>420</v>
      </c>
      <c r="O82" s="18" t="s">
        <v>61</v>
      </c>
      <c r="P82" s="18" t="s">
        <v>403</v>
      </c>
      <c r="Q82" s="19"/>
      <c r="R82" s="57" t="s">
        <v>61</v>
      </c>
      <c r="S82" s="16" t="s">
        <v>70</v>
      </c>
      <c r="T82" s="16"/>
      <c r="U82" s="16"/>
      <c r="V82" s="16">
        <v>119</v>
      </c>
      <c r="W82" s="16">
        <f t="shared" si="14"/>
        <v>119</v>
      </c>
      <c r="X82" s="16">
        <f t="shared" si="19"/>
        <v>119</v>
      </c>
      <c r="Y82" s="16">
        <f>ROUNDDOWN(W82/HLOOKUP(D82,Table!$C$3:$D$4,2,0)*8,2)</f>
        <v>2.11</v>
      </c>
      <c r="Z82" s="16">
        <v>2</v>
      </c>
      <c r="AA82" s="16" t="s">
        <v>74</v>
      </c>
      <c r="AB82" s="20">
        <v>43964</v>
      </c>
      <c r="AC82" s="20">
        <v>43955</v>
      </c>
      <c r="AD82" s="20">
        <v>43966</v>
      </c>
      <c r="AE82" s="20">
        <v>43955</v>
      </c>
      <c r="AF82" s="20">
        <v>43955</v>
      </c>
      <c r="AG82" s="20" t="s">
        <v>336</v>
      </c>
      <c r="AH82" s="32">
        <v>1</v>
      </c>
      <c r="AI82" s="32">
        <v>0.96</v>
      </c>
      <c r="AJ82" s="32">
        <v>1</v>
      </c>
      <c r="AK82" s="20" t="s">
        <v>164</v>
      </c>
      <c r="AL82" s="18" t="s">
        <v>421</v>
      </c>
      <c r="AM82" s="16" t="s">
        <v>61</v>
      </c>
      <c r="AN82" s="189" t="s">
        <v>1176</v>
      </c>
    </row>
    <row r="83" spans="2:40" x14ac:dyDescent="0.25">
      <c r="B83" s="85">
        <f t="shared" si="16"/>
        <v>36</v>
      </c>
      <c r="C83" s="17">
        <v>20200429</v>
      </c>
      <c r="D83" s="16" t="s">
        <v>3</v>
      </c>
      <c r="E83" s="16" t="s">
        <v>370</v>
      </c>
      <c r="F83" s="80" t="s">
        <v>1054</v>
      </c>
      <c r="G83" s="18">
        <v>1411876</v>
      </c>
      <c r="H83" s="57" t="s">
        <v>61</v>
      </c>
      <c r="I83" s="16" t="s">
        <v>379</v>
      </c>
      <c r="J83" s="57" t="s">
        <v>61</v>
      </c>
      <c r="K83" s="16" t="s">
        <v>161</v>
      </c>
      <c r="L83" s="16" t="s">
        <v>165</v>
      </c>
      <c r="M83" s="16" t="s">
        <v>165</v>
      </c>
      <c r="N83" s="16" t="s">
        <v>420</v>
      </c>
      <c r="O83" s="18" t="s">
        <v>61</v>
      </c>
      <c r="P83" s="18" t="s">
        <v>403</v>
      </c>
      <c r="Q83" s="19"/>
      <c r="R83" s="57" t="s">
        <v>61</v>
      </c>
      <c r="S83" s="16" t="s">
        <v>69</v>
      </c>
      <c r="T83" s="16"/>
      <c r="U83" s="16"/>
      <c r="V83" s="16">
        <v>131</v>
      </c>
      <c r="W83" s="16">
        <f t="shared" si="14"/>
        <v>131</v>
      </c>
      <c r="X83" s="16">
        <f t="shared" si="19"/>
        <v>131</v>
      </c>
      <c r="Y83" s="16">
        <f>ROUNDDOWN(W83/HLOOKUP(D83,Table!$C$3:$D$4,2,0)*8,2)</f>
        <v>2.3199999999999998</v>
      </c>
      <c r="Z83" s="16">
        <v>1</v>
      </c>
      <c r="AA83" s="16" t="s">
        <v>74</v>
      </c>
      <c r="AB83" s="20">
        <v>43964</v>
      </c>
      <c r="AC83" s="20">
        <v>43955</v>
      </c>
      <c r="AD83" s="20">
        <v>43966</v>
      </c>
      <c r="AE83" s="20">
        <v>43956</v>
      </c>
      <c r="AF83" s="20">
        <v>43956</v>
      </c>
      <c r="AG83" s="20" t="s">
        <v>335</v>
      </c>
      <c r="AH83" s="32">
        <v>1</v>
      </c>
      <c r="AI83" s="32">
        <v>1</v>
      </c>
      <c r="AJ83" s="32">
        <v>1</v>
      </c>
      <c r="AK83" s="20" t="s">
        <v>165</v>
      </c>
      <c r="AL83" s="16" t="s">
        <v>61</v>
      </c>
      <c r="AM83" s="16" t="s">
        <v>61</v>
      </c>
      <c r="AN83" s="16" t="s">
        <v>61</v>
      </c>
    </row>
    <row r="84" spans="2:40" x14ac:dyDescent="0.25">
      <c r="B84" s="85">
        <f t="shared" si="16"/>
        <v>37</v>
      </c>
      <c r="C84" s="17">
        <v>20200429</v>
      </c>
      <c r="D84" s="16" t="s">
        <v>3</v>
      </c>
      <c r="E84" s="16" t="s">
        <v>370</v>
      </c>
      <c r="F84" s="80" t="s">
        <v>1054</v>
      </c>
      <c r="G84" s="18">
        <v>1411876</v>
      </c>
      <c r="H84" s="57" t="s">
        <v>61</v>
      </c>
      <c r="I84" s="16" t="s">
        <v>380</v>
      </c>
      <c r="J84" s="57" t="s">
        <v>61</v>
      </c>
      <c r="K84" s="16" t="s">
        <v>161</v>
      </c>
      <c r="L84" s="16" t="s">
        <v>165</v>
      </c>
      <c r="M84" s="16" t="s">
        <v>165</v>
      </c>
      <c r="N84" s="16" t="s">
        <v>420</v>
      </c>
      <c r="O84" s="18" t="s">
        <v>61</v>
      </c>
      <c r="P84" s="18" t="s">
        <v>403</v>
      </c>
      <c r="Q84" s="19"/>
      <c r="R84" s="57" t="s">
        <v>61</v>
      </c>
      <c r="S84" s="16" t="s">
        <v>70</v>
      </c>
      <c r="T84" s="16"/>
      <c r="U84" s="16"/>
      <c r="V84" s="16">
        <v>265</v>
      </c>
      <c r="W84" s="16">
        <f t="shared" si="14"/>
        <v>265</v>
      </c>
      <c r="X84" s="16">
        <f t="shared" si="19"/>
        <v>265</v>
      </c>
      <c r="Y84" s="16">
        <f>ROUNDDOWN(W84/HLOOKUP(D84,Table!$C$3:$D$4,2,0)*8,2)</f>
        <v>4.71</v>
      </c>
      <c r="Z84" s="16">
        <v>3</v>
      </c>
      <c r="AA84" s="16" t="s">
        <v>74</v>
      </c>
      <c r="AB84" s="20">
        <v>43964</v>
      </c>
      <c r="AC84" s="20">
        <v>43955</v>
      </c>
      <c r="AD84" s="20">
        <v>43966</v>
      </c>
      <c r="AE84" s="20">
        <v>43955</v>
      </c>
      <c r="AF84" s="20">
        <v>43955</v>
      </c>
      <c r="AG84" s="20" t="s">
        <v>335</v>
      </c>
      <c r="AH84" s="32">
        <v>1</v>
      </c>
      <c r="AI84" s="32">
        <v>1</v>
      </c>
      <c r="AJ84" s="32">
        <v>1</v>
      </c>
      <c r="AK84" s="20" t="s">
        <v>165</v>
      </c>
      <c r="AL84" s="16" t="s">
        <v>61</v>
      </c>
      <c r="AM84" s="16" t="s">
        <v>61</v>
      </c>
      <c r="AN84" s="16" t="s">
        <v>61</v>
      </c>
    </row>
    <row r="85" spans="2:40" x14ac:dyDescent="0.25">
      <c r="B85" s="85">
        <f t="shared" si="16"/>
        <v>38</v>
      </c>
      <c r="C85" s="17">
        <v>20200429</v>
      </c>
      <c r="D85" s="16" t="s">
        <v>3</v>
      </c>
      <c r="E85" s="16" t="s">
        <v>370</v>
      </c>
      <c r="F85" s="80" t="s">
        <v>1054</v>
      </c>
      <c r="G85" s="18">
        <v>1411876</v>
      </c>
      <c r="H85" s="57" t="s">
        <v>61</v>
      </c>
      <c r="I85" s="16" t="s">
        <v>381</v>
      </c>
      <c r="J85" s="57" t="s">
        <v>61</v>
      </c>
      <c r="K85" s="16" t="s">
        <v>161</v>
      </c>
      <c r="L85" s="16" t="s">
        <v>165</v>
      </c>
      <c r="M85" s="16" t="s">
        <v>165</v>
      </c>
      <c r="N85" s="16" t="s">
        <v>420</v>
      </c>
      <c r="O85" s="18" t="s">
        <v>61</v>
      </c>
      <c r="P85" s="18" t="s">
        <v>403</v>
      </c>
      <c r="Q85" s="19"/>
      <c r="R85" s="57" t="s">
        <v>61</v>
      </c>
      <c r="S85" s="16" t="s">
        <v>70</v>
      </c>
      <c r="T85" s="16"/>
      <c r="U85" s="16"/>
      <c r="V85" s="16">
        <v>368</v>
      </c>
      <c r="W85" s="16">
        <f t="shared" si="14"/>
        <v>368</v>
      </c>
      <c r="X85" s="16">
        <f t="shared" si="19"/>
        <v>368</v>
      </c>
      <c r="Y85" s="16">
        <f>ROUNDDOWN(W85/HLOOKUP(D85,Table!$C$3:$D$4,2,0)*8,2)</f>
        <v>6.54</v>
      </c>
      <c r="Z85" s="16">
        <v>6</v>
      </c>
      <c r="AA85" s="16" t="s">
        <v>74</v>
      </c>
      <c r="AB85" s="20">
        <v>43964</v>
      </c>
      <c r="AC85" s="20">
        <v>43955</v>
      </c>
      <c r="AD85" s="20">
        <v>43966</v>
      </c>
      <c r="AE85" s="20">
        <v>43956</v>
      </c>
      <c r="AF85" s="20">
        <v>43956</v>
      </c>
      <c r="AG85" s="20" t="s">
        <v>336</v>
      </c>
      <c r="AH85" s="32">
        <v>1</v>
      </c>
      <c r="AI85" s="32">
        <v>0.99</v>
      </c>
      <c r="AJ85" s="32">
        <v>1</v>
      </c>
      <c r="AK85" s="20" t="s">
        <v>149</v>
      </c>
      <c r="AL85" s="18" t="s">
        <v>439</v>
      </c>
      <c r="AM85" s="16"/>
      <c r="AN85" s="152" t="s">
        <v>448</v>
      </c>
    </row>
    <row r="86" spans="2:40" x14ac:dyDescent="0.25">
      <c r="B86" s="85">
        <f t="shared" si="16"/>
        <v>39</v>
      </c>
      <c r="C86" s="17">
        <v>20200429</v>
      </c>
      <c r="D86" s="16" t="s">
        <v>3</v>
      </c>
      <c r="E86" s="16" t="s">
        <v>370</v>
      </c>
      <c r="F86" s="80" t="s">
        <v>1054</v>
      </c>
      <c r="G86" s="18">
        <v>1411876</v>
      </c>
      <c r="H86" s="57" t="s">
        <v>61</v>
      </c>
      <c r="I86" s="16" t="s">
        <v>382</v>
      </c>
      <c r="J86" s="57" t="s">
        <v>61</v>
      </c>
      <c r="K86" s="16" t="s">
        <v>161</v>
      </c>
      <c r="L86" s="16" t="s">
        <v>165</v>
      </c>
      <c r="M86" s="16" t="s">
        <v>165</v>
      </c>
      <c r="N86" s="16" t="s">
        <v>420</v>
      </c>
      <c r="O86" s="18" t="s">
        <v>61</v>
      </c>
      <c r="P86" s="18" t="s">
        <v>403</v>
      </c>
      <c r="Q86" s="19"/>
      <c r="R86" s="57" t="s">
        <v>61</v>
      </c>
      <c r="S86" s="16" t="s">
        <v>67</v>
      </c>
      <c r="T86" s="16"/>
      <c r="U86" s="16"/>
      <c r="V86" s="16">
        <v>195</v>
      </c>
      <c r="W86" s="16">
        <f t="shared" si="14"/>
        <v>195</v>
      </c>
      <c r="X86" s="16">
        <f t="shared" si="19"/>
        <v>195</v>
      </c>
      <c r="Y86" s="16">
        <f>ROUNDDOWN(W86/HLOOKUP(D86,Table!$C$3:$D$4,2,0)*8,2)</f>
        <v>3.46</v>
      </c>
      <c r="Z86" s="16">
        <v>5</v>
      </c>
      <c r="AA86" s="16" t="s">
        <v>74</v>
      </c>
      <c r="AB86" s="20">
        <v>43964</v>
      </c>
      <c r="AC86" s="20">
        <v>43955</v>
      </c>
      <c r="AD86" s="20">
        <v>43966</v>
      </c>
      <c r="AE86" s="20">
        <v>43959</v>
      </c>
      <c r="AF86" s="20">
        <v>43959</v>
      </c>
      <c r="AG86" s="20" t="s">
        <v>336</v>
      </c>
      <c r="AH86" s="32">
        <v>0.98</v>
      </c>
      <c r="AI86" s="32">
        <v>0.97</v>
      </c>
      <c r="AJ86" s="32">
        <v>1</v>
      </c>
      <c r="AK86" s="20" t="s">
        <v>149</v>
      </c>
      <c r="AL86" s="16" t="s">
        <v>598</v>
      </c>
      <c r="AM86" s="16" t="s">
        <v>61</v>
      </c>
      <c r="AN86" s="152" t="s">
        <v>448</v>
      </c>
    </row>
    <row r="87" spans="2:40" x14ac:dyDescent="0.25">
      <c r="B87" s="85">
        <f t="shared" si="16"/>
        <v>40</v>
      </c>
      <c r="C87" s="17">
        <v>20200429</v>
      </c>
      <c r="D87" s="16" t="s">
        <v>3</v>
      </c>
      <c r="E87" s="16" t="s">
        <v>370</v>
      </c>
      <c r="F87" s="80" t="s">
        <v>1054</v>
      </c>
      <c r="G87" s="18">
        <v>1411876</v>
      </c>
      <c r="H87" s="57" t="s">
        <v>61</v>
      </c>
      <c r="I87" s="16" t="s">
        <v>383</v>
      </c>
      <c r="J87" s="57" t="s">
        <v>61</v>
      </c>
      <c r="K87" s="16" t="s">
        <v>161</v>
      </c>
      <c r="L87" s="16" t="s">
        <v>165</v>
      </c>
      <c r="M87" s="16" t="s">
        <v>165</v>
      </c>
      <c r="N87" s="16" t="s">
        <v>420</v>
      </c>
      <c r="O87" s="18" t="s">
        <v>61</v>
      </c>
      <c r="P87" s="18" t="s">
        <v>403</v>
      </c>
      <c r="Q87" s="19"/>
      <c r="R87" s="57" t="s">
        <v>61</v>
      </c>
      <c r="S87" s="16" t="s">
        <v>68</v>
      </c>
      <c r="T87" s="16"/>
      <c r="U87" s="16"/>
      <c r="V87" s="16">
        <v>351</v>
      </c>
      <c r="W87" s="16">
        <f t="shared" si="14"/>
        <v>351</v>
      </c>
      <c r="X87" s="16">
        <f t="shared" ref="X87:X93" si="20">W87</f>
        <v>351</v>
      </c>
      <c r="Y87" s="16">
        <f>ROUNDDOWN(W87/HLOOKUP(D87,Table!$C$3:$D$4,2,0)*8,2)</f>
        <v>6.24</v>
      </c>
      <c r="Z87" s="16">
        <v>6</v>
      </c>
      <c r="AA87" s="16" t="s">
        <v>74</v>
      </c>
      <c r="AB87" s="20">
        <v>43964</v>
      </c>
      <c r="AC87" s="20">
        <v>43955</v>
      </c>
      <c r="AD87" s="20">
        <v>43966</v>
      </c>
      <c r="AE87" s="20">
        <v>43955</v>
      </c>
      <c r="AF87" s="20">
        <v>43955</v>
      </c>
      <c r="AG87" s="20" t="s">
        <v>335</v>
      </c>
      <c r="AH87" s="32">
        <v>1</v>
      </c>
      <c r="AI87" s="32">
        <v>1</v>
      </c>
      <c r="AJ87" s="32">
        <v>1</v>
      </c>
      <c r="AK87" s="20" t="s">
        <v>165</v>
      </c>
      <c r="AL87" s="16" t="s">
        <v>61</v>
      </c>
      <c r="AM87" s="16" t="s">
        <v>61</v>
      </c>
      <c r="AN87" s="16" t="s">
        <v>61</v>
      </c>
    </row>
    <row r="88" spans="2:40" x14ac:dyDescent="0.25">
      <c r="B88" s="85">
        <f t="shared" si="16"/>
        <v>41</v>
      </c>
      <c r="C88" s="17">
        <v>20200429</v>
      </c>
      <c r="D88" s="16" t="s">
        <v>3</v>
      </c>
      <c r="E88" s="16" t="s">
        <v>370</v>
      </c>
      <c r="F88" s="80" t="s">
        <v>1054</v>
      </c>
      <c r="G88" s="18">
        <v>1411876</v>
      </c>
      <c r="H88" s="57" t="s">
        <v>61</v>
      </c>
      <c r="I88" s="16" t="s">
        <v>384</v>
      </c>
      <c r="J88" s="57" t="s">
        <v>61</v>
      </c>
      <c r="K88" s="16" t="s">
        <v>161</v>
      </c>
      <c r="L88" s="16" t="s">
        <v>165</v>
      </c>
      <c r="M88" s="16" t="s">
        <v>165</v>
      </c>
      <c r="N88" s="16" t="s">
        <v>420</v>
      </c>
      <c r="O88" s="18" t="s">
        <v>61</v>
      </c>
      <c r="P88" s="18" t="s">
        <v>403</v>
      </c>
      <c r="Q88" s="19"/>
      <c r="R88" s="57" t="s">
        <v>61</v>
      </c>
      <c r="S88" s="16" t="s">
        <v>69</v>
      </c>
      <c r="T88" s="16"/>
      <c r="U88" s="16"/>
      <c r="V88" s="16">
        <v>164</v>
      </c>
      <c r="W88" s="16">
        <f t="shared" si="14"/>
        <v>164</v>
      </c>
      <c r="X88" s="16">
        <f t="shared" si="20"/>
        <v>164</v>
      </c>
      <c r="Y88" s="16">
        <f>ROUNDDOWN(W88/HLOOKUP(D88,Table!$C$3:$D$4,2,0)*8,2)</f>
        <v>2.91</v>
      </c>
      <c r="Z88" s="16">
        <v>2</v>
      </c>
      <c r="AA88" s="16" t="s">
        <v>74</v>
      </c>
      <c r="AB88" s="20">
        <v>43964</v>
      </c>
      <c r="AC88" s="20">
        <v>43955</v>
      </c>
      <c r="AD88" s="20">
        <v>43966</v>
      </c>
      <c r="AE88" s="20">
        <v>43955</v>
      </c>
      <c r="AF88" s="20">
        <v>43955</v>
      </c>
      <c r="AG88" s="20" t="s">
        <v>336</v>
      </c>
      <c r="AH88" s="32">
        <v>1</v>
      </c>
      <c r="AI88" s="32">
        <v>0.96</v>
      </c>
      <c r="AJ88" s="32">
        <v>0.5</v>
      </c>
      <c r="AK88" s="20" t="s">
        <v>149</v>
      </c>
      <c r="AL88" s="16" t="s">
        <v>470</v>
      </c>
      <c r="AM88" s="16"/>
      <c r="AN88" s="152" t="s">
        <v>448</v>
      </c>
    </row>
    <row r="89" spans="2:40" x14ac:dyDescent="0.25">
      <c r="B89" s="85">
        <f t="shared" si="16"/>
        <v>42</v>
      </c>
      <c r="C89" s="17">
        <v>20200429</v>
      </c>
      <c r="D89" s="16" t="s">
        <v>3</v>
      </c>
      <c r="E89" s="16" t="s">
        <v>370</v>
      </c>
      <c r="F89" s="80" t="s">
        <v>1054</v>
      </c>
      <c r="G89" s="18">
        <v>1411876</v>
      </c>
      <c r="H89" s="57" t="s">
        <v>61</v>
      </c>
      <c r="I89" s="16" t="s">
        <v>385</v>
      </c>
      <c r="J89" s="57" t="s">
        <v>61</v>
      </c>
      <c r="K89" s="16" t="s">
        <v>161</v>
      </c>
      <c r="L89" s="16" t="s">
        <v>165</v>
      </c>
      <c r="M89" s="16" t="s">
        <v>165</v>
      </c>
      <c r="N89" s="16" t="s">
        <v>420</v>
      </c>
      <c r="O89" s="18" t="s">
        <v>61</v>
      </c>
      <c r="P89" s="18" t="s">
        <v>403</v>
      </c>
      <c r="Q89" s="19"/>
      <c r="R89" s="57" t="s">
        <v>61</v>
      </c>
      <c r="S89" s="16" t="s">
        <v>69</v>
      </c>
      <c r="T89" s="16"/>
      <c r="U89" s="16"/>
      <c r="V89" s="16">
        <v>24</v>
      </c>
      <c r="W89" s="16">
        <f t="shared" si="14"/>
        <v>24</v>
      </c>
      <c r="X89" s="16">
        <f t="shared" si="20"/>
        <v>24</v>
      </c>
      <c r="Y89" s="16">
        <f>ROUNDDOWN(W89/HLOOKUP(D89,Table!$C$3:$D$4,2,0)*8,2)</f>
        <v>0.42</v>
      </c>
      <c r="Z89" s="16">
        <f>0.4</f>
        <v>0.4</v>
      </c>
      <c r="AA89" s="16" t="s">
        <v>74</v>
      </c>
      <c r="AB89" s="20">
        <v>43964</v>
      </c>
      <c r="AC89" s="20">
        <v>43955</v>
      </c>
      <c r="AD89" s="20">
        <v>43966</v>
      </c>
      <c r="AE89" s="20">
        <v>43955</v>
      </c>
      <c r="AF89" s="20">
        <v>43955</v>
      </c>
      <c r="AG89" s="20" t="s">
        <v>335</v>
      </c>
      <c r="AH89" s="32">
        <v>1</v>
      </c>
      <c r="AI89" s="32">
        <v>1</v>
      </c>
      <c r="AJ89" s="32">
        <v>1</v>
      </c>
      <c r="AK89" s="20" t="s">
        <v>165</v>
      </c>
      <c r="AL89" s="16" t="s">
        <v>61</v>
      </c>
      <c r="AM89" s="16" t="s">
        <v>61</v>
      </c>
      <c r="AN89" s="16" t="s">
        <v>61</v>
      </c>
    </row>
    <row r="90" spans="2:40" x14ac:dyDescent="0.25">
      <c r="B90" s="85">
        <f t="shared" si="16"/>
        <v>43</v>
      </c>
      <c r="C90" s="17">
        <v>20200429</v>
      </c>
      <c r="D90" s="16" t="s">
        <v>3</v>
      </c>
      <c r="E90" s="16" t="s">
        <v>370</v>
      </c>
      <c r="F90" s="80" t="s">
        <v>1054</v>
      </c>
      <c r="G90" s="18">
        <v>1411876</v>
      </c>
      <c r="H90" s="57" t="s">
        <v>61</v>
      </c>
      <c r="I90" s="16" t="s">
        <v>386</v>
      </c>
      <c r="J90" s="57" t="s">
        <v>61</v>
      </c>
      <c r="K90" s="16" t="s">
        <v>161</v>
      </c>
      <c r="L90" s="16" t="s">
        <v>165</v>
      </c>
      <c r="M90" s="16" t="s">
        <v>165</v>
      </c>
      <c r="N90" s="16" t="s">
        <v>420</v>
      </c>
      <c r="O90" s="18" t="s">
        <v>61</v>
      </c>
      <c r="P90" s="18" t="s">
        <v>403</v>
      </c>
      <c r="Q90" s="19"/>
      <c r="R90" s="57" t="s">
        <v>61</v>
      </c>
      <c r="S90" s="16" t="s">
        <v>69</v>
      </c>
      <c r="T90" s="16"/>
      <c r="U90" s="16"/>
      <c r="V90" s="16">
        <v>182</v>
      </c>
      <c r="W90" s="16">
        <f t="shared" si="14"/>
        <v>182</v>
      </c>
      <c r="X90" s="16">
        <f t="shared" si="20"/>
        <v>182</v>
      </c>
      <c r="Y90" s="16">
        <f>ROUNDDOWN(W90/HLOOKUP(D90,Table!$C$3:$D$4,2,0)*8,2)</f>
        <v>3.23</v>
      </c>
      <c r="Z90" s="16">
        <v>2</v>
      </c>
      <c r="AA90" s="16" t="s">
        <v>74</v>
      </c>
      <c r="AB90" s="20">
        <v>43964</v>
      </c>
      <c r="AC90" s="20">
        <v>43955</v>
      </c>
      <c r="AD90" s="20">
        <v>43966</v>
      </c>
      <c r="AE90" s="20">
        <v>43955</v>
      </c>
      <c r="AF90" s="20">
        <v>43955</v>
      </c>
      <c r="AG90" s="20" t="s">
        <v>335</v>
      </c>
      <c r="AH90" s="32">
        <v>1</v>
      </c>
      <c r="AI90" s="32">
        <v>1</v>
      </c>
      <c r="AJ90" s="32">
        <v>1</v>
      </c>
      <c r="AK90" s="20" t="s">
        <v>165</v>
      </c>
      <c r="AL90" s="16" t="s">
        <v>61</v>
      </c>
      <c r="AM90" s="16" t="s">
        <v>61</v>
      </c>
      <c r="AN90" s="16" t="s">
        <v>61</v>
      </c>
    </row>
    <row r="91" spans="2:40" x14ac:dyDescent="0.25">
      <c r="B91" s="85">
        <f t="shared" si="16"/>
        <v>44</v>
      </c>
      <c r="C91" s="17">
        <v>20200429</v>
      </c>
      <c r="D91" s="16" t="s">
        <v>3</v>
      </c>
      <c r="E91" s="16" t="s">
        <v>370</v>
      </c>
      <c r="F91" s="80" t="s">
        <v>1054</v>
      </c>
      <c r="G91" s="18">
        <v>1411876</v>
      </c>
      <c r="H91" s="57" t="s">
        <v>61</v>
      </c>
      <c r="I91" s="16" t="s">
        <v>387</v>
      </c>
      <c r="J91" s="57" t="s">
        <v>61</v>
      </c>
      <c r="K91" s="16" t="s">
        <v>161</v>
      </c>
      <c r="L91" s="16" t="s">
        <v>165</v>
      </c>
      <c r="M91" s="16" t="s">
        <v>165</v>
      </c>
      <c r="N91" s="16" t="s">
        <v>420</v>
      </c>
      <c r="O91" s="18" t="s">
        <v>61</v>
      </c>
      <c r="P91" s="18" t="s">
        <v>403</v>
      </c>
      <c r="Q91" s="19"/>
      <c r="R91" s="57" t="s">
        <v>61</v>
      </c>
      <c r="S91" s="16" t="s">
        <v>69</v>
      </c>
      <c r="T91" s="16"/>
      <c r="U91" s="16"/>
      <c r="V91" s="16">
        <v>161</v>
      </c>
      <c r="W91" s="16">
        <f t="shared" si="14"/>
        <v>161</v>
      </c>
      <c r="X91" s="16">
        <f t="shared" si="20"/>
        <v>161</v>
      </c>
      <c r="Y91" s="16">
        <f>ROUNDDOWN(W91/HLOOKUP(D91,Table!$C$3:$D$4,2,0)*8,2)</f>
        <v>2.86</v>
      </c>
      <c r="Z91" s="16">
        <v>1.5</v>
      </c>
      <c r="AA91" s="16" t="s">
        <v>74</v>
      </c>
      <c r="AB91" s="20">
        <v>43964</v>
      </c>
      <c r="AC91" s="20">
        <v>43955</v>
      </c>
      <c r="AD91" s="20">
        <v>43966</v>
      </c>
      <c r="AE91" s="20">
        <v>43955</v>
      </c>
      <c r="AF91" s="20">
        <v>43955</v>
      </c>
      <c r="AG91" s="20" t="s">
        <v>335</v>
      </c>
      <c r="AH91" s="32">
        <v>1</v>
      </c>
      <c r="AI91" s="32">
        <v>1</v>
      </c>
      <c r="AJ91" s="32">
        <v>1</v>
      </c>
      <c r="AK91" s="20" t="s">
        <v>165</v>
      </c>
      <c r="AL91" s="16" t="s">
        <v>61</v>
      </c>
      <c r="AM91" s="16" t="s">
        <v>61</v>
      </c>
      <c r="AN91" s="16" t="s">
        <v>61</v>
      </c>
    </row>
    <row r="92" spans="2:40" x14ac:dyDescent="0.25">
      <c r="B92" s="85">
        <f t="shared" si="16"/>
        <v>45</v>
      </c>
      <c r="C92" s="17">
        <v>20200429</v>
      </c>
      <c r="D92" s="16" t="s">
        <v>3</v>
      </c>
      <c r="E92" s="16" t="s">
        <v>370</v>
      </c>
      <c r="F92" s="80" t="s">
        <v>1134</v>
      </c>
      <c r="G92" s="18">
        <v>1411876</v>
      </c>
      <c r="H92" s="57" t="s">
        <v>61</v>
      </c>
      <c r="I92" s="16" t="s">
        <v>176</v>
      </c>
      <c r="J92" s="57" t="s">
        <v>61</v>
      </c>
      <c r="K92" s="16" t="s">
        <v>161</v>
      </c>
      <c r="L92" s="16" t="s">
        <v>165</v>
      </c>
      <c r="M92" s="16" t="s">
        <v>165</v>
      </c>
      <c r="N92" s="16" t="s">
        <v>420</v>
      </c>
      <c r="O92" s="18" t="s">
        <v>61</v>
      </c>
      <c r="P92" s="18" t="s">
        <v>403</v>
      </c>
      <c r="Q92" s="19"/>
      <c r="R92" s="57" t="s">
        <v>61</v>
      </c>
      <c r="S92" s="16" t="s">
        <v>69</v>
      </c>
      <c r="T92" s="16"/>
      <c r="U92" s="16"/>
      <c r="V92" s="16">
        <v>210</v>
      </c>
      <c r="W92" s="16">
        <f t="shared" si="14"/>
        <v>210</v>
      </c>
      <c r="X92" s="16">
        <f t="shared" si="20"/>
        <v>210</v>
      </c>
      <c r="Y92" s="16">
        <f>ROUNDDOWN(W92/HLOOKUP(D92,Table!$C$3:$D$4,2,0)*8,2)</f>
        <v>3.73</v>
      </c>
      <c r="Z92" s="16">
        <v>3</v>
      </c>
      <c r="AA92" s="16" t="s">
        <v>74</v>
      </c>
      <c r="AB92" s="20">
        <v>43964</v>
      </c>
      <c r="AC92" s="20">
        <v>43955</v>
      </c>
      <c r="AD92" s="20">
        <v>43966</v>
      </c>
      <c r="AE92" s="20">
        <v>43956</v>
      </c>
      <c r="AF92" s="20">
        <v>43956</v>
      </c>
      <c r="AG92" s="20" t="s">
        <v>336</v>
      </c>
      <c r="AH92" s="32">
        <v>0.92</v>
      </c>
      <c r="AI92" s="32">
        <v>0.92</v>
      </c>
      <c r="AJ92" s="32">
        <v>0</v>
      </c>
      <c r="AK92" s="20" t="s">
        <v>149</v>
      </c>
      <c r="AL92" s="18" t="s">
        <v>440</v>
      </c>
      <c r="AM92" s="16"/>
      <c r="AN92" s="152" t="s">
        <v>448</v>
      </c>
    </row>
    <row r="93" spans="2:40" x14ac:dyDescent="0.25">
      <c r="B93" s="85">
        <f t="shared" si="16"/>
        <v>46</v>
      </c>
      <c r="C93" s="17">
        <v>20200429</v>
      </c>
      <c r="D93" s="16" t="s">
        <v>3</v>
      </c>
      <c r="E93" s="16" t="s">
        <v>370</v>
      </c>
      <c r="F93" s="80" t="s">
        <v>1134</v>
      </c>
      <c r="G93" s="18">
        <v>1411876</v>
      </c>
      <c r="H93" s="57" t="s">
        <v>61</v>
      </c>
      <c r="I93" s="16" t="s">
        <v>388</v>
      </c>
      <c r="J93" s="57" t="s">
        <v>61</v>
      </c>
      <c r="K93" s="16" t="s">
        <v>161</v>
      </c>
      <c r="L93" s="16" t="s">
        <v>165</v>
      </c>
      <c r="M93" s="16" t="s">
        <v>165</v>
      </c>
      <c r="N93" s="16" t="s">
        <v>420</v>
      </c>
      <c r="O93" s="18" t="s">
        <v>61</v>
      </c>
      <c r="P93" s="18" t="s">
        <v>403</v>
      </c>
      <c r="Q93" s="19"/>
      <c r="R93" s="57" t="s">
        <v>61</v>
      </c>
      <c r="S93" s="16" t="s">
        <v>69</v>
      </c>
      <c r="T93" s="16"/>
      <c r="U93" s="16"/>
      <c r="V93" s="16">
        <v>83</v>
      </c>
      <c r="W93" s="16">
        <f t="shared" si="14"/>
        <v>83</v>
      </c>
      <c r="X93" s="16">
        <f t="shared" si="20"/>
        <v>83</v>
      </c>
      <c r="Y93" s="16">
        <f>ROUNDDOWN(W93/HLOOKUP(D93,Table!$C$3:$D$4,2,0)*8,2)</f>
        <v>1.47</v>
      </c>
      <c r="Z93" s="16">
        <v>0.5</v>
      </c>
      <c r="AA93" s="16" t="s">
        <v>74</v>
      </c>
      <c r="AB93" s="20">
        <v>43964</v>
      </c>
      <c r="AC93" s="20">
        <v>43955</v>
      </c>
      <c r="AD93" s="20">
        <v>43966</v>
      </c>
      <c r="AE93" s="20">
        <v>43955</v>
      </c>
      <c r="AF93" s="20">
        <v>43955</v>
      </c>
      <c r="AG93" s="20" t="s">
        <v>335</v>
      </c>
      <c r="AH93" s="32">
        <v>1</v>
      </c>
      <c r="AI93" s="32">
        <v>1</v>
      </c>
      <c r="AJ93" s="32">
        <v>1</v>
      </c>
      <c r="AK93" s="20" t="s">
        <v>165</v>
      </c>
      <c r="AL93" s="16" t="s">
        <v>61</v>
      </c>
      <c r="AM93" s="16" t="s">
        <v>61</v>
      </c>
      <c r="AN93" s="16" t="s">
        <v>61</v>
      </c>
    </row>
    <row r="94" spans="2:40" x14ac:dyDescent="0.25">
      <c r="B94" s="85">
        <f t="shared" si="16"/>
        <v>47</v>
      </c>
      <c r="C94" s="17">
        <v>20200429</v>
      </c>
      <c r="D94" s="16" t="s">
        <v>3</v>
      </c>
      <c r="E94" s="16" t="s">
        <v>370</v>
      </c>
      <c r="F94" s="80" t="s">
        <v>1134</v>
      </c>
      <c r="G94" s="18">
        <v>1411876</v>
      </c>
      <c r="H94" s="57" t="s">
        <v>61</v>
      </c>
      <c r="I94" s="16" t="s">
        <v>172</v>
      </c>
      <c r="J94" s="57" t="s">
        <v>61</v>
      </c>
      <c r="K94" s="16" t="s">
        <v>161</v>
      </c>
      <c r="L94" s="16" t="s">
        <v>165</v>
      </c>
      <c r="M94" s="16" t="s">
        <v>165</v>
      </c>
      <c r="N94" s="16" t="s">
        <v>420</v>
      </c>
      <c r="O94" s="18" t="s">
        <v>61</v>
      </c>
      <c r="P94" s="18" t="s">
        <v>403</v>
      </c>
      <c r="Q94" s="19"/>
      <c r="R94" s="57" t="s">
        <v>61</v>
      </c>
      <c r="S94" s="16" t="s">
        <v>67</v>
      </c>
      <c r="T94" s="16"/>
      <c r="U94" s="16"/>
      <c r="V94" s="16">
        <v>101</v>
      </c>
      <c r="W94" s="16">
        <f t="shared" si="14"/>
        <v>101</v>
      </c>
      <c r="X94" s="16">
        <f>W94</f>
        <v>101</v>
      </c>
      <c r="Y94" s="16">
        <f>ROUNDDOWN(W94/HLOOKUP(D94,Table!$C$3:$D$4,2,0)*8,2)</f>
        <v>1.79</v>
      </c>
      <c r="Z94" s="16">
        <v>1.8</v>
      </c>
      <c r="AA94" s="16" t="s">
        <v>74</v>
      </c>
      <c r="AB94" s="20">
        <v>43964</v>
      </c>
      <c r="AC94" s="20">
        <v>43955</v>
      </c>
      <c r="AD94" s="20">
        <v>43966</v>
      </c>
      <c r="AE94" s="20">
        <v>43959</v>
      </c>
      <c r="AF94" s="20">
        <v>43959</v>
      </c>
      <c r="AG94" s="20" t="s">
        <v>335</v>
      </c>
      <c r="AH94" s="32">
        <v>1</v>
      </c>
      <c r="AI94" s="32">
        <v>1</v>
      </c>
      <c r="AJ94" s="32">
        <v>1</v>
      </c>
      <c r="AK94" s="20" t="s">
        <v>165</v>
      </c>
      <c r="AL94" s="16" t="s">
        <v>61</v>
      </c>
      <c r="AM94" s="16" t="s">
        <v>61</v>
      </c>
      <c r="AN94" s="16" t="s">
        <v>61</v>
      </c>
    </row>
    <row r="95" spans="2:40" x14ac:dyDescent="0.25">
      <c r="B95" s="85">
        <f t="shared" si="16"/>
        <v>48</v>
      </c>
      <c r="C95" s="17">
        <v>20200429</v>
      </c>
      <c r="D95" s="16" t="s">
        <v>3</v>
      </c>
      <c r="E95" s="16" t="s">
        <v>370</v>
      </c>
      <c r="F95" s="80" t="s">
        <v>1134</v>
      </c>
      <c r="G95" s="18">
        <v>1411876</v>
      </c>
      <c r="H95" s="57" t="s">
        <v>61</v>
      </c>
      <c r="I95" s="16" t="s">
        <v>173</v>
      </c>
      <c r="J95" s="57" t="s">
        <v>61</v>
      </c>
      <c r="K95" s="16" t="s">
        <v>161</v>
      </c>
      <c r="L95" s="16" t="s">
        <v>165</v>
      </c>
      <c r="M95" s="16" t="s">
        <v>165</v>
      </c>
      <c r="N95" s="16" t="s">
        <v>420</v>
      </c>
      <c r="O95" s="18" t="s">
        <v>61</v>
      </c>
      <c r="P95" s="18" t="s">
        <v>403</v>
      </c>
      <c r="Q95" s="19"/>
      <c r="R95" s="57" t="s">
        <v>61</v>
      </c>
      <c r="S95" s="16" t="s">
        <v>67</v>
      </c>
      <c r="T95" s="16"/>
      <c r="U95" s="16"/>
      <c r="V95" s="16">
        <v>116</v>
      </c>
      <c r="W95" s="16">
        <f t="shared" si="14"/>
        <v>116</v>
      </c>
      <c r="X95" s="16">
        <f>W95</f>
        <v>116</v>
      </c>
      <c r="Y95" s="16">
        <f>ROUNDDOWN(W95/HLOOKUP(D95,Table!$C$3:$D$4,2,0)*8,2)</f>
        <v>2.06</v>
      </c>
      <c r="Z95" s="16">
        <v>2</v>
      </c>
      <c r="AA95" s="16" t="s">
        <v>74</v>
      </c>
      <c r="AB95" s="20">
        <v>43964</v>
      </c>
      <c r="AC95" s="20">
        <v>43955</v>
      </c>
      <c r="AD95" s="20">
        <v>43966</v>
      </c>
      <c r="AE95" s="20">
        <v>43959</v>
      </c>
      <c r="AF95" s="20">
        <v>43959</v>
      </c>
      <c r="AG95" s="20" t="s">
        <v>336</v>
      </c>
      <c r="AH95" s="32">
        <v>0.93</v>
      </c>
      <c r="AI95" s="32">
        <v>0.85</v>
      </c>
      <c r="AJ95" s="32">
        <v>1</v>
      </c>
      <c r="AK95" s="20" t="s">
        <v>149</v>
      </c>
      <c r="AL95" s="16" t="s">
        <v>597</v>
      </c>
      <c r="AM95" s="16"/>
      <c r="AN95" s="152" t="s">
        <v>448</v>
      </c>
    </row>
    <row r="96" spans="2:40" x14ac:dyDescent="0.25">
      <c r="B96" s="85">
        <f t="shared" si="16"/>
        <v>49</v>
      </c>
      <c r="C96" s="17">
        <v>20200429</v>
      </c>
      <c r="D96" s="16" t="s">
        <v>3</v>
      </c>
      <c r="E96" s="16" t="s">
        <v>370</v>
      </c>
      <c r="F96" s="80" t="s">
        <v>1134</v>
      </c>
      <c r="G96" s="18">
        <v>1411876</v>
      </c>
      <c r="H96" s="57" t="s">
        <v>61</v>
      </c>
      <c r="I96" s="16" t="s">
        <v>177</v>
      </c>
      <c r="J96" s="57" t="s">
        <v>61</v>
      </c>
      <c r="K96" s="16" t="s">
        <v>161</v>
      </c>
      <c r="L96" s="16" t="s">
        <v>165</v>
      </c>
      <c r="M96" s="16" t="s">
        <v>165</v>
      </c>
      <c r="N96" s="16" t="s">
        <v>420</v>
      </c>
      <c r="O96" s="18" t="s">
        <v>61</v>
      </c>
      <c r="P96" s="18" t="s">
        <v>403</v>
      </c>
      <c r="Q96" s="19"/>
      <c r="R96" s="57" t="s">
        <v>61</v>
      </c>
      <c r="S96" s="16" t="s">
        <v>67</v>
      </c>
      <c r="T96" s="16"/>
      <c r="U96" s="16"/>
      <c r="V96" s="16">
        <v>204</v>
      </c>
      <c r="W96" s="16">
        <f t="shared" si="14"/>
        <v>204</v>
      </c>
      <c r="X96" s="16">
        <f>W96</f>
        <v>204</v>
      </c>
      <c r="Y96" s="16">
        <f>ROUNDDOWN(W96/HLOOKUP(D96,Table!$C$3:$D$4,2,0)*8,2)</f>
        <v>3.62</v>
      </c>
      <c r="Z96" s="16">
        <v>3</v>
      </c>
      <c r="AA96" s="16" t="s">
        <v>74</v>
      </c>
      <c r="AB96" s="20">
        <v>43964</v>
      </c>
      <c r="AC96" s="20">
        <v>43955</v>
      </c>
      <c r="AD96" s="20">
        <v>43966</v>
      </c>
      <c r="AE96" s="20">
        <v>43959</v>
      </c>
      <c r="AF96" s="20">
        <v>43959</v>
      </c>
      <c r="AG96" s="20" t="s">
        <v>335</v>
      </c>
      <c r="AH96" s="32">
        <v>1</v>
      </c>
      <c r="AI96" s="32">
        <v>1</v>
      </c>
      <c r="AJ96" s="32">
        <v>1</v>
      </c>
      <c r="AK96" s="20" t="s">
        <v>165</v>
      </c>
      <c r="AL96" s="16" t="s">
        <v>61</v>
      </c>
      <c r="AM96" s="16" t="s">
        <v>61</v>
      </c>
      <c r="AN96" s="16" t="s">
        <v>61</v>
      </c>
    </row>
    <row r="97" spans="2:40" x14ac:dyDescent="0.25">
      <c r="B97" s="85">
        <f t="shared" si="16"/>
        <v>50</v>
      </c>
      <c r="C97" s="17">
        <v>20200429</v>
      </c>
      <c r="D97" s="16" t="s">
        <v>3</v>
      </c>
      <c r="E97" s="16" t="s">
        <v>370</v>
      </c>
      <c r="F97" s="80" t="s">
        <v>1134</v>
      </c>
      <c r="G97" s="18">
        <v>1411876</v>
      </c>
      <c r="H97" s="57" t="s">
        <v>61</v>
      </c>
      <c r="I97" s="16" t="s">
        <v>178</v>
      </c>
      <c r="J97" s="57" t="s">
        <v>61</v>
      </c>
      <c r="K97" s="16" t="s">
        <v>161</v>
      </c>
      <c r="L97" s="16" t="s">
        <v>165</v>
      </c>
      <c r="M97" s="16" t="s">
        <v>165</v>
      </c>
      <c r="N97" s="16" t="s">
        <v>420</v>
      </c>
      <c r="O97" s="18" t="s">
        <v>61</v>
      </c>
      <c r="P97" s="18" t="s">
        <v>403</v>
      </c>
      <c r="Q97" s="19"/>
      <c r="R97" s="57" t="s">
        <v>61</v>
      </c>
      <c r="S97" s="16" t="s">
        <v>68</v>
      </c>
      <c r="T97" s="16"/>
      <c r="U97" s="16"/>
      <c r="V97" s="16">
        <v>210</v>
      </c>
      <c r="W97" s="16">
        <f t="shared" si="14"/>
        <v>210</v>
      </c>
      <c r="X97" s="16">
        <f t="shared" ref="X97:X103" si="21">W97</f>
        <v>210</v>
      </c>
      <c r="Y97" s="16">
        <f>ROUNDDOWN(W97/HLOOKUP(D97,Table!$C$3:$D$4,2,0)*8,2)</f>
        <v>3.73</v>
      </c>
      <c r="Z97" s="16">
        <v>2</v>
      </c>
      <c r="AA97" s="16" t="s">
        <v>74</v>
      </c>
      <c r="AB97" s="20">
        <v>43964</v>
      </c>
      <c r="AC97" s="20">
        <v>43955</v>
      </c>
      <c r="AD97" s="20">
        <v>43966</v>
      </c>
      <c r="AE97" s="20">
        <v>43955</v>
      </c>
      <c r="AF97" s="20">
        <v>43955</v>
      </c>
      <c r="AG97" s="20" t="s">
        <v>335</v>
      </c>
      <c r="AH97" s="32">
        <v>1</v>
      </c>
      <c r="AI97" s="32">
        <v>1</v>
      </c>
      <c r="AJ97" s="32">
        <v>1</v>
      </c>
      <c r="AK97" s="20" t="s">
        <v>165</v>
      </c>
      <c r="AL97" s="16" t="s">
        <v>61</v>
      </c>
      <c r="AM97" s="16" t="s">
        <v>61</v>
      </c>
      <c r="AN97" s="16" t="s">
        <v>61</v>
      </c>
    </row>
    <row r="98" spans="2:40" x14ac:dyDescent="0.25">
      <c r="B98" s="85">
        <f t="shared" si="16"/>
        <v>51</v>
      </c>
      <c r="C98" s="17">
        <v>20200429</v>
      </c>
      <c r="D98" s="16" t="s">
        <v>3</v>
      </c>
      <c r="E98" s="16" t="s">
        <v>370</v>
      </c>
      <c r="F98" s="80" t="s">
        <v>1052</v>
      </c>
      <c r="G98" s="18">
        <v>1411876</v>
      </c>
      <c r="H98" s="57" t="s">
        <v>61</v>
      </c>
      <c r="I98" s="16" t="s">
        <v>389</v>
      </c>
      <c r="J98" s="57" t="s">
        <v>61</v>
      </c>
      <c r="K98" s="16" t="s">
        <v>161</v>
      </c>
      <c r="L98" s="16" t="s">
        <v>165</v>
      </c>
      <c r="M98" s="16" t="s">
        <v>165</v>
      </c>
      <c r="N98" s="16" t="s">
        <v>420</v>
      </c>
      <c r="O98" s="18" t="s">
        <v>61</v>
      </c>
      <c r="P98" s="18" t="s">
        <v>403</v>
      </c>
      <c r="Q98" s="19"/>
      <c r="R98" s="57" t="s">
        <v>61</v>
      </c>
      <c r="S98" s="16" t="s">
        <v>68</v>
      </c>
      <c r="T98" s="16"/>
      <c r="U98" s="16"/>
      <c r="V98" s="16">
        <v>182</v>
      </c>
      <c r="W98" s="16">
        <f t="shared" si="14"/>
        <v>182</v>
      </c>
      <c r="X98" s="16">
        <f t="shared" si="21"/>
        <v>182</v>
      </c>
      <c r="Y98" s="16">
        <f>ROUNDDOWN(W98/HLOOKUP(D98,Table!$C$3:$D$4,2,0)*8,2)</f>
        <v>3.23</v>
      </c>
      <c r="Z98" s="16">
        <v>4</v>
      </c>
      <c r="AA98" s="16" t="s">
        <v>74</v>
      </c>
      <c r="AB98" s="20">
        <v>43964</v>
      </c>
      <c r="AC98" s="20">
        <v>43955</v>
      </c>
      <c r="AD98" s="20">
        <v>43966</v>
      </c>
      <c r="AE98" s="20">
        <v>43956</v>
      </c>
      <c r="AF98" s="20">
        <v>43956</v>
      </c>
      <c r="AG98" s="20" t="s">
        <v>335</v>
      </c>
      <c r="AH98" s="32">
        <v>1</v>
      </c>
      <c r="AI98" s="32">
        <v>1</v>
      </c>
      <c r="AJ98" s="32">
        <v>1</v>
      </c>
      <c r="AK98" s="20" t="s">
        <v>165</v>
      </c>
      <c r="AL98" s="16" t="s">
        <v>61</v>
      </c>
      <c r="AM98" s="16" t="s">
        <v>61</v>
      </c>
      <c r="AN98" s="16" t="s">
        <v>61</v>
      </c>
    </row>
    <row r="99" spans="2:40" x14ac:dyDescent="0.25">
      <c r="B99" s="85">
        <f t="shared" si="16"/>
        <v>52</v>
      </c>
      <c r="C99" s="17">
        <v>20200429</v>
      </c>
      <c r="D99" s="16" t="s">
        <v>3</v>
      </c>
      <c r="E99" s="16" t="s">
        <v>370</v>
      </c>
      <c r="F99" s="80" t="s">
        <v>1052</v>
      </c>
      <c r="G99" s="18">
        <v>1411876</v>
      </c>
      <c r="H99" s="57" t="s">
        <v>61</v>
      </c>
      <c r="I99" s="16" t="s">
        <v>390</v>
      </c>
      <c r="J99" s="57" t="s">
        <v>61</v>
      </c>
      <c r="K99" s="16" t="s">
        <v>161</v>
      </c>
      <c r="L99" s="16" t="s">
        <v>165</v>
      </c>
      <c r="M99" s="16" t="s">
        <v>165</v>
      </c>
      <c r="N99" s="16" t="s">
        <v>420</v>
      </c>
      <c r="O99" s="18" t="s">
        <v>61</v>
      </c>
      <c r="P99" s="18" t="s">
        <v>403</v>
      </c>
      <c r="Q99" s="19"/>
      <c r="R99" s="57" t="s">
        <v>61</v>
      </c>
      <c r="S99" s="16" t="s">
        <v>68</v>
      </c>
      <c r="T99" s="16"/>
      <c r="U99" s="16"/>
      <c r="V99" s="16">
        <v>92</v>
      </c>
      <c r="W99" s="16">
        <f t="shared" si="14"/>
        <v>92</v>
      </c>
      <c r="X99" s="16">
        <f t="shared" si="21"/>
        <v>92</v>
      </c>
      <c r="Y99" s="16">
        <f>ROUNDDOWN(W99/HLOOKUP(D99,Table!$C$3:$D$4,2,0)*8,2)</f>
        <v>1.63</v>
      </c>
      <c r="Z99" s="16">
        <v>2</v>
      </c>
      <c r="AA99" s="16" t="s">
        <v>74</v>
      </c>
      <c r="AB99" s="20">
        <v>43964</v>
      </c>
      <c r="AC99" s="20">
        <v>43955</v>
      </c>
      <c r="AD99" s="20">
        <v>43966</v>
      </c>
      <c r="AE99" s="20">
        <v>43958</v>
      </c>
      <c r="AF99" s="20">
        <v>43958</v>
      </c>
      <c r="AG99" s="20" t="s">
        <v>335</v>
      </c>
      <c r="AH99" s="32">
        <v>1</v>
      </c>
      <c r="AI99" s="32">
        <v>1</v>
      </c>
      <c r="AJ99" s="32">
        <v>1</v>
      </c>
      <c r="AK99" s="20" t="s">
        <v>165</v>
      </c>
      <c r="AL99" s="16" t="s">
        <v>61</v>
      </c>
      <c r="AM99" s="16" t="s">
        <v>61</v>
      </c>
      <c r="AN99" s="16" t="s">
        <v>61</v>
      </c>
    </row>
    <row r="100" spans="2:40" x14ac:dyDescent="0.25">
      <c r="B100" s="85">
        <f t="shared" si="16"/>
        <v>53</v>
      </c>
      <c r="C100" s="17">
        <v>20200429</v>
      </c>
      <c r="D100" s="16" t="s">
        <v>3</v>
      </c>
      <c r="E100" s="16" t="s">
        <v>370</v>
      </c>
      <c r="F100" s="80" t="s">
        <v>1055</v>
      </c>
      <c r="G100" s="18">
        <v>1411876</v>
      </c>
      <c r="H100" s="57" t="s">
        <v>61</v>
      </c>
      <c r="I100" s="16" t="s">
        <v>391</v>
      </c>
      <c r="J100" s="57" t="s">
        <v>61</v>
      </c>
      <c r="K100" s="16" t="s">
        <v>161</v>
      </c>
      <c r="L100" s="16" t="s">
        <v>165</v>
      </c>
      <c r="M100" s="16" t="s">
        <v>165</v>
      </c>
      <c r="N100" s="16" t="s">
        <v>420</v>
      </c>
      <c r="O100" s="18" t="s">
        <v>61</v>
      </c>
      <c r="P100" s="18" t="s">
        <v>403</v>
      </c>
      <c r="Q100" s="19"/>
      <c r="R100" s="57" t="s">
        <v>61</v>
      </c>
      <c r="S100" s="16" t="s">
        <v>70</v>
      </c>
      <c r="T100" s="16"/>
      <c r="U100" s="16"/>
      <c r="V100" s="16">
        <v>767</v>
      </c>
      <c r="W100" s="16">
        <f t="shared" si="14"/>
        <v>767</v>
      </c>
      <c r="X100" s="16">
        <f t="shared" si="21"/>
        <v>767</v>
      </c>
      <c r="Y100" s="16">
        <f>ROUNDDOWN(W100/HLOOKUP(D100,Table!$C$3:$D$4,2,0)*8,2)</f>
        <v>13.63</v>
      </c>
      <c r="Z100" s="16">
        <v>1</v>
      </c>
      <c r="AA100" s="16" t="s">
        <v>74</v>
      </c>
      <c r="AB100" s="20">
        <v>43964</v>
      </c>
      <c r="AC100" s="20">
        <v>43955</v>
      </c>
      <c r="AD100" s="20">
        <v>43966</v>
      </c>
      <c r="AE100" s="20">
        <v>43956</v>
      </c>
      <c r="AF100" s="20">
        <v>43956</v>
      </c>
      <c r="AG100" s="20" t="s">
        <v>335</v>
      </c>
      <c r="AH100" s="32">
        <v>1</v>
      </c>
      <c r="AI100" s="32">
        <v>1</v>
      </c>
      <c r="AJ100" s="32">
        <v>1</v>
      </c>
      <c r="AK100" s="20" t="s">
        <v>165</v>
      </c>
      <c r="AL100" s="16" t="s">
        <v>61</v>
      </c>
      <c r="AM100" s="16" t="s">
        <v>61</v>
      </c>
      <c r="AN100" s="16" t="s">
        <v>61</v>
      </c>
    </row>
    <row r="101" spans="2:40" x14ac:dyDescent="0.25">
      <c r="B101" s="85">
        <f t="shared" si="16"/>
        <v>54</v>
      </c>
      <c r="C101" s="17">
        <v>20200429</v>
      </c>
      <c r="D101" s="16" t="s">
        <v>3</v>
      </c>
      <c r="E101" s="16" t="s">
        <v>370</v>
      </c>
      <c r="F101" s="80" t="s">
        <v>1055</v>
      </c>
      <c r="G101" s="18">
        <v>1411876</v>
      </c>
      <c r="H101" s="57" t="s">
        <v>61</v>
      </c>
      <c r="I101" s="115" t="s">
        <v>392</v>
      </c>
      <c r="J101" s="57" t="s">
        <v>61</v>
      </c>
      <c r="K101" s="16" t="s">
        <v>161</v>
      </c>
      <c r="L101" s="16" t="s">
        <v>165</v>
      </c>
      <c r="M101" s="16" t="s">
        <v>165</v>
      </c>
      <c r="N101" s="16" t="s">
        <v>420</v>
      </c>
      <c r="O101" s="18" t="s">
        <v>61</v>
      </c>
      <c r="P101" s="18" t="s">
        <v>403</v>
      </c>
      <c r="Q101" s="19"/>
      <c r="R101" s="57" t="s">
        <v>61</v>
      </c>
      <c r="S101" s="16" t="s">
        <v>68</v>
      </c>
      <c r="T101" s="16"/>
      <c r="U101" s="16"/>
      <c r="V101" s="16">
        <v>93</v>
      </c>
      <c r="W101" s="16">
        <f t="shared" si="14"/>
        <v>93</v>
      </c>
      <c r="X101" s="16">
        <f t="shared" si="21"/>
        <v>93</v>
      </c>
      <c r="Y101" s="16">
        <f>ROUNDDOWN(W101/HLOOKUP(D101,Table!$C$3:$D$4,2,0)*8,2)</f>
        <v>1.65</v>
      </c>
      <c r="Z101" s="16">
        <v>1</v>
      </c>
      <c r="AA101" s="16" t="s">
        <v>74</v>
      </c>
      <c r="AB101" s="20">
        <v>43964</v>
      </c>
      <c r="AC101" s="20">
        <v>43955</v>
      </c>
      <c r="AD101" s="20">
        <v>43966</v>
      </c>
      <c r="AE101" s="20">
        <v>43958</v>
      </c>
      <c r="AF101" s="20">
        <v>43958</v>
      </c>
      <c r="AG101" s="20" t="s">
        <v>335</v>
      </c>
      <c r="AH101" s="32">
        <v>1</v>
      </c>
      <c r="AI101" s="32">
        <v>1</v>
      </c>
      <c r="AJ101" s="32">
        <v>1</v>
      </c>
      <c r="AK101" s="20" t="s">
        <v>165</v>
      </c>
      <c r="AL101" s="16" t="s">
        <v>61</v>
      </c>
      <c r="AM101" s="16" t="s">
        <v>61</v>
      </c>
      <c r="AN101" s="16" t="s">
        <v>61</v>
      </c>
    </row>
    <row r="102" spans="2:40" x14ac:dyDescent="0.25">
      <c r="B102" s="85">
        <f t="shared" si="16"/>
        <v>55</v>
      </c>
      <c r="C102" s="17">
        <v>20200429</v>
      </c>
      <c r="D102" s="16" t="s">
        <v>3</v>
      </c>
      <c r="E102" s="16" t="s">
        <v>370</v>
      </c>
      <c r="F102" s="80" t="s">
        <v>1055</v>
      </c>
      <c r="G102" s="18">
        <v>1411876</v>
      </c>
      <c r="H102" s="57" t="s">
        <v>61</v>
      </c>
      <c r="I102" s="122" t="s">
        <v>393</v>
      </c>
      <c r="J102" s="57" t="s">
        <v>61</v>
      </c>
      <c r="K102" s="16" t="s">
        <v>161</v>
      </c>
      <c r="L102" s="16" t="s">
        <v>165</v>
      </c>
      <c r="M102" s="16" t="s">
        <v>165</v>
      </c>
      <c r="N102" s="16" t="s">
        <v>420</v>
      </c>
      <c r="O102" s="18" t="s">
        <v>61</v>
      </c>
      <c r="P102" s="18" t="s">
        <v>403</v>
      </c>
      <c r="Q102" s="19"/>
      <c r="R102" s="57" t="s">
        <v>61</v>
      </c>
      <c r="S102" s="16" t="s">
        <v>69</v>
      </c>
      <c r="T102" s="16"/>
      <c r="U102" s="16"/>
      <c r="V102" s="16">
        <v>118</v>
      </c>
      <c r="W102" s="16">
        <f t="shared" si="14"/>
        <v>118</v>
      </c>
      <c r="X102" s="16">
        <f t="shared" si="21"/>
        <v>118</v>
      </c>
      <c r="Y102" s="16">
        <f>ROUNDDOWN(W102/HLOOKUP(D102,Table!$C$3:$D$4,2,0)*8,2)</f>
        <v>2.09</v>
      </c>
      <c r="Z102" s="16">
        <v>1</v>
      </c>
      <c r="AA102" s="16" t="s">
        <v>74</v>
      </c>
      <c r="AB102" s="20">
        <v>43964</v>
      </c>
      <c r="AC102" s="20">
        <v>43955</v>
      </c>
      <c r="AD102" s="20">
        <v>43966</v>
      </c>
      <c r="AE102" s="20">
        <v>43956</v>
      </c>
      <c r="AF102" s="20">
        <v>43956</v>
      </c>
      <c r="AG102" s="20" t="s">
        <v>335</v>
      </c>
      <c r="AH102" s="32">
        <v>1</v>
      </c>
      <c r="AI102" s="32">
        <v>1</v>
      </c>
      <c r="AJ102" s="32">
        <v>1</v>
      </c>
      <c r="AK102" s="20" t="s">
        <v>165</v>
      </c>
      <c r="AL102" s="16" t="s">
        <v>61</v>
      </c>
      <c r="AM102" s="16" t="s">
        <v>61</v>
      </c>
      <c r="AN102" s="16" t="s">
        <v>61</v>
      </c>
    </row>
    <row r="103" spans="2:40" x14ac:dyDescent="0.25">
      <c r="B103" s="85">
        <f t="shared" si="16"/>
        <v>56</v>
      </c>
      <c r="C103" s="17">
        <v>20200429</v>
      </c>
      <c r="D103" s="16" t="s">
        <v>3</v>
      </c>
      <c r="E103" s="16" t="s">
        <v>370</v>
      </c>
      <c r="F103" s="80" t="s">
        <v>1054</v>
      </c>
      <c r="G103" s="18">
        <v>1411876</v>
      </c>
      <c r="H103" s="57" t="s">
        <v>61</v>
      </c>
      <c r="I103" s="122" t="s">
        <v>394</v>
      </c>
      <c r="J103" s="57" t="s">
        <v>61</v>
      </c>
      <c r="K103" s="16" t="s">
        <v>161</v>
      </c>
      <c r="L103" s="16" t="s">
        <v>165</v>
      </c>
      <c r="M103" s="16" t="s">
        <v>165</v>
      </c>
      <c r="N103" s="16" t="s">
        <v>420</v>
      </c>
      <c r="O103" s="18" t="s">
        <v>61</v>
      </c>
      <c r="P103" s="18" t="s">
        <v>403</v>
      </c>
      <c r="Q103" s="19"/>
      <c r="R103" s="57" t="s">
        <v>61</v>
      </c>
      <c r="S103" s="16" t="s">
        <v>69</v>
      </c>
      <c r="T103" s="16"/>
      <c r="U103" s="16"/>
      <c r="V103" s="16">
        <v>47</v>
      </c>
      <c r="W103" s="16">
        <f t="shared" si="14"/>
        <v>47</v>
      </c>
      <c r="X103" s="16">
        <f t="shared" si="21"/>
        <v>47</v>
      </c>
      <c r="Y103" s="16">
        <f>ROUNDDOWN(W103/HLOOKUP(D103,Table!$C$3:$D$4,2,0)*8,2)</f>
        <v>0.83</v>
      </c>
      <c r="Z103" s="16">
        <v>0.5</v>
      </c>
      <c r="AA103" s="16" t="s">
        <v>74</v>
      </c>
      <c r="AB103" s="20">
        <v>43964</v>
      </c>
      <c r="AC103" s="20">
        <v>43955</v>
      </c>
      <c r="AD103" s="20">
        <v>43966</v>
      </c>
      <c r="AE103" s="20">
        <v>43956</v>
      </c>
      <c r="AF103" s="20">
        <v>43956</v>
      </c>
      <c r="AG103" s="20" t="s">
        <v>335</v>
      </c>
      <c r="AH103" s="32">
        <v>1</v>
      </c>
      <c r="AI103" s="32">
        <v>1</v>
      </c>
      <c r="AJ103" s="32">
        <v>1</v>
      </c>
      <c r="AK103" s="20" t="s">
        <v>165</v>
      </c>
      <c r="AL103" s="16" t="s">
        <v>61</v>
      </c>
      <c r="AM103" s="16" t="s">
        <v>61</v>
      </c>
      <c r="AN103" s="16" t="s">
        <v>61</v>
      </c>
    </row>
    <row r="104" spans="2:40" x14ac:dyDescent="0.25">
      <c r="B104" s="85">
        <f t="shared" si="16"/>
        <v>57</v>
      </c>
      <c r="C104" s="17">
        <v>20200429</v>
      </c>
      <c r="D104" s="16" t="s">
        <v>3</v>
      </c>
      <c r="E104" s="16" t="s">
        <v>370</v>
      </c>
      <c r="F104" s="80" t="s">
        <v>1054</v>
      </c>
      <c r="G104" s="18">
        <v>1411876</v>
      </c>
      <c r="H104" s="57" t="s">
        <v>61</v>
      </c>
      <c r="I104" s="115" t="s">
        <v>395</v>
      </c>
      <c r="J104" s="57" t="s">
        <v>61</v>
      </c>
      <c r="K104" s="16" t="s">
        <v>161</v>
      </c>
      <c r="L104" s="16" t="s">
        <v>165</v>
      </c>
      <c r="M104" s="16" t="s">
        <v>165</v>
      </c>
      <c r="N104" s="16" t="s">
        <v>420</v>
      </c>
      <c r="O104" s="18" t="s">
        <v>61</v>
      </c>
      <c r="P104" s="18" t="s">
        <v>403</v>
      </c>
      <c r="Q104" s="19"/>
      <c r="R104" s="57" t="s">
        <v>61</v>
      </c>
      <c r="S104" s="16" t="s">
        <v>68</v>
      </c>
      <c r="T104" s="16"/>
      <c r="U104" s="16"/>
      <c r="V104" s="16">
        <v>104</v>
      </c>
      <c r="W104" s="16">
        <f t="shared" si="14"/>
        <v>104</v>
      </c>
      <c r="X104" s="16">
        <f t="shared" ref="X104:X112" si="22">W104</f>
        <v>104</v>
      </c>
      <c r="Y104" s="16">
        <f>ROUNDDOWN(W104/HLOOKUP(D104,Table!$C$3:$D$4,2,0)*8,2)</f>
        <v>1.84</v>
      </c>
      <c r="Z104" s="16">
        <v>1</v>
      </c>
      <c r="AA104" s="16" t="s">
        <v>74</v>
      </c>
      <c r="AB104" s="20">
        <v>43964</v>
      </c>
      <c r="AC104" s="20">
        <v>43955</v>
      </c>
      <c r="AD104" s="20">
        <v>43966</v>
      </c>
      <c r="AE104" s="20">
        <v>43958</v>
      </c>
      <c r="AF104" s="20">
        <v>43958</v>
      </c>
      <c r="AG104" s="20" t="s">
        <v>335</v>
      </c>
      <c r="AH104" s="32">
        <v>1</v>
      </c>
      <c r="AI104" s="32">
        <v>1</v>
      </c>
      <c r="AJ104" s="32">
        <v>1</v>
      </c>
      <c r="AK104" s="20" t="s">
        <v>165</v>
      </c>
      <c r="AL104" s="16" t="s">
        <v>61</v>
      </c>
      <c r="AM104" s="16" t="s">
        <v>61</v>
      </c>
      <c r="AN104" s="16" t="s">
        <v>61</v>
      </c>
    </row>
    <row r="105" spans="2:40" x14ac:dyDescent="0.25">
      <c r="B105" s="85">
        <f t="shared" si="16"/>
        <v>58</v>
      </c>
      <c r="C105" s="17">
        <v>20200429</v>
      </c>
      <c r="D105" s="16" t="s">
        <v>3</v>
      </c>
      <c r="E105" s="16" t="s">
        <v>370</v>
      </c>
      <c r="F105" s="80" t="s">
        <v>1054</v>
      </c>
      <c r="G105" s="18">
        <v>1411876</v>
      </c>
      <c r="H105" s="57" t="s">
        <v>61</v>
      </c>
      <c r="I105" s="115" t="s">
        <v>396</v>
      </c>
      <c r="J105" s="57" t="s">
        <v>61</v>
      </c>
      <c r="K105" s="16" t="s">
        <v>161</v>
      </c>
      <c r="L105" s="16" t="s">
        <v>165</v>
      </c>
      <c r="M105" s="16" t="s">
        <v>165</v>
      </c>
      <c r="N105" s="16" t="s">
        <v>420</v>
      </c>
      <c r="O105" s="18" t="s">
        <v>61</v>
      </c>
      <c r="P105" s="18" t="s">
        <v>403</v>
      </c>
      <c r="Q105" s="19"/>
      <c r="R105" s="57" t="s">
        <v>61</v>
      </c>
      <c r="S105" s="16" t="s">
        <v>68</v>
      </c>
      <c r="T105" s="16"/>
      <c r="U105" s="16"/>
      <c r="V105" s="16">
        <v>138</v>
      </c>
      <c r="W105" s="16">
        <f t="shared" si="14"/>
        <v>138</v>
      </c>
      <c r="X105" s="16">
        <f t="shared" si="22"/>
        <v>138</v>
      </c>
      <c r="Y105" s="16">
        <f>ROUNDDOWN(W105/HLOOKUP(D105,Table!$C$3:$D$4,2,0)*8,2)</f>
        <v>2.4500000000000002</v>
      </c>
      <c r="Z105" s="16">
        <v>1</v>
      </c>
      <c r="AA105" s="16" t="s">
        <v>74</v>
      </c>
      <c r="AB105" s="20">
        <v>43964</v>
      </c>
      <c r="AC105" s="20">
        <v>43955</v>
      </c>
      <c r="AD105" s="20">
        <v>43966</v>
      </c>
      <c r="AE105" s="20">
        <v>43959</v>
      </c>
      <c r="AF105" s="20">
        <v>43959</v>
      </c>
      <c r="AG105" s="20" t="s">
        <v>335</v>
      </c>
      <c r="AH105" s="32">
        <v>1</v>
      </c>
      <c r="AI105" s="32">
        <v>1</v>
      </c>
      <c r="AJ105" s="32">
        <v>1</v>
      </c>
      <c r="AK105" s="20" t="s">
        <v>165</v>
      </c>
      <c r="AL105" s="16" t="s">
        <v>61</v>
      </c>
      <c r="AM105" s="16" t="s">
        <v>61</v>
      </c>
      <c r="AN105" s="16" t="s">
        <v>61</v>
      </c>
    </row>
    <row r="106" spans="2:40" x14ac:dyDescent="0.25">
      <c r="B106" s="85">
        <f t="shared" si="16"/>
        <v>59</v>
      </c>
      <c r="C106" s="17">
        <v>20200429</v>
      </c>
      <c r="D106" s="16" t="s">
        <v>3</v>
      </c>
      <c r="E106" s="16" t="s">
        <v>370</v>
      </c>
      <c r="F106" s="80" t="s">
        <v>1054</v>
      </c>
      <c r="G106" s="18">
        <v>1411876</v>
      </c>
      <c r="H106" s="57" t="s">
        <v>61</v>
      </c>
      <c r="I106" s="115" t="s">
        <v>397</v>
      </c>
      <c r="J106" s="114" t="s">
        <v>61</v>
      </c>
      <c r="K106" s="115" t="s">
        <v>161</v>
      </c>
      <c r="L106" s="115" t="s">
        <v>165</v>
      </c>
      <c r="M106" s="115" t="s">
        <v>165</v>
      </c>
      <c r="N106" s="115" t="s">
        <v>420</v>
      </c>
      <c r="O106" s="116" t="s">
        <v>61</v>
      </c>
      <c r="P106" s="116" t="s">
        <v>403</v>
      </c>
      <c r="Q106" s="117"/>
      <c r="R106" s="114" t="s">
        <v>61</v>
      </c>
      <c r="S106" s="115" t="s">
        <v>68</v>
      </c>
      <c r="T106" s="115"/>
      <c r="U106" s="115"/>
      <c r="V106" s="115">
        <v>135</v>
      </c>
      <c r="W106" s="16">
        <f t="shared" si="14"/>
        <v>135</v>
      </c>
      <c r="X106" s="16">
        <f t="shared" si="22"/>
        <v>135</v>
      </c>
      <c r="Y106" s="16">
        <f>ROUNDDOWN(W106/HLOOKUP(D106,Table!$C$3:$D$4,2,0)*8,2)</f>
        <v>2.4</v>
      </c>
      <c r="Z106" s="16">
        <v>1</v>
      </c>
      <c r="AA106" s="16" t="s">
        <v>74</v>
      </c>
      <c r="AB106" s="20">
        <v>43964</v>
      </c>
      <c r="AC106" s="20">
        <v>43955</v>
      </c>
      <c r="AD106" s="20">
        <v>43966</v>
      </c>
      <c r="AE106" s="20">
        <v>43959</v>
      </c>
      <c r="AF106" s="20">
        <v>43959</v>
      </c>
      <c r="AG106" s="20" t="s">
        <v>335</v>
      </c>
      <c r="AH106" s="32">
        <v>1</v>
      </c>
      <c r="AI106" s="32">
        <v>1</v>
      </c>
      <c r="AJ106" s="32">
        <v>1</v>
      </c>
      <c r="AK106" s="20" t="s">
        <v>165</v>
      </c>
      <c r="AL106" s="16" t="s">
        <v>61</v>
      </c>
      <c r="AM106" s="16" t="s">
        <v>61</v>
      </c>
      <c r="AN106" s="16" t="s">
        <v>61</v>
      </c>
    </row>
    <row r="107" spans="2:40" x14ac:dyDescent="0.25">
      <c r="B107" s="85">
        <f t="shared" si="16"/>
        <v>60</v>
      </c>
      <c r="C107" s="17">
        <v>20200429</v>
      </c>
      <c r="D107" s="16" t="s">
        <v>3</v>
      </c>
      <c r="E107" s="16" t="s">
        <v>370</v>
      </c>
      <c r="F107" s="119" t="s">
        <v>1054</v>
      </c>
      <c r="G107" s="116">
        <v>1411876</v>
      </c>
      <c r="H107" s="114" t="s">
        <v>61</v>
      </c>
      <c r="I107" s="115" t="s">
        <v>398</v>
      </c>
      <c r="J107" s="57" t="s">
        <v>61</v>
      </c>
      <c r="K107" s="16" t="s">
        <v>161</v>
      </c>
      <c r="L107" s="16" t="s">
        <v>165</v>
      </c>
      <c r="M107" s="16" t="s">
        <v>165</v>
      </c>
      <c r="N107" s="16" t="s">
        <v>420</v>
      </c>
      <c r="O107" s="18" t="s">
        <v>61</v>
      </c>
      <c r="P107" s="18" t="s">
        <v>403</v>
      </c>
      <c r="Q107" s="19"/>
      <c r="R107" s="57" t="s">
        <v>61</v>
      </c>
      <c r="S107" s="16" t="s">
        <v>68</v>
      </c>
      <c r="T107" s="16"/>
      <c r="U107" s="16"/>
      <c r="V107" s="16">
        <v>90</v>
      </c>
      <c r="W107" s="16">
        <f t="shared" si="14"/>
        <v>90</v>
      </c>
      <c r="X107" s="16">
        <f t="shared" si="22"/>
        <v>90</v>
      </c>
      <c r="Y107" s="16">
        <f>ROUNDDOWN(W107/HLOOKUP(D107,Table!$C$3:$D$4,2,0)*8,2)</f>
        <v>1.6</v>
      </c>
      <c r="Z107" s="16">
        <v>1</v>
      </c>
      <c r="AA107" s="16" t="s">
        <v>74</v>
      </c>
      <c r="AB107" s="20">
        <v>43964</v>
      </c>
      <c r="AC107" s="20">
        <v>43955</v>
      </c>
      <c r="AD107" s="20">
        <v>43966</v>
      </c>
      <c r="AE107" s="20">
        <v>43959</v>
      </c>
      <c r="AF107" s="20">
        <v>43959</v>
      </c>
      <c r="AG107" s="20" t="s">
        <v>335</v>
      </c>
      <c r="AH107" s="32">
        <v>1</v>
      </c>
      <c r="AI107" s="32">
        <v>1</v>
      </c>
      <c r="AJ107" s="32">
        <v>1</v>
      </c>
      <c r="AK107" s="20" t="s">
        <v>165</v>
      </c>
      <c r="AL107" s="16" t="s">
        <v>61</v>
      </c>
      <c r="AM107" s="16" t="s">
        <v>61</v>
      </c>
      <c r="AN107" s="16" t="s">
        <v>61</v>
      </c>
    </row>
    <row r="108" spans="2:40" x14ac:dyDescent="0.25">
      <c r="B108" s="85">
        <f t="shared" si="16"/>
        <v>61</v>
      </c>
      <c r="C108" s="17">
        <v>20200429</v>
      </c>
      <c r="D108" s="16" t="s">
        <v>3</v>
      </c>
      <c r="E108" s="16" t="s">
        <v>370</v>
      </c>
      <c r="F108" s="80" t="s">
        <v>1056</v>
      </c>
      <c r="G108" s="18">
        <v>1411876</v>
      </c>
      <c r="H108" s="57" t="s">
        <v>61</v>
      </c>
      <c r="I108" s="115" t="s">
        <v>399</v>
      </c>
      <c r="J108" s="57" t="s">
        <v>61</v>
      </c>
      <c r="K108" s="16" t="s">
        <v>161</v>
      </c>
      <c r="L108" s="16" t="s">
        <v>165</v>
      </c>
      <c r="M108" s="16" t="s">
        <v>165</v>
      </c>
      <c r="N108" s="16" t="s">
        <v>420</v>
      </c>
      <c r="O108" s="18" t="s">
        <v>61</v>
      </c>
      <c r="P108" s="18" t="s">
        <v>403</v>
      </c>
      <c r="Q108" s="19"/>
      <c r="R108" s="57" t="s">
        <v>61</v>
      </c>
      <c r="S108" s="16" t="s">
        <v>69</v>
      </c>
      <c r="T108" s="16"/>
      <c r="U108" s="16"/>
      <c r="V108" s="16">
        <v>45</v>
      </c>
      <c r="W108" s="16">
        <f t="shared" si="14"/>
        <v>45</v>
      </c>
      <c r="X108" s="16">
        <f t="shared" si="22"/>
        <v>45</v>
      </c>
      <c r="Y108" s="16">
        <f>ROUNDDOWN(W108/HLOOKUP(D108,Table!$C$3:$D$4,2,0)*8,2)</f>
        <v>0.8</v>
      </c>
      <c r="Z108" s="16">
        <v>0.5</v>
      </c>
      <c r="AA108" s="16" t="s">
        <v>74</v>
      </c>
      <c r="AB108" s="20">
        <v>43964</v>
      </c>
      <c r="AC108" s="20">
        <v>43955</v>
      </c>
      <c r="AD108" s="20">
        <v>43966</v>
      </c>
      <c r="AE108" s="20">
        <v>43956</v>
      </c>
      <c r="AF108" s="20">
        <v>43956</v>
      </c>
      <c r="AG108" s="20" t="s">
        <v>336</v>
      </c>
      <c r="AH108" s="32">
        <v>0.37</v>
      </c>
      <c r="AI108" s="32">
        <v>1</v>
      </c>
      <c r="AJ108" s="32">
        <v>1</v>
      </c>
      <c r="AK108" s="20" t="s">
        <v>149</v>
      </c>
      <c r="AL108" s="18" t="s">
        <v>447</v>
      </c>
      <c r="AM108" s="16"/>
      <c r="AN108" s="152" t="s">
        <v>448</v>
      </c>
    </row>
    <row r="109" spans="2:40" x14ac:dyDescent="0.25">
      <c r="B109" s="85">
        <f t="shared" si="16"/>
        <v>62</v>
      </c>
      <c r="C109" s="17">
        <v>20200429</v>
      </c>
      <c r="D109" s="16" t="s">
        <v>3</v>
      </c>
      <c r="E109" s="16" t="s">
        <v>370</v>
      </c>
      <c r="F109" s="80" t="s">
        <v>1057</v>
      </c>
      <c r="G109" s="18">
        <v>1411876</v>
      </c>
      <c r="H109" s="57" t="s">
        <v>61</v>
      </c>
      <c r="I109" s="115" t="s">
        <v>400</v>
      </c>
      <c r="J109" s="57" t="s">
        <v>61</v>
      </c>
      <c r="K109" s="16" t="s">
        <v>161</v>
      </c>
      <c r="L109" s="16" t="s">
        <v>165</v>
      </c>
      <c r="M109" s="16" t="s">
        <v>165</v>
      </c>
      <c r="N109" s="16" t="s">
        <v>420</v>
      </c>
      <c r="O109" s="18" t="s">
        <v>61</v>
      </c>
      <c r="P109" s="18" t="s">
        <v>403</v>
      </c>
      <c r="Q109" s="19"/>
      <c r="R109" s="57" t="s">
        <v>61</v>
      </c>
      <c r="S109" s="16" t="s">
        <v>69</v>
      </c>
      <c r="T109" s="16"/>
      <c r="U109" s="16"/>
      <c r="V109" s="16">
        <v>68</v>
      </c>
      <c r="W109" s="16">
        <f t="shared" si="14"/>
        <v>68</v>
      </c>
      <c r="X109" s="16">
        <f t="shared" si="22"/>
        <v>68</v>
      </c>
      <c r="Y109" s="16">
        <f>ROUNDDOWN(W109/HLOOKUP(D109,Table!$C$3:$D$4,2,0)*8,2)</f>
        <v>1.2</v>
      </c>
      <c r="Z109" s="16">
        <v>1</v>
      </c>
      <c r="AA109" s="16" t="s">
        <v>74</v>
      </c>
      <c r="AB109" s="20">
        <v>43964</v>
      </c>
      <c r="AC109" s="20">
        <v>43955</v>
      </c>
      <c r="AD109" s="20">
        <v>43966</v>
      </c>
      <c r="AE109" s="20">
        <v>43956</v>
      </c>
      <c r="AF109" s="20">
        <v>43956</v>
      </c>
      <c r="AG109" s="20" t="s">
        <v>335</v>
      </c>
      <c r="AH109" s="32">
        <v>1</v>
      </c>
      <c r="AI109" s="32">
        <v>1</v>
      </c>
      <c r="AJ109" s="32">
        <v>1</v>
      </c>
      <c r="AK109" s="20" t="s">
        <v>165</v>
      </c>
      <c r="AL109" s="16"/>
      <c r="AM109" s="16"/>
      <c r="AN109" s="16"/>
    </row>
    <row r="110" spans="2:40" x14ac:dyDescent="0.25">
      <c r="B110" s="85">
        <f t="shared" si="16"/>
        <v>63</v>
      </c>
      <c r="C110" s="17">
        <v>20200429</v>
      </c>
      <c r="D110" s="16" t="s">
        <v>3</v>
      </c>
      <c r="E110" s="16" t="s">
        <v>370</v>
      </c>
      <c r="F110" s="80" t="s">
        <v>1058</v>
      </c>
      <c r="G110" s="18">
        <v>1411876</v>
      </c>
      <c r="H110" s="57" t="s">
        <v>61</v>
      </c>
      <c r="I110" s="115" t="s">
        <v>401</v>
      </c>
      <c r="J110" s="57" t="s">
        <v>61</v>
      </c>
      <c r="K110" s="16" t="s">
        <v>161</v>
      </c>
      <c r="L110" s="16" t="s">
        <v>165</v>
      </c>
      <c r="M110" s="16" t="s">
        <v>165</v>
      </c>
      <c r="N110" s="16" t="s">
        <v>420</v>
      </c>
      <c r="O110" s="18" t="s">
        <v>61</v>
      </c>
      <c r="P110" s="18" t="s">
        <v>403</v>
      </c>
      <c r="Q110" s="19"/>
      <c r="R110" s="57" t="s">
        <v>61</v>
      </c>
      <c r="S110" s="16" t="s">
        <v>69</v>
      </c>
      <c r="T110" s="16"/>
      <c r="U110" s="16"/>
      <c r="V110" s="16">
        <v>137</v>
      </c>
      <c r="W110" s="16">
        <f t="shared" si="14"/>
        <v>137</v>
      </c>
      <c r="X110" s="16">
        <f t="shared" si="22"/>
        <v>137</v>
      </c>
      <c r="Y110" s="16">
        <f>ROUNDDOWN(W110/HLOOKUP(D110,Table!$C$3:$D$4,2,0)*8,2)</f>
        <v>2.4300000000000002</v>
      </c>
      <c r="Z110" s="16">
        <v>1</v>
      </c>
      <c r="AA110" s="16" t="s">
        <v>74</v>
      </c>
      <c r="AB110" s="20">
        <v>43964</v>
      </c>
      <c r="AC110" s="20">
        <v>43955</v>
      </c>
      <c r="AD110" s="20">
        <v>43966</v>
      </c>
      <c r="AE110" s="20">
        <v>43956</v>
      </c>
      <c r="AF110" s="20">
        <v>43956</v>
      </c>
      <c r="AG110" s="20" t="s">
        <v>336</v>
      </c>
      <c r="AH110" s="32">
        <v>0.6</v>
      </c>
      <c r="AI110" s="32">
        <v>0.53</v>
      </c>
      <c r="AJ110" s="32">
        <v>1</v>
      </c>
      <c r="AK110" s="20" t="s">
        <v>149</v>
      </c>
      <c r="AL110" s="18" t="s">
        <v>469</v>
      </c>
      <c r="AM110" s="16"/>
      <c r="AN110" s="152" t="s">
        <v>448</v>
      </c>
    </row>
    <row r="111" spans="2:40" x14ac:dyDescent="0.25">
      <c r="B111" s="85">
        <f t="shared" si="16"/>
        <v>64</v>
      </c>
      <c r="C111" s="17">
        <v>20200429</v>
      </c>
      <c r="D111" s="16" t="s">
        <v>3</v>
      </c>
      <c r="E111" s="16" t="s">
        <v>370</v>
      </c>
      <c r="F111" s="119" t="s">
        <v>1059</v>
      </c>
      <c r="G111" s="116">
        <v>1411876</v>
      </c>
      <c r="H111" s="114" t="s">
        <v>61</v>
      </c>
      <c r="I111" s="115" t="s">
        <v>402</v>
      </c>
      <c r="J111" s="57" t="s">
        <v>61</v>
      </c>
      <c r="K111" s="16" t="s">
        <v>161</v>
      </c>
      <c r="L111" s="16" t="s">
        <v>165</v>
      </c>
      <c r="M111" s="16" t="s">
        <v>165</v>
      </c>
      <c r="N111" s="16" t="s">
        <v>420</v>
      </c>
      <c r="O111" s="18" t="s">
        <v>61</v>
      </c>
      <c r="P111" s="18" t="s">
        <v>403</v>
      </c>
      <c r="Q111" s="19"/>
      <c r="R111" s="57" t="s">
        <v>61</v>
      </c>
      <c r="S111" s="16" t="s">
        <v>68</v>
      </c>
      <c r="T111" s="16"/>
      <c r="U111" s="16"/>
      <c r="V111" s="16">
        <v>102</v>
      </c>
      <c r="W111" s="16">
        <f t="shared" si="14"/>
        <v>102</v>
      </c>
      <c r="X111" s="16">
        <f t="shared" si="22"/>
        <v>102</v>
      </c>
      <c r="Y111" s="16">
        <f>ROUNDDOWN(W111/HLOOKUP(D111,Table!$C$3:$D$4,2,0)*8,2)</f>
        <v>1.81</v>
      </c>
      <c r="Z111" s="16">
        <v>1</v>
      </c>
      <c r="AA111" s="16" t="s">
        <v>74</v>
      </c>
      <c r="AB111" s="20">
        <v>43964</v>
      </c>
      <c r="AC111" s="20">
        <v>43955</v>
      </c>
      <c r="AD111" s="20">
        <v>43966</v>
      </c>
      <c r="AE111" s="20">
        <v>43959</v>
      </c>
      <c r="AF111" s="20">
        <v>43959</v>
      </c>
      <c r="AG111" s="20" t="s">
        <v>336</v>
      </c>
      <c r="AH111" s="32">
        <v>0.71</v>
      </c>
      <c r="AI111" s="32">
        <v>0.6</v>
      </c>
      <c r="AJ111" s="32">
        <v>1</v>
      </c>
      <c r="AK111" s="20" t="s">
        <v>149</v>
      </c>
      <c r="AL111" s="18" t="s">
        <v>609</v>
      </c>
      <c r="AM111" s="16" t="s">
        <v>61</v>
      </c>
      <c r="AN111" s="152" t="s">
        <v>448</v>
      </c>
    </row>
    <row r="112" spans="2:40" x14ac:dyDescent="0.25">
      <c r="B112" s="106">
        <f t="shared" si="16"/>
        <v>65</v>
      </c>
      <c r="C112" s="17">
        <v>20200504</v>
      </c>
      <c r="D112" s="16" t="s">
        <v>3</v>
      </c>
      <c r="E112" s="92" t="s">
        <v>423</v>
      </c>
      <c r="F112" s="80" t="s">
        <v>1060</v>
      </c>
      <c r="G112" s="92">
        <v>1443329</v>
      </c>
      <c r="H112" s="57" t="s">
        <v>61</v>
      </c>
      <c r="I112" s="122" t="s">
        <v>425</v>
      </c>
      <c r="J112" s="57" t="s">
        <v>61</v>
      </c>
      <c r="K112" s="16" t="s">
        <v>161</v>
      </c>
      <c r="L112" s="16" t="s">
        <v>165</v>
      </c>
      <c r="M112" s="92" t="s">
        <v>426</v>
      </c>
      <c r="N112" s="92" t="s">
        <v>429</v>
      </c>
      <c r="O112" s="18" t="s">
        <v>61</v>
      </c>
      <c r="P112" s="86" t="s">
        <v>432</v>
      </c>
      <c r="Q112" s="19"/>
      <c r="R112" s="57" t="s">
        <v>61</v>
      </c>
      <c r="S112" s="16" t="s">
        <v>69</v>
      </c>
      <c r="T112" s="16"/>
      <c r="U112" s="16"/>
      <c r="V112" s="16">
        <v>82</v>
      </c>
      <c r="W112" s="16">
        <f>V112</f>
        <v>82</v>
      </c>
      <c r="X112" s="16">
        <f t="shared" si="22"/>
        <v>82</v>
      </c>
      <c r="Y112" s="16">
        <f>ROUNDDOWN(W112/HLOOKUP(D112,Table!$C$3:$D$4,2,0)*8,2)</f>
        <v>1.45</v>
      </c>
      <c r="Z112" s="16">
        <v>1</v>
      </c>
      <c r="AA112" s="16" t="s">
        <v>74</v>
      </c>
      <c r="AB112" s="20">
        <v>43956</v>
      </c>
      <c r="AC112" s="20">
        <v>43955</v>
      </c>
      <c r="AD112" s="20">
        <v>43957</v>
      </c>
      <c r="AE112" s="20">
        <v>43956</v>
      </c>
      <c r="AF112" s="20">
        <v>43956</v>
      </c>
      <c r="AG112" s="20" t="s">
        <v>335</v>
      </c>
      <c r="AH112" s="32">
        <v>1</v>
      </c>
      <c r="AI112" s="32">
        <v>1</v>
      </c>
      <c r="AJ112" s="32">
        <v>1</v>
      </c>
      <c r="AK112" s="20" t="s">
        <v>165</v>
      </c>
      <c r="AL112" s="16" t="s">
        <v>61</v>
      </c>
      <c r="AM112" s="16" t="s">
        <v>61</v>
      </c>
      <c r="AN112" s="16" t="s">
        <v>61</v>
      </c>
    </row>
    <row r="113" spans="2:40" x14ac:dyDescent="0.25">
      <c r="B113" s="106">
        <f t="shared" si="16"/>
        <v>66</v>
      </c>
      <c r="C113" s="17">
        <v>20200504</v>
      </c>
      <c r="D113" s="16" t="s">
        <v>2</v>
      </c>
      <c r="E113" s="92" t="s">
        <v>424</v>
      </c>
      <c r="F113" s="112" t="s">
        <v>61</v>
      </c>
      <c r="G113" s="92">
        <v>1445490</v>
      </c>
      <c r="H113" s="57" t="s">
        <v>61</v>
      </c>
      <c r="I113" s="122" t="s">
        <v>442</v>
      </c>
      <c r="J113" s="57" t="s">
        <v>61</v>
      </c>
      <c r="K113" s="16" t="s">
        <v>161</v>
      </c>
      <c r="L113" s="93" t="s">
        <v>428</v>
      </c>
      <c r="M113" s="92" t="s">
        <v>427</v>
      </c>
      <c r="N113" s="92" t="s">
        <v>430</v>
      </c>
      <c r="O113" s="94" t="s">
        <v>431</v>
      </c>
      <c r="P113" s="86" t="s">
        <v>433</v>
      </c>
      <c r="Q113" s="19"/>
      <c r="R113" s="57" t="s">
        <v>61</v>
      </c>
      <c r="S113" s="16" t="s">
        <v>67</v>
      </c>
      <c r="T113" s="16"/>
      <c r="U113" s="16"/>
      <c r="V113" s="16">
        <v>45</v>
      </c>
      <c r="W113" s="16">
        <f>V113</f>
        <v>45</v>
      </c>
      <c r="X113" s="16">
        <v>45</v>
      </c>
      <c r="Y113" s="16">
        <f>ROUNDDOWN(W113/HLOOKUP(D113,Table!$C$3:$D$4,2,0)*8,2)</f>
        <v>2.76</v>
      </c>
      <c r="Z113" s="16">
        <v>3</v>
      </c>
      <c r="AA113" s="16" t="s">
        <v>74</v>
      </c>
      <c r="AB113" s="20">
        <v>43956</v>
      </c>
      <c r="AC113" s="20">
        <v>43955</v>
      </c>
      <c r="AD113" s="20">
        <v>43957</v>
      </c>
      <c r="AE113" s="20">
        <v>43956</v>
      </c>
      <c r="AF113" s="20">
        <v>43956</v>
      </c>
      <c r="AG113" s="20" t="s">
        <v>335</v>
      </c>
      <c r="AH113" s="32">
        <v>1</v>
      </c>
      <c r="AI113" s="32">
        <v>1</v>
      </c>
      <c r="AJ113" s="32">
        <v>1</v>
      </c>
      <c r="AK113" s="20" t="s">
        <v>165</v>
      </c>
      <c r="AL113" s="16" t="s">
        <v>61</v>
      </c>
      <c r="AM113" s="16" t="s">
        <v>61</v>
      </c>
      <c r="AN113" s="16" t="s">
        <v>61</v>
      </c>
    </row>
    <row r="114" spans="2:40" x14ac:dyDescent="0.25">
      <c r="B114" s="107">
        <f t="shared" si="16"/>
        <v>67</v>
      </c>
      <c r="C114" s="17">
        <v>20200506</v>
      </c>
      <c r="D114" s="16" t="s">
        <v>3</v>
      </c>
      <c r="E114" s="16" t="s">
        <v>475</v>
      </c>
      <c r="F114" s="80" t="s">
        <v>551</v>
      </c>
      <c r="G114" s="18">
        <v>1449890</v>
      </c>
      <c r="H114" s="57" t="s">
        <v>61</v>
      </c>
      <c r="I114" s="122" t="s">
        <v>172</v>
      </c>
      <c r="J114" s="57" t="s">
        <v>61</v>
      </c>
      <c r="K114" s="16" t="s">
        <v>161</v>
      </c>
      <c r="L114" s="16" t="s">
        <v>496</v>
      </c>
      <c r="M114" s="16" t="s">
        <v>479</v>
      </c>
      <c r="N114" s="16" t="s">
        <v>499</v>
      </c>
      <c r="O114" s="18" t="s">
        <v>61</v>
      </c>
      <c r="P114" s="18" t="s">
        <v>492</v>
      </c>
      <c r="Q114" s="19"/>
      <c r="R114" s="57" t="s">
        <v>61</v>
      </c>
      <c r="S114" s="16" t="s">
        <v>64</v>
      </c>
      <c r="T114" s="16"/>
      <c r="U114" s="16"/>
      <c r="V114" s="16">
        <v>101</v>
      </c>
      <c r="W114" s="16">
        <f t="shared" ref="W114:W129" si="23">V114</f>
        <v>101</v>
      </c>
      <c r="X114" s="16">
        <f>W114</f>
        <v>101</v>
      </c>
      <c r="Y114" s="16">
        <f>ROUNDDOWN(W114/HLOOKUP(D114,Table!$C$3:$D$4,2,0)*8,2)</f>
        <v>1.79</v>
      </c>
      <c r="Z114" s="16">
        <v>2</v>
      </c>
      <c r="AA114" s="16" t="s">
        <v>74</v>
      </c>
      <c r="AB114" s="20">
        <v>43959</v>
      </c>
      <c r="AC114" s="20">
        <v>43957</v>
      </c>
      <c r="AD114" s="20">
        <v>43959</v>
      </c>
      <c r="AE114" s="20">
        <v>43957</v>
      </c>
      <c r="AF114" s="20">
        <v>43957</v>
      </c>
      <c r="AG114" s="20" t="s">
        <v>335</v>
      </c>
      <c r="AH114" s="32">
        <v>1</v>
      </c>
      <c r="AI114" s="32">
        <v>1</v>
      </c>
      <c r="AJ114" s="32">
        <v>1</v>
      </c>
      <c r="AK114" s="20" t="s">
        <v>165</v>
      </c>
      <c r="AL114" s="16" t="s">
        <v>61</v>
      </c>
      <c r="AM114" s="16" t="s">
        <v>61</v>
      </c>
      <c r="AN114" s="16" t="s">
        <v>61</v>
      </c>
    </row>
    <row r="115" spans="2:40" x14ac:dyDescent="0.25">
      <c r="B115" s="107">
        <f t="shared" si="16"/>
        <v>68</v>
      </c>
      <c r="C115" s="17">
        <v>20200506</v>
      </c>
      <c r="D115" s="16" t="s">
        <v>3</v>
      </c>
      <c r="E115" s="16" t="s">
        <v>475</v>
      </c>
      <c r="F115" s="80" t="s">
        <v>552</v>
      </c>
      <c r="G115" s="18">
        <v>1449890</v>
      </c>
      <c r="H115" s="57" t="s">
        <v>61</v>
      </c>
      <c r="I115" s="16" t="s">
        <v>481</v>
      </c>
      <c r="J115" s="57" t="s">
        <v>61</v>
      </c>
      <c r="K115" s="16" t="s">
        <v>161</v>
      </c>
      <c r="L115" s="16" t="s">
        <v>496</v>
      </c>
      <c r="M115" s="16" t="s">
        <v>479</v>
      </c>
      <c r="N115" s="16" t="s">
        <v>499</v>
      </c>
      <c r="O115" s="18" t="s">
        <v>61</v>
      </c>
      <c r="P115" s="18" t="s">
        <v>492</v>
      </c>
      <c r="Q115" s="19"/>
      <c r="R115" s="57" t="s">
        <v>61</v>
      </c>
      <c r="S115" s="16" t="s">
        <v>64</v>
      </c>
      <c r="T115" s="16"/>
      <c r="U115" s="16"/>
      <c r="V115" s="16">
        <v>66</v>
      </c>
      <c r="W115" s="16">
        <f t="shared" si="23"/>
        <v>66</v>
      </c>
      <c r="X115" s="16">
        <f>W115</f>
        <v>66</v>
      </c>
      <c r="Y115" s="16">
        <f>ROUNDDOWN(W115/HLOOKUP(D115,Table!$C$3:$D$4,2,0)*8,2)</f>
        <v>1.17</v>
      </c>
      <c r="Z115" s="16">
        <v>1</v>
      </c>
      <c r="AA115" s="16" t="s">
        <v>74</v>
      </c>
      <c r="AB115" s="20">
        <v>43959</v>
      </c>
      <c r="AC115" s="20">
        <v>43957</v>
      </c>
      <c r="AD115" s="20">
        <v>43959</v>
      </c>
      <c r="AE115" s="20">
        <v>43957</v>
      </c>
      <c r="AF115" s="20">
        <v>43957</v>
      </c>
      <c r="AG115" s="20" t="s">
        <v>335</v>
      </c>
      <c r="AH115" s="32">
        <v>1</v>
      </c>
      <c r="AI115" s="32">
        <v>1</v>
      </c>
      <c r="AJ115" s="32">
        <v>1</v>
      </c>
      <c r="AK115" s="20" t="s">
        <v>165</v>
      </c>
      <c r="AL115" s="16" t="s">
        <v>61</v>
      </c>
      <c r="AM115" s="16" t="s">
        <v>61</v>
      </c>
      <c r="AN115" s="16" t="s">
        <v>61</v>
      </c>
    </row>
    <row r="116" spans="2:40" x14ac:dyDescent="0.25">
      <c r="B116" s="107">
        <f t="shared" si="16"/>
        <v>69</v>
      </c>
      <c r="C116" s="17">
        <v>20200506</v>
      </c>
      <c r="D116" s="16" t="s">
        <v>3</v>
      </c>
      <c r="E116" s="16" t="s">
        <v>476</v>
      </c>
      <c r="F116" s="80" t="s">
        <v>553</v>
      </c>
      <c r="G116" s="18">
        <v>1446629</v>
      </c>
      <c r="H116" s="57" t="s">
        <v>61</v>
      </c>
      <c r="I116" s="16" t="s">
        <v>608</v>
      </c>
      <c r="J116" s="57" t="s">
        <v>61</v>
      </c>
      <c r="K116" s="16" t="s">
        <v>161</v>
      </c>
      <c r="L116" s="16" t="s">
        <v>165</v>
      </c>
      <c r="M116" s="16" t="s">
        <v>170</v>
      </c>
      <c r="N116" s="16" t="s">
        <v>500</v>
      </c>
      <c r="O116" s="18" t="s">
        <v>61</v>
      </c>
      <c r="P116" s="18" t="s">
        <v>493</v>
      </c>
      <c r="Q116" s="19"/>
      <c r="R116" s="57" t="s">
        <v>61</v>
      </c>
      <c r="S116" s="16" t="s">
        <v>64</v>
      </c>
      <c r="T116" s="16"/>
      <c r="U116" s="16"/>
      <c r="V116" s="16">
        <v>86</v>
      </c>
      <c r="W116" s="16">
        <f t="shared" si="23"/>
        <v>86</v>
      </c>
      <c r="X116" s="16">
        <f>W116</f>
        <v>86</v>
      </c>
      <c r="Y116" s="16">
        <f>ROUNDDOWN(W116/HLOOKUP(D116,Table!$C$3:$D$4,2,0)*8,2)</f>
        <v>1.52</v>
      </c>
      <c r="Z116" s="16">
        <v>4</v>
      </c>
      <c r="AA116" s="16" t="s">
        <v>74</v>
      </c>
      <c r="AB116" s="20">
        <v>43959</v>
      </c>
      <c r="AC116" s="20">
        <v>43957</v>
      </c>
      <c r="AD116" s="20">
        <v>43959</v>
      </c>
      <c r="AE116" s="20">
        <v>43958</v>
      </c>
      <c r="AF116" s="20">
        <v>43958</v>
      </c>
      <c r="AG116" s="20" t="s">
        <v>335</v>
      </c>
      <c r="AH116" s="32">
        <v>1</v>
      </c>
      <c r="AI116" s="32">
        <v>1</v>
      </c>
      <c r="AJ116" s="32">
        <v>1</v>
      </c>
      <c r="AK116" s="20" t="s">
        <v>165</v>
      </c>
      <c r="AL116" s="16" t="s">
        <v>61</v>
      </c>
      <c r="AM116" s="16" t="s">
        <v>61</v>
      </c>
      <c r="AN116" s="16" t="s">
        <v>61</v>
      </c>
    </row>
    <row r="117" spans="2:40" x14ac:dyDescent="0.25">
      <c r="B117" s="107">
        <f t="shared" ref="B117" si="24">B116+1</f>
        <v>70</v>
      </c>
      <c r="C117" s="17">
        <v>20200506</v>
      </c>
      <c r="D117" s="16" t="s">
        <v>3</v>
      </c>
      <c r="E117" s="16" t="s">
        <v>477</v>
      </c>
      <c r="F117" s="110" t="s">
        <v>565</v>
      </c>
      <c r="G117" s="18">
        <v>1449424</v>
      </c>
      <c r="H117" s="57" t="s">
        <v>61</v>
      </c>
      <c r="I117" s="16" t="s">
        <v>176</v>
      </c>
      <c r="J117" s="57" t="s">
        <v>61</v>
      </c>
      <c r="K117" s="16" t="s">
        <v>353</v>
      </c>
      <c r="L117" s="16" t="s">
        <v>497</v>
      </c>
      <c r="M117" s="16" t="s">
        <v>480</v>
      </c>
      <c r="N117" s="16" t="s">
        <v>501</v>
      </c>
      <c r="O117" s="18" t="s">
        <v>61</v>
      </c>
      <c r="P117" s="18" t="s">
        <v>494</v>
      </c>
      <c r="Q117" s="19"/>
      <c r="R117" s="57" t="s">
        <v>61</v>
      </c>
      <c r="S117" s="16" t="s">
        <v>64</v>
      </c>
      <c r="T117" s="16"/>
      <c r="U117" s="16"/>
      <c r="V117" s="16">
        <v>145</v>
      </c>
      <c r="W117" s="16">
        <f t="shared" si="23"/>
        <v>145</v>
      </c>
      <c r="X117" s="16">
        <f>W117</f>
        <v>145</v>
      </c>
      <c r="Y117" s="16">
        <f>ROUNDDOWN(W117/HLOOKUP(D117,Table!$C$3:$D$4,2,0)*8,2)</f>
        <v>2.57</v>
      </c>
      <c r="Z117" s="16">
        <v>4</v>
      </c>
      <c r="AA117" s="92" t="s">
        <v>74</v>
      </c>
      <c r="AB117" s="20">
        <v>43959</v>
      </c>
      <c r="AC117" s="20">
        <v>43957</v>
      </c>
      <c r="AD117" s="20">
        <v>43959</v>
      </c>
      <c r="AE117" s="20">
        <v>43958</v>
      </c>
      <c r="AF117" s="20">
        <v>43958</v>
      </c>
      <c r="AG117" s="20" t="s">
        <v>335</v>
      </c>
      <c r="AH117" s="32">
        <v>1</v>
      </c>
      <c r="AI117" s="32">
        <v>0.98</v>
      </c>
      <c r="AJ117" s="32">
        <v>1</v>
      </c>
      <c r="AK117" s="20" t="s">
        <v>149</v>
      </c>
      <c r="AL117" s="16" t="s">
        <v>594</v>
      </c>
      <c r="AM117" s="16"/>
      <c r="AN117" s="16" t="s">
        <v>448</v>
      </c>
    </row>
    <row r="118" spans="2:40" x14ac:dyDescent="0.25">
      <c r="B118" s="107">
        <f t="shared" ref="B118:B152" si="25">B117+1</f>
        <v>71</v>
      </c>
      <c r="C118" s="17">
        <v>20200506</v>
      </c>
      <c r="D118" s="16" t="s">
        <v>3</v>
      </c>
      <c r="E118" s="16" t="s">
        <v>477</v>
      </c>
      <c r="F118" s="110" t="s">
        <v>617</v>
      </c>
      <c r="G118" s="18">
        <v>1449424</v>
      </c>
      <c r="H118" s="57" t="s">
        <v>61</v>
      </c>
      <c r="I118" s="17" t="s">
        <v>482</v>
      </c>
      <c r="J118" s="57" t="s">
        <v>61</v>
      </c>
      <c r="K118" s="18" t="s">
        <v>353</v>
      </c>
      <c r="L118" s="16" t="s">
        <v>497</v>
      </c>
      <c r="M118" s="16" t="s">
        <v>480</v>
      </c>
      <c r="N118" s="16" t="s">
        <v>501</v>
      </c>
      <c r="O118" s="18" t="s">
        <v>61</v>
      </c>
      <c r="P118" s="18" t="s">
        <v>494</v>
      </c>
      <c r="Q118" s="19"/>
      <c r="R118" s="57"/>
      <c r="S118" s="16" t="s">
        <v>64</v>
      </c>
      <c r="T118" s="16"/>
      <c r="U118" s="16"/>
      <c r="V118" s="16">
        <v>503</v>
      </c>
      <c r="W118" s="16">
        <f>V118</f>
        <v>503</v>
      </c>
      <c r="X118" s="16">
        <f>W118</f>
        <v>503</v>
      </c>
      <c r="Y118" s="16">
        <f>ROUNDDOWN(W118/HLOOKUP(D118,Table!$C$3:$D$4,2,0)*8,2)</f>
        <v>8.94</v>
      </c>
      <c r="Z118" s="16">
        <v>4</v>
      </c>
      <c r="AA118" s="16" t="s">
        <v>74</v>
      </c>
      <c r="AB118" s="20">
        <v>43962</v>
      </c>
      <c r="AC118" s="20">
        <v>43962</v>
      </c>
      <c r="AD118" s="20">
        <v>43962</v>
      </c>
      <c r="AE118" s="20">
        <v>43962</v>
      </c>
      <c r="AF118" s="20">
        <v>43962</v>
      </c>
      <c r="AG118" s="20" t="s">
        <v>335</v>
      </c>
      <c r="AH118" s="32">
        <v>1</v>
      </c>
      <c r="AI118" s="32">
        <v>1</v>
      </c>
      <c r="AJ118" s="32">
        <v>1</v>
      </c>
      <c r="AK118" s="20" t="s">
        <v>165</v>
      </c>
      <c r="AL118" s="16" t="s">
        <v>61</v>
      </c>
      <c r="AM118" s="16" t="s">
        <v>61</v>
      </c>
      <c r="AN118" s="17" t="s">
        <v>618</v>
      </c>
    </row>
    <row r="119" spans="2:40" x14ac:dyDescent="0.25">
      <c r="B119" s="107">
        <f t="shared" si="25"/>
        <v>72</v>
      </c>
      <c r="C119" s="17">
        <v>20200506</v>
      </c>
      <c r="D119" s="16" t="s">
        <v>3</v>
      </c>
      <c r="E119" s="16" t="s">
        <v>478</v>
      </c>
      <c r="F119" s="80" t="s">
        <v>554</v>
      </c>
      <c r="G119" s="18">
        <v>1449711</v>
      </c>
      <c r="H119" s="57" t="s">
        <v>61</v>
      </c>
      <c r="I119" s="16" t="s">
        <v>482</v>
      </c>
      <c r="J119" s="57" t="s">
        <v>61</v>
      </c>
      <c r="K119" s="16" t="s">
        <v>161</v>
      </c>
      <c r="L119" s="16" t="s">
        <v>498</v>
      </c>
      <c r="M119" s="16" t="s">
        <v>549</v>
      </c>
      <c r="N119" s="16" t="s">
        <v>502</v>
      </c>
      <c r="O119" s="18" t="s">
        <v>61</v>
      </c>
      <c r="P119" s="18" t="s">
        <v>495</v>
      </c>
      <c r="Q119" s="19"/>
      <c r="R119" s="57" t="s">
        <v>61</v>
      </c>
      <c r="S119" s="16" t="s">
        <v>6</v>
      </c>
      <c r="T119" s="16"/>
      <c r="U119" s="16"/>
      <c r="V119" s="16">
        <v>444</v>
      </c>
      <c r="W119" s="16">
        <f t="shared" si="23"/>
        <v>444</v>
      </c>
      <c r="X119" s="16">
        <f t="shared" ref="X119:X128" si="26">W119</f>
        <v>444</v>
      </c>
      <c r="Y119" s="16">
        <f>ROUNDDOWN(W119/HLOOKUP(D119,Table!$C$3:$D$4,2,0)*8,2)</f>
        <v>7.89</v>
      </c>
      <c r="Z119" s="16">
        <v>2</v>
      </c>
      <c r="AA119" s="16" t="s">
        <v>74</v>
      </c>
      <c r="AB119" s="20">
        <v>43959</v>
      </c>
      <c r="AC119" s="20">
        <v>43957</v>
      </c>
      <c r="AD119" s="20">
        <v>43959</v>
      </c>
      <c r="AE119" s="20">
        <v>43958</v>
      </c>
      <c r="AF119" s="20">
        <v>43958</v>
      </c>
      <c r="AG119" s="20" t="s">
        <v>335</v>
      </c>
      <c r="AH119" s="32">
        <v>1</v>
      </c>
      <c r="AI119" s="32">
        <v>1</v>
      </c>
      <c r="AJ119" s="32">
        <v>1</v>
      </c>
      <c r="AK119" s="20" t="s">
        <v>165</v>
      </c>
      <c r="AL119" s="16" t="s">
        <v>61</v>
      </c>
      <c r="AM119" s="16" t="s">
        <v>61</v>
      </c>
      <c r="AN119" s="16" t="s">
        <v>61</v>
      </c>
    </row>
    <row r="120" spans="2:40" x14ac:dyDescent="0.25">
      <c r="B120" s="107">
        <f t="shared" si="25"/>
        <v>73</v>
      </c>
      <c r="C120" s="17">
        <v>20200506</v>
      </c>
      <c r="D120" s="16" t="s">
        <v>3</v>
      </c>
      <c r="E120" s="16" t="s">
        <v>478</v>
      </c>
      <c r="F120" s="80" t="s">
        <v>555</v>
      </c>
      <c r="G120" s="18">
        <v>1449711</v>
      </c>
      <c r="H120" s="57" t="s">
        <v>61</v>
      </c>
      <c r="I120" s="16" t="s">
        <v>483</v>
      </c>
      <c r="J120" s="57" t="s">
        <v>61</v>
      </c>
      <c r="K120" s="16" t="s">
        <v>161</v>
      </c>
      <c r="L120" s="16" t="s">
        <v>498</v>
      </c>
      <c r="M120" s="16" t="s">
        <v>549</v>
      </c>
      <c r="N120" s="16" t="s">
        <v>502</v>
      </c>
      <c r="O120" s="18" t="s">
        <v>61</v>
      </c>
      <c r="P120" s="18" t="s">
        <v>495</v>
      </c>
      <c r="Q120" s="19"/>
      <c r="R120" s="57" t="s">
        <v>61</v>
      </c>
      <c r="S120" s="16" t="s">
        <v>65</v>
      </c>
      <c r="T120" s="16"/>
      <c r="U120" s="16"/>
      <c r="V120" s="16">
        <v>117</v>
      </c>
      <c r="W120" s="16">
        <f t="shared" si="23"/>
        <v>117</v>
      </c>
      <c r="X120" s="16">
        <f t="shared" si="26"/>
        <v>117</v>
      </c>
      <c r="Y120" s="16">
        <f>ROUNDDOWN(W120/HLOOKUP(D120,Table!$C$3:$D$4,2,0)*8,2)</f>
        <v>2.08</v>
      </c>
      <c r="Z120" s="16">
        <v>0.5</v>
      </c>
      <c r="AA120" s="16" t="s">
        <v>74</v>
      </c>
      <c r="AB120" s="20">
        <v>43959</v>
      </c>
      <c r="AC120" s="20">
        <v>43957</v>
      </c>
      <c r="AD120" s="20">
        <v>43959</v>
      </c>
      <c r="AE120" s="20">
        <v>43957</v>
      </c>
      <c r="AF120" s="20">
        <v>43957</v>
      </c>
      <c r="AG120" s="20" t="s">
        <v>335</v>
      </c>
      <c r="AH120" s="32">
        <v>1</v>
      </c>
      <c r="AI120" s="32">
        <v>1</v>
      </c>
      <c r="AJ120" s="32">
        <v>1</v>
      </c>
      <c r="AK120" s="20" t="s">
        <v>165</v>
      </c>
      <c r="AL120" s="16" t="s">
        <v>61</v>
      </c>
      <c r="AM120" s="16" t="s">
        <v>61</v>
      </c>
      <c r="AN120" s="16" t="s">
        <v>61</v>
      </c>
    </row>
    <row r="121" spans="2:40" x14ac:dyDescent="0.25">
      <c r="B121" s="107">
        <f t="shared" si="25"/>
        <v>74</v>
      </c>
      <c r="C121" s="17">
        <v>20200506</v>
      </c>
      <c r="D121" s="16" t="s">
        <v>3</v>
      </c>
      <c r="E121" s="16" t="s">
        <v>478</v>
      </c>
      <c r="F121" s="80" t="s">
        <v>556</v>
      </c>
      <c r="G121" s="18">
        <v>1449711</v>
      </c>
      <c r="H121" s="57" t="s">
        <v>61</v>
      </c>
      <c r="I121" s="16" t="s">
        <v>181</v>
      </c>
      <c r="J121" s="57" t="s">
        <v>61</v>
      </c>
      <c r="K121" s="16" t="s">
        <v>161</v>
      </c>
      <c r="L121" s="16" t="s">
        <v>498</v>
      </c>
      <c r="M121" s="16" t="s">
        <v>549</v>
      </c>
      <c r="N121" s="16" t="s">
        <v>502</v>
      </c>
      <c r="O121" s="18" t="s">
        <v>61</v>
      </c>
      <c r="P121" s="18" t="s">
        <v>495</v>
      </c>
      <c r="Q121" s="19"/>
      <c r="R121" s="57" t="s">
        <v>61</v>
      </c>
      <c r="S121" s="16" t="s">
        <v>65</v>
      </c>
      <c r="T121" s="16"/>
      <c r="U121" s="16"/>
      <c r="V121" s="16">
        <v>76</v>
      </c>
      <c r="W121" s="16">
        <f t="shared" si="23"/>
        <v>76</v>
      </c>
      <c r="X121" s="16">
        <f t="shared" si="26"/>
        <v>76</v>
      </c>
      <c r="Y121" s="16">
        <f>ROUNDDOWN(W121/HLOOKUP(D121,Table!$C$3:$D$4,2,0)*8,2)</f>
        <v>1.35</v>
      </c>
      <c r="Z121" s="16">
        <v>0.5</v>
      </c>
      <c r="AA121" s="16" t="s">
        <v>74</v>
      </c>
      <c r="AB121" s="20">
        <v>43959</v>
      </c>
      <c r="AC121" s="20">
        <v>43957</v>
      </c>
      <c r="AD121" s="20">
        <v>43959</v>
      </c>
      <c r="AE121" s="20">
        <v>43957</v>
      </c>
      <c r="AF121" s="20">
        <v>43957</v>
      </c>
      <c r="AG121" s="20" t="s">
        <v>335</v>
      </c>
      <c r="AH121" s="32">
        <v>1</v>
      </c>
      <c r="AI121" s="32">
        <v>1</v>
      </c>
      <c r="AJ121" s="32">
        <v>1</v>
      </c>
      <c r="AK121" s="20" t="s">
        <v>165</v>
      </c>
      <c r="AL121" s="16" t="s">
        <v>61</v>
      </c>
      <c r="AM121" s="16" t="s">
        <v>61</v>
      </c>
      <c r="AN121" s="16" t="s">
        <v>61</v>
      </c>
    </row>
    <row r="122" spans="2:40" x14ac:dyDescent="0.25">
      <c r="B122" s="107">
        <f t="shared" si="25"/>
        <v>75</v>
      </c>
      <c r="C122" s="17">
        <v>20200506</v>
      </c>
      <c r="D122" s="16" t="s">
        <v>3</v>
      </c>
      <c r="E122" s="16" t="s">
        <v>478</v>
      </c>
      <c r="F122" s="80" t="s">
        <v>557</v>
      </c>
      <c r="G122" s="18">
        <v>1449711</v>
      </c>
      <c r="H122" s="57" t="s">
        <v>61</v>
      </c>
      <c r="I122" s="16" t="s">
        <v>484</v>
      </c>
      <c r="J122" s="57" t="s">
        <v>61</v>
      </c>
      <c r="K122" s="16" t="s">
        <v>161</v>
      </c>
      <c r="L122" s="16" t="s">
        <v>498</v>
      </c>
      <c r="M122" s="16" t="s">
        <v>549</v>
      </c>
      <c r="N122" s="16" t="s">
        <v>502</v>
      </c>
      <c r="O122" s="18" t="s">
        <v>61</v>
      </c>
      <c r="P122" s="18" t="s">
        <v>495</v>
      </c>
      <c r="Q122" s="19"/>
      <c r="R122" s="57" t="s">
        <v>61</v>
      </c>
      <c r="S122" s="16" t="s">
        <v>65</v>
      </c>
      <c r="T122" s="16"/>
      <c r="U122" s="16"/>
      <c r="V122" s="16">
        <v>114</v>
      </c>
      <c r="W122" s="16">
        <f t="shared" si="23"/>
        <v>114</v>
      </c>
      <c r="X122" s="16">
        <f t="shared" si="26"/>
        <v>114</v>
      </c>
      <c r="Y122" s="16">
        <f>ROUNDDOWN(W122/HLOOKUP(D122,Table!$C$3:$D$4,2,0)*8,2)</f>
        <v>2.02</v>
      </c>
      <c r="Z122" s="16">
        <v>0.5</v>
      </c>
      <c r="AA122" s="16" t="s">
        <v>74</v>
      </c>
      <c r="AB122" s="20">
        <v>43959</v>
      </c>
      <c r="AC122" s="20">
        <v>43957</v>
      </c>
      <c r="AD122" s="20">
        <v>43959</v>
      </c>
      <c r="AE122" s="20">
        <v>43957</v>
      </c>
      <c r="AF122" s="20">
        <v>43957</v>
      </c>
      <c r="AG122" s="20" t="s">
        <v>335</v>
      </c>
      <c r="AH122" s="32">
        <v>1</v>
      </c>
      <c r="AI122" s="32">
        <v>1</v>
      </c>
      <c r="AJ122" s="32">
        <v>1</v>
      </c>
      <c r="AK122" s="20" t="s">
        <v>165</v>
      </c>
      <c r="AL122" s="16" t="s">
        <v>61</v>
      </c>
      <c r="AM122" s="16" t="s">
        <v>61</v>
      </c>
      <c r="AN122" s="16" t="s">
        <v>61</v>
      </c>
    </row>
    <row r="123" spans="2:40" x14ac:dyDescent="0.25">
      <c r="B123" s="107">
        <f t="shared" si="25"/>
        <v>76</v>
      </c>
      <c r="C123" s="17">
        <v>20200506</v>
      </c>
      <c r="D123" s="16" t="s">
        <v>3</v>
      </c>
      <c r="E123" s="16" t="s">
        <v>478</v>
      </c>
      <c r="F123" s="80" t="s">
        <v>558</v>
      </c>
      <c r="G123" s="18">
        <v>1449711</v>
      </c>
      <c r="H123" s="57" t="s">
        <v>61</v>
      </c>
      <c r="I123" s="16" t="s">
        <v>485</v>
      </c>
      <c r="J123" s="57" t="s">
        <v>61</v>
      </c>
      <c r="K123" s="16" t="s">
        <v>161</v>
      </c>
      <c r="L123" s="16" t="s">
        <v>498</v>
      </c>
      <c r="M123" s="16" t="s">
        <v>549</v>
      </c>
      <c r="N123" s="16" t="s">
        <v>502</v>
      </c>
      <c r="O123" s="18" t="s">
        <v>61</v>
      </c>
      <c r="P123" s="18" t="s">
        <v>495</v>
      </c>
      <c r="Q123" s="19"/>
      <c r="R123" s="57" t="s">
        <v>61</v>
      </c>
      <c r="S123" s="16" t="s">
        <v>6</v>
      </c>
      <c r="T123" s="16"/>
      <c r="U123" s="16"/>
      <c r="V123" s="16">
        <v>262</v>
      </c>
      <c r="W123" s="16">
        <f t="shared" si="23"/>
        <v>262</v>
      </c>
      <c r="X123" s="16">
        <f t="shared" si="26"/>
        <v>262</v>
      </c>
      <c r="Y123" s="16">
        <f>ROUNDDOWN(W123/HLOOKUP(D123,Table!$C$3:$D$4,2,0)*8,2)</f>
        <v>4.6500000000000004</v>
      </c>
      <c r="Z123" s="16">
        <v>1</v>
      </c>
      <c r="AA123" s="16" t="s">
        <v>74</v>
      </c>
      <c r="AB123" s="20">
        <v>43959</v>
      </c>
      <c r="AC123" s="20">
        <v>43957</v>
      </c>
      <c r="AD123" s="20">
        <v>43959</v>
      </c>
      <c r="AE123" s="20">
        <v>43958</v>
      </c>
      <c r="AF123" s="20">
        <v>43958</v>
      </c>
      <c r="AG123" s="20" t="s">
        <v>335</v>
      </c>
      <c r="AH123" s="32">
        <v>1</v>
      </c>
      <c r="AI123" s="32">
        <v>1</v>
      </c>
      <c r="AJ123" s="32">
        <v>1</v>
      </c>
      <c r="AK123" s="20" t="s">
        <v>165</v>
      </c>
      <c r="AL123" s="16" t="s">
        <v>61</v>
      </c>
      <c r="AM123" s="16" t="s">
        <v>61</v>
      </c>
      <c r="AN123" s="16" t="s">
        <v>61</v>
      </c>
    </row>
    <row r="124" spans="2:40" x14ac:dyDescent="0.25">
      <c r="B124" s="107">
        <f t="shared" si="25"/>
        <v>77</v>
      </c>
      <c r="C124" s="17">
        <v>20200506</v>
      </c>
      <c r="D124" s="16" t="s">
        <v>3</v>
      </c>
      <c r="E124" s="16" t="s">
        <v>478</v>
      </c>
      <c r="F124" s="80" t="s">
        <v>559</v>
      </c>
      <c r="G124" s="18">
        <v>1449711</v>
      </c>
      <c r="H124" s="57" t="s">
        <v>61</v>
      </c>
      <c r="I124" s="16" t="s">
        <v>486</v>
      </c>
      <c r="J124" s="57" t="s">
        <v>61</v>
      </c>
      <c r="K124" s="16" t="s">
        <v>161</v>
      </c>
      <c r="L124" s="16" t="s">
        <v>498</v>
      </c>
      <c r="M124" s="16" t="s">
        <v>549</v>
      </c>
      <c r="N124" s="16" t="s">
        <v>502</v>
      </c>
      <c r="O124" s="18" t="s">
        <v>61</v>
      </c>
      <c r="P124" s="18" t="s">
        <v>495</v>
      </c>
      <c r="Q124" s="19"/>
      <c r="R124" s="57" t="s">
        <v>61</v>
      </c>
      <c r="S124" s="16" t="s">
        <v>157</v>
      </c>
      <c r="T124" s="16"/>
      <c r="U124" s="16"/>
      <c r="V124" s="16">
        <v>41</v>
      </c>
      <c r="W124" s="16">
        <f t="shared" si="23"/>
        <v>41</v>
      </c>
      <c r="X124" s="16">
        <f t="shared" si="26"/>
        <v>41</v>
      </c>
      <c r="Y124" s="16">
        <f>ROUNDDOWN(W124/HLOOKUP(D124,Table!$C$3:$D$4,2,0)*8,2)</f>
        <v>0.72</v>
      </c>
      <c r="Z124" s="16">
        <v>0.5</v>
      </c>
      <c r="AA124" s="16" t="s">
        <v>74</v>
      </c>
      <c r="AB124" s="20">
        <v>43959</v>
      </c>
      <c r="AC124" s="20">
        <v>43957</v>
      </c>
      <c r="AD124" s="20">
        <v>43959</v>
      </c>
      <c r="AE124" s="20">
        <v>43957</v>
      </c>
      <c r="AF124" s="20">
        <v>43957</v>
      </c>
      <c r="AG124" s="20" t="s">
        <v>335</v>
      </c>
      <c r="AH124" s="32">
        <v>1</v>
      </c>
      <c r="AI124" s="32">
        <v>1</v>
      </c>
      <c r="AJ124" s="32">
        <v>1</v>
      </c>
      <c r="AK124" s="20" t="s">
        <v>165</v>
      </c>
      <c r="AL124" s="16" t="s">
        <v>61</v>
      </c>
      <c r="AM124" s="16" t="s">
        <v>61</v>
      </c>
      <c r="AN124" s="16" t="s">
        <v>61</v>
      </c>
    </row>
    <row r="125" spans="2:40" x14ac:dyDescent="0.25">
      <c r="B125" s="107">
        <f t="shared" si="25"/>
        <v>78</v>
      </c>
      <c r="C125" s="17">
        <v>20200506</v>
      </c>
      <c r="D125" s="16" t="s">
        <v>3</v>
      </c>
      <c r="E125" s="16" t="s">
        <v>478</v>
      </c>
      <c r="F125" s="80" t="s">
        <v>560</v>
      </c>
      <c r="G125" s="18">
        <v>1449711</v>
      </c>
      <c r="H125" s="57" t="s">
        <v>61</v>
      </c>
      <c r="I125" s="16" t="s">
        <v>487</v>
      </c>
      <c r="J125" s="57" t="s">
        <v>61</v>
      </c>
      <c r="K125" s="16" t="s">
        <v>161</v>
      </c>
      <c r="L125" s="16" t="s">
        <v>498</v>
      </c>
      <c r="M125" s="16" t="s">
        <v>549</v>
      </c>
      <c r="N125" s="16" t="s">
        <v>502</v>
      </c>
      <c r="O125" s="18" t="s">
        <v>61</v>
      </c>
      <c r="P125" s="18" t="s">
        <v>495</v>
      </c>
      <c r="Q125" s="19"/>
      <c r="R125" s="57" t="s">
        <v>61</v>
      </c>
      <c r="S125" s="16" t="s">
        <v>157</v>
      </c>
      <c r="T125" s="16"/>
      <c r="U125" s="16"/>
      <c r="V125" s="16">
        <v>122</v>
      </c>
      <c r="W125" s="16">
        <f t="shared" si="23"/>
        <v>122</v>
      </c>
      <c r="X125" s="16">
        <f t="shared" si="26"/>
        <v>122</v>
      </c>
      <c r="Y125" s="16">
        <f>ROUNDDOWN(W125/HLOOKUP(D125,Table!$C$3:$D$4,2,0)*8,2)</f>
        <v>2.16</v>
      </c>
      <c r="Z125" s="16">
        <v>0.5</v>
      </c>
      <c r="AA125" s="16" t="s">
        <v>74</v>
      </c>
      <c r="AB125" s="20">
        <v>43959</v>
      </c>
      <c r="AC125" s="20">
        <v>43957</v>
      </c>
      <c r="AD125" s="20">
        <v>43959</v>
      </c>
      <c r="AE125" s="20">
        <v>43957</v>
      </c>
      <c r="AF125" s="20">
        <v>43957</v>
      </c>
      <c r="AG125" s="20" t="s">
        <v>335</v>
      </c>
      <c r="AH125" s="32">
        <v>1</v>
      </c>
      <c r="AI125" s="32">
        <v>1</v>
      </c>
      <c r="AJ125" s="32">
        <v>1</v>
      </c>
      <c r="AK125" s="20" t="s">
        <v>165</v>
      </c>
      <c r="AL125" s="16" t="s">
        <v>61</v>
      </c>
      <c r="AM125" s="16" t="s">
        <v>61</v>
      </c>
      <c r="AN125" s="16" t="s">
        <v>61</v>
      </c>
    </row>
    <row r="126" spans="2:40" x14ac:dyDescent="0.25">
      <c r="B126" s="107">
        <f t="shared" si="25"/>
        <v>79</v>
      </c>
      <c r="C126" s="17">
        <v>20200506</v>
      </c>
      <c r="D126" s="16" t="s">
        <v>3</v>
      </c>
      <c r="E126" s="16" t="s">
        <v>478</v>
      </c>
      <c r="F126" s="80" t="s">
        <v>561</v>
      </c>
      <c r="G126" s="18">
        <v>1449711</v>
      </c>
      <c r="H126" s="57" t="s">
        <v>61</v>
      </c>
      <c r="I126" s="16" t="s">
        <v>488</v>
      </c>
      <c r="J126" s="57" t="s">
        <v>61</v>
      </c>
      <c r="K126" s="16" t="s">
        <v>161</v>
      </c>
      <c r="L126" s="16" t="s">
        <v>498</v>
      </c>
      <c r="M126" s="16" t="s">
        <v>549</v>
      </c>
      <c r="N126" s="16" t="s">
        <v>502</v>
      </c>
      <c r="O126" s="18" t="s">
        <v>61</v>
      </c>
      <c r="P126" s="18" t="s">
        <v>495</v>
      </c>
      <c r="Q126" s="19"/>
      <c r="R126" s="57" t="s">
        <v>61</v>
      </c>
      <c r="S126" s="16" t="s">
        <v>157</v>
      </c>
      <c r="T126" s="16"/>
      <c r="U126" s="16"/>
      <c r="V126" s="16">
        <v>205</v>
      </c>
      <c r="W126" s="16">
        <f t="shared" si="23"/>
        <v>205</v>
      </c>
      <c r="X126" s="16">
        <f t="shared" si="26"/>
        <v>205</v>
      </c>
      <c r="Y126" s="16">
        <f>ROUNDDOWN(W126/HLOOKUP(D126,Table!$C$3:$D$4,2,0)*8,2)</f>
        <v>3.64</v>
      </c>
      <c r="Z126" s="16">
        <v>2</v>
      </c>
      <c r="AA126" s="16" t="s">
        <v>74</v>
      </c>
      <c r="AB126" s="20">
        <v>43959</v>
      </c>
      <c r="AC126" s="20">
        <v>43957</v>
      </c>
      <c r="AD126" s="20">
        <v>43959</v>
      </c>
      <c r="AE126" s="20">
        <v>43958</v>
      </c>
      <c r="AF126" s="20">
        <v>43958</v>
      </c>
      <c r="AG126" s="20" t="s">
        <v>335</v>
      </c>
      <c r="AH126" s="32">
        <v>1</v>
      </c>
      <c r="AI126" s="32">
        <v>1</v>
      </c>
      <c r="AJ126" s="32">
        <v>1</v>
      </c>
      <c r="AK126" s="20" t="s">
        <v>165</v>
      </c>
      <c r="AL126" s="16" t="s">
        <v>61</v>
      </c>
      <c r="AM126" s="16" t="s">
        <v>61</v>
      </c>
      <c r="AN126" s="16" t="s">
        <v>61</v>
      </c>
    </row>
    <row r="127" spans="2:40" x14ac:dyDescent="0.25">
      <c r="B127" s="107">
        <f t="shared" si="25"/>
        <v>80</v>
      </c>
      <c r="C127" s="17">
        <v>20200506</v>
      </c>
      <c r="D127" s="16" t="s">
        <v>3</v>
      </c>
      <c r="E127" s="16" t="s">
        <v>478</v>
      </c>
      <c r="F127" s="80" t="s">
        <v>562</v>
      </c>
      <c r="G127" s="18">
        <v>1449711</v>
      </c>
      <c r="H127" s="57" t="s">
        <v>61</v>
      </c>
      <c r="I127" s="16" t="s">
        <v>489</v>
      </c>
      <c r="J127" s="57" t="s">
        <v>61</v>
      </c>
      <c r="K127" s="16" t="s">
        <v>161</v>
      </c>
      <c r="L127" s="16" t="s">
        <v>498</v>
      </c>
      <c r="M127" s="16" t="s">
        <v>549</v>
      </c>
      <c r="N127" s="16" t="s">
        <v>502</v>
      </c>
      <c r="O127" s="18" t="s">
        <v>61</v>
      </c>
      <c r="P127" s="18" t="s">
        <v>495</v>
      </c>
      <c r="Q127" s="19"/>
      <c r="R127" s="57" t="s">
        <v>61</v>
      </c>
      <c r="S127" s="16" t="s">
        <v>157</v>
      </c>
      <c r="T127" s="16"/>
      <c r="U127" s="16"/>
      <c r="V127" s="16">
        <v>124</v>
      </c>
      <c r="W127" s="16">
        <f t="shared" si="23"/>
        <v>124</v>
      </c>
      <c r="X127" s="16">
        <f t="shared" si="26"/>
        <v>124</v>
      </c>
      <c r="Y127" s="16">
        <f>ROUNDDOWN(W127/HLOOKUP(D127,Table!$C$3:$D$4,2,0)*8,2)</f>
        <v>2.2000000000000002</v>
      </c>
      <c r="Z127" s="16">
        <v>1</v>
      </c>
      <c r="AA127" s="16" t="s">
        <v>74</v>
      </c>
      <c r="AB127" s="20">
        <v>43959</v>
      </c>
      <c r="AC127" s="20">
        <v>43957</v>
      </c>
      <c r="AD127" s="20">
        <v>43959</v>
      </c>
      <c r="AE127" s="20">
        <v>43958</v>
      </c>
      <c r="AF127" s="20">
        <v>43958</v>
      </c>
      <c r="AG127" s="20" t="s">
        <v>335</v>
      </c>
      <c r="AH127" s="32">
        <v>1</v>
      </c>
      <c r="AI127" s="32">
        <v>1</v>
      </c>
      <c r="AJ127" s="32">
        <v>1</v>
      </c>
      <c r="AK127" s="20" t="s">
        <v>165</v>
      </c>
      <c r="AL127" s="16" t="s">
        <v>61</v>
      </c>
      <c r="AM127" s="16" t="s">
        <v>61</v>
      </c>
      <c r="AN127" s="16" t="s">
        <v>61</v>
      </c>
    </row>
    <row r="128" spans="2:40" x14ac:dyDescent="0.25">
      <c r="B128" s="107">
        <f t="shared" si="25"/>
        <v>81</v>
      </c>
      <c r="C128" s="17">
        <v>20200506</v>
      </c>
      <c r="D128" s="16" t="s">
        <v>3</v>
      </c>
      <c r="E128" s="16" t="s">
        <v>478</v>
      </c>
      <c r="F128" s="80" t="s">
        <v>563</v>
      </c>
      <c r="G128" s="18">
        <v>1449711</v>
      </c>
      <c r="H128" s="57" t="s">
        <v>61</v>
      </c>
      <c r="I128" s="16" t="s">
        <v>490</v>
      </c>
      <c r="J128" s="57" t="s">
        <v>61</v>
      </c>
      <c r="K128" s="16" t="s">
        <v>161</v>
      </c>
      <c r="L128" s="16" t="s">
        <v>498</v>
      </c>
      <c r="M128" s="16" t="s">
        <v>549</v>
      </c>
      <c r="N128" s="16" t="s">
        <v>502</v>
      </c>
      <c r="O128" s="18" t="s">
        <v>61</v>
      </c>
      <c r="P128" s="18" t="s">
        <v>495</v>
      </c>
      <c r="Q128" s="19"/>
      <c r="R128" s="57" t="s">
        <v>61</v>
      </c>
      <c r="S128" s="16" t="s">
        <v>6</v>
      </c>
      <c r="T128" s="16"/>
      <c r="U128" s="16"/>
      <c r="V128" s="16">
        <v>143</v>
      </c>
      <c r="W128" s="16">
        <f t="shared" si="23"/>
        <v>143</v>
      </c>
      <c r="X128" s="16">
        <f t="shared" si="26"/>
        <v>143</v>
      </c>
      <c r="Y128" s="16">
        <f>ROUNDDOWN(W128/HLOOKUP(D128,Table!$C$3:$D$4,2,0)*8,2)</f>
        <v>2.54</v>
      </c>
      <c r="Z128" s="16">
        <v>1</v>
      </c>
      <c r="AA128" s="16" t="s">
        <v>74</v>
      </c>
      <c r="AB128" s="20">
        <v>43959</v>
      </c>
      <c r="AC128" s="20">
        <v>43957</v>
      </c>
      <c r="AD128" s="20">
        <v>43959</v>
      </c>
      <c r="AE128" s="20">
        <v>43958</v>
      </c>
      <c r="AF128" s="20">
        <v>43958</v>
      </c>
      <c r="AG128" s="20" t="s">
        <v>335</v>
      </c>
      <c r="AH128" s="32">
        <v>1</v>
      </c>
      <c r="AI128" s="32">
        <v>1</v>
      </c>
      <c r="AJ128" s="32">
        <v>1</v>
      </c>
      <c r="AK128" s="20" t="s">
        <v>165</v>
      </c>
      <c r="AL128" s="16" t="s">
        <v>61</v>
      </c>
      <c r="AM128" s="16" t="s">
        <v>61</v>
      </c>
      <c r="AN128" s="16" t="s">
        <v>61</v>
      </c>
    </row>
    <row r="129" spans="2:40" x14ac:dyDescent="0.25">
      <c r="B129" s="107">
        <f t="shared" si="25"/>
        <v>82</v>
      </c>
      <c r="C129" s="17">
        <v>20200506</v>
      </c>
      <c r="D129" s="16" t="s">
        <v>3</v>
      </c>
      <c r="E129" s="16" t="s">
        <v>478</v>
      </c>
      <c r="F129" s="80" t="s">
        <v>564</v>
      </c>
      <c r="G129" s="18">
        <v>1449711</v>
      </c>
      <c r="H129" s="57" t="s">
        <v>61</v>
      </c>
      <c r="I129" s="16" t="s">
        <v>491</v>
      </c>
      <c r="J129" s="57" t="s">
        <v>61</v>
      </c>
      <c r="K129" s="16" t="s">
        <v>161</v>
      </c>
      <c r="L129" s="16" t="s">
        <v>498</v>
      </c>
      <c r="M129" s="16" t="s">
        <v>549</v>
      </c>
      <c r="N129" s="16" t="s">
        <v>502</v>
      </c>
      <c r="O129" s="18" t="s">
        <v>61</v>
      </c>
      <c r="P129" s="18" t="s">
        <v>495</v>
      </c>
      <c r="Q129" s="19"/>
      <c r="R129" s="57" t="s">
        <v>61</v>
      </c>
      <c r="S129" s="16" t="s">
        <v>6</v>
      </c>
      <c r="T129" s="16"/>
      <c r="U129" s="16"/>
      <c r="V129" s="16">
        <v>263</v>
      </c>
      <c r="W129" s="16">
        <f t="shared" si="23"/>
        <v>263</v>
      </c>
      <c r="X129" s="16">
        <f t="shared" ref="X129:X135" si="27">W129</f>
        <v>263</v>
      </c>
      <c r="Y129" s="16">
        <f>ROUNDDOWN(W129/HLOOKUP(D129,Table!$C$3:$D$4,2,0)*8,2)</f>
        <v>4.67</v>
      </c>
      <c r="Z129" s="16">
        <v>2</v>
      </c>
      <c r="AA129" s="16" t="s">
        <v>74</v>
      </c>
      <c r="AB129" s="20">
        <v>43959</v>
      </c>
      <c r="AC129" s="20">
        <v>43957</v>
      </c>
      <c r="AD129" s="20">
        <v>43959</v>
      </c>
      <c r="AE129" s="20">
        <v>43958</v>
      </c>
      <c r="AF129" s="20">
        <v>43958</v>
      </c>
      <c r="AG129" s="20" t="s">
        <v>335</v>
      </c>
      <c r="AH129" s="32">
        <v>1</v>
      </c>
      <c r="AI129" s="32">
        <v>1</v>
      </c>
      <c r="AJ129" s="32">
        <v>1</v>
      </c>
      <c r="AK129" s="20" t="s">
        <v>165</v>
      </c>
      <c r="AL129" s="16" t="s">
        <v>61</v>
      </c>
      <c r="AM129" s="16" t="s">
        <v>61</v>
      </c>
      <c r="AN129" s="16" t="s">
        <v>61</v>
      </c>
    </row>
    <row r="130" spans="2:40" x14ac:dyDescent="0.25">
      <c r="B130" s="45">
        <f t="shared" si="25"/>
        <v>83</v>
      </c>
      <c r="C130" s="17">
        <v>20200506</v>
      </c>
      <c r="D130" s="16" t="s">
        <v>3</v>
      </c>
      <c r="E130" s="16" t="s">
        <v>321</v>
      </c>
      <c r="F130" s="80" t="s">
        <v>1061</v>
      </c>
      <c r="G130" s="18">
        <v>1433783</v>
      </c>
      <c r="H130" s="57" t="s">
        <v>61</v>
      </c>
      <c r="I130" s="16" t="s">
        <v>531</v>
      </c>
      <c r="J130" s="57" t="s">
        <v>61</v>
      </c>
      <c r="K130" s="16" t="s">
        <v>161</v>
      </c>
      <c r="L130" s="16" t="s">
        <v>165</v>
      </c>
      <c r="M130" s="16" t="s">
        <v>170</v>
      </c>
      <c r="N130" s="16" t="s">
        <v>175</v>
      </c>
      <c r="O130" s="18" t="s">
        <v>61</v>
      </c>
      <c r="P130" s="18" t="s">
        <v>344</v>
      </c>
      <c r="Q130" s="19"/>
      <c r="R130" s="57" t="s">
        <v>61</v>
      </c>
      <c r="S130" s="16" t="s">
        <v>67</v>
      </c>
      <c r="T130" s="16"/>
      <c r="U130" s="16"/>
      <c r="V130" s="16">
        <v>1009</v>
      </c>
      <c r="W130" s="16">
        <f>V130</f>
        <v>1009</v>
      </c>
      <c r="X130" s="16">
        <f t="shared" si="27"/>
        <v>1009</v>
      </c>
      <c r="Y130" s="16">
        <f>ROUNDDOWN(W130/HLOOKUP(D130,Table!$C$3:$D$4,2,0)*8,2)</f>
        <v>17.93</v>
      </c>
      <c r="Z130" s="16">
        <v>16</v>
      </c>
      <c r="AA130" s="16" t="s">
        <v>74</v>
      </c>
      <c r="AB130" s="20">
        <v>43958</v>
      </c>
      <c r="AC130" s="20">
        <v>43957</v>
      </c>
      <c r="AD130" s="20">
        <v>43958</v>
      </c>
      <c r="AE130" s="20">
        <v>43958</v>
      </c>
      <c r="AF130" s="20">
        <v>43958</v>
      </c>
      <c r="AG130" s="20" t="s">
        <v>336</v>
      </c>
      <c r="AH130" s="32">
        <v>0.99</v>
      </c>
      <c r="AI130" s="32">
        <v>0.98</v>
      </c>
      <c r="AJ130" s="32">
        <v>1</v>
      </c>
      <c r="AK130" s="20" t="s">
        <v>149</v>
      </c>
      <c r="AL130" s="18" t="s">
        <v>595</v>
      </c>
      <c r="AM130" s="16" t="s">
        <v>61</v>
      </c>
      <c r="AN130" s="18" t="s">
        <v>448</v>
      </c>
    </row>
    <row r="131" spans="2:40" x14ac:dyDescent="0.25">
      <c r="B131" s="45">
        <f t="shared" si="25"/>
        <v>84</v>
      </c>
      <c r="C131" s="17">
        <v>20200506</v>
      </c>
      <c r="D131" s="16" t="s">
        <v>3</v>
      </c>
      <c r="E131" s="16" t="s">
        <v>530</v>
      </c>
      <c r="F131" s="80" t="s">
        <v>1062</v>
      </c>
      <c r="G131" s="18">
        <v>1445651</v>
      </c>
      <c r="H131" s="57" t="s">
        <v>61</v>
      </c>
      <c r="I131" s="16" t="s">
        <v>532</v>
      </c>
      <c r="J131" s="57" t="s">
        <v>61</v>
      </c>
      <c r="K131" s="16" t="s">
        <v>161</v>
      </c>
      <c r="L131" s="16" t="s">
        <v>165</v>
      </c>
      <c r="M131" s="16" t="s">
        <v>341</v>
      </c>
      <c r="N131" s="16" t="s">
        <v>175</v>
      </c>
      <c r="O131" s="18" t="s">
        <v>61</v>
      </c>
      <c r="P131" s="18" t="s">
        <v>344</v>
      </c>
      <c r="Q131" s="19"/>
      <c r="R131" s="57" t="s">
        <v>61</v>
      </c>
      <c r="S131" s="16" t="s">
        <v>69</v>
      </c>
      <c r="T131" s="16"/>
      <c r="U131" s="16"/>
      <c r="V131" s="16">
        <v>290</v>
      </c>
      <c r="W131" s="16">
        <f t="shared" ref="W131:W142" si="28">V131</f>
        <v>290</v>
      </c>
      <c r="X131" s="16">
        <f t="shared" si="27"/>
        <v>290</v>
      </c>
      <c r="Y131" s="16">
        <f>ROUNDDOWN(W131/HLOOKUP(D131,Table!$C$3:$D$4,2,0)*8,2)</f>
        <v>5.15</v>
      </c>
      <c r="Z131" s="16">
        <v>3</v>
      </c>
      <c r="AA131" s="16" t="s">
        <v>74</v>
      </c>
      <c r="AB131" s="20">
        <v>43958</v>
      </c>
      <c r="AC131" s="20">
        <v>43957</v>
      </c>
      <c r="AD131" s="20">
        <v>43958</v>
      </c>
      <c r="AE131" s="20">
        <v>43958</v>
      </c>
      <c r="AF131" s="20">
        <v>43958</v>
      </c>
      <c r="AG131" s="20" t="s">
        <v>335</v>
      </c>
      <c r="AH131" s="32">
        <v>1</v>
      </c>
      <c r="AI131" s="32">
        <v>1</v>
      </c>
      <c r="AJ131" s="32">
        <v>1</v>
      </c>
      <c r="AK131" s="20" t="s">
        <v>165</v>
      </c>
      <c r="AL131" s="16" t="s">
        <v>61</v>
      </c>
      <c r="AM131" s="16" t="s">
        <v>61</v>
      </c>
      <c r="AN131" s="16" t="s">
        <v>61</v>
      </c>
    </row>
    <row r="132" spans="2:40" x14ac:dyDescent="0.25">
      <c r="B132" s="45">
        <f t="shared" si="25"/>
        <v>85</v>
      </c>
      <c r="C132" s="17">
        <v>20200506</v>
      </c>
      <c r="D132" s="16" t="s">
        <v>3</v>
      </c>
      <c r="E132" s="16" t="s">
        <v>530</v>
      </c>
      <c r="F132" s="80" t="s">
        <v>1061</v>
      </c>
      <c r="G132" s="18">
        <v>1445651</v>
      </c>
      <c r="H132" s="57" t="s">
        <v>61</v>
      </c>
      <c r="I132" s="16" t="s">
        <v>533</v>
      </c>
      <c r="J132" s="57" t="s">
        <v>61</v>
      </c>
      <c r="K132" s="16" t="s">
        <v>161</v>
      </c>
      <c r="L132" s="16" t="s">
        <v>165</v>
      </c>
      <c r="M132" s="16" t="s">
        <v>341</v>
      </c>
      <c r="N132" s="16" t="s">
        <v>175</v>
      </c>
      <c r="O132" s="18" t="s">
        <v>61</v>
      </c>
      <c r="P132" s="18" t="s">
        <v>344</v>
      </c>
      <c r="Q132" s="19"/>
      <c r="R132" s="57" t="s">
        <v>61</v>
      </c>
      <c r="S132" s="16" t="s">
        <v>70</v>
      </c>
      <c r="T132" s="16"/>
      <c r="U132" s="16"/>
      <c r="V132" s="16">
        <v>456</v>
      </c>
      <c r="W132" s="16">
        <f t="shared" si="28"/>
        <v>456</v>
      </c>
      <c r="X132" s="16">
        <f t="shared" si="27"/>
        <v>456</v>
      </c>
      <c r="Y132" s="16">
        <f>ROUNDDOWN(W132/HLOOKUP(D132,Table!$C$3:$D$4,2,0)*8,2)</f>
        <v>8.1</v>
      </c>
      <c r="Z132" s="16">
        <v>4</v>
      </c>
      <c r="AA132" s="16" t="s">
        <v>74</v>
      </c>
      <c r="AB132" s="20">
        <v>43958</v>
      </c>
      <c r="AC132" s="20">
        <v>43957</v>
      </c>
      <c r="AD132" s="20">
        <v>43958</v>
      </c>
      <c r="AE132" s="20">
        <v>43958</v>
      </c>
      <c r="AF132" s="20">
        <v>43958</v>
      </c>
      <c r="AG132" s="20" t="s">
        <v>336</v>
      </c>
      <c r="AH132" s="32">
        <v>0.97</v>
      </c>
      <c r="AI132" s="32">
        <v>0.95</v>
      </c>
      <c r="AJ132" s="32">
        <v>1</v>
      </c>
      <c r="AK132" s="20" t="s">
        <v>149</v>
      </c>
      <c r="AL132" s="18" t="s">
        <v>569</v>
      </c>
      <c r="AM132" s="16" t="s">
        <v>61</v>
      </c>
      <c r="AN132" s="18" t="s">
        <v>448</v>
      </c>
    </row>
    <row r="133" spans="2:40" x14ac:dyDescent="0.25">
      <c r="B133" s="45">
        <f t="shared" si="25"/>
        <v>86</v>
      </c>
      <c r="C133" s="17">
        <v>20200506</v>
      </c>
      <c r="D133" s="16" t="s">
        <v>3</v>
      </c>
      <c r="E133" s="92" t="s">
        <v>567</v>
      </c>
      <c r="F133" s="80" t="s">
        <v>596</v>
      </c>
      <c r="G133" s="92">
        <v>1455113</v>
      </c>
      <c r="H133" s="57" t="s">
        <v>61</v>
      </c>
      <c r="I133" s="92" t="s">
        <v>533</v>
      </c>
      <c r="J133" s="57"/>
      <c r="K133" s="16" t="s">
        <v>161</v>
      </c>
      <c r="L133" s="92" t="s">
        <v>568</v>
      </c>
      <c r="M133" s="16" t="s">
        <v>170</v>
      </c>
      <c r="N133" s="16" t="s">
        <v>175</v>
      </c>
      <c r="O133" s="18" t="s">
        <v>61</v>
      </c>
      <c r="P133" s="18" t="s">
        <v>344</v>
      </c>
      <c r="Q133" s="19"/>
      <c r="R133" s="57" t="s">
        <v>61</v>
      </c>
      <c r="S133" s="16" t="s">
        <v>70</v>
      </c>
      <c r="T133" s="16"/>
      <c r="U133" s="16"/>
      <c r="V133" s="16">
        <v>456</v>
      </c>
      <c r="W133" s="16">
        <f>V133</f>
        <v>456</v>
      </c>
      <c r="X133" s="16">
        <f t="shared" si="27"/>
        <v>456</v>
      </c>
      <c r="Y133" s="16">
        <f>ROUNDDOWN(W133/HLOOKUP(D133,Table!$C$3:$D$4,2,0)*8,2)</f>
        <v>8.1</v>
      </c>
      <c r="Z133" s="16">
        <v>0.5</v>
      </c>
      <c r="AA133" s="16" t="s">
        <v>74</v>
      </c>
      <c r="AB133" s="20">
        <v>43958</v>
      </c>
      <c r="AC133" s="20">
        <v>43957</v>
      </c>
      <c r="AD133" s="20">
        <v>43958</v>
      </c>
      <c r="AE133" s="20">
        <v>43958</v>
      </c>
      <c r="AF133" s="20">
        <v>43958</v>
      </c>
      <c r="AG133" s="20" t="s">
        <v>336</v>
      </c>
      <c r="AH133" s="32">
        <v>0.97</v>
      </c>
      <c r="AI133" s="32">
        <v>0.95</v>
      </c>
      <c r="AJ133" s="32">
        <v>1</v>
      </c>
      <c r="AK133" s="20" t="s">
        <v>149</v>
      </c>
      <c r="AL133" s="18" t="s">
        <v>569</v>
      </c>
      <c r="AM133" s="16" t="s">
        <v>61</v>
      </c>
      <c r="AN133" s="18" t="s">
        <v>448</v>
      </c>
    </row>
    <row r="134" spans="2:40" x14ac:dyDescent="0.25">
      <c r="B134" s="45">
        <f t="shared" si="25"/>
        <v>87</v>
      </c>
      <c r="C134" s="17">
        <v>20200506</v>
      </c>
      <c r="D134" s="16" t="s">
        <v>3</v>
      </c>
      <c r="E134" s="16" t="s">
        <v>339</v>
      </c>
      <c r="F134" s="80" t="s">
        <v>1063</v>
      </c>
      <c r="G134" s="18">
        <v>1405044</v>
      </c>
      <c r="H134" s="57" t="s">
        <v>61</v>
      </c>
      <c r="I134" s="16" t="s">
        <v>533</v>
      </c>
      <c r="J134" s="57" t="s">
        <v>61</v>
      </c>
      <c r="K134" s="16" t="s">
        <v>161</v>
      </c>
      <c r="L134" s="16" t="s">
        <v>540</v>
      </c>
      <c r="M134" s="16" t="s">
        <v>341</v>
      </c>
      <c r="N134" s="16" t="s">
        <v>348</v>
      </c>
      <c r="O134" s="18" t="s">
        <v>61</v>
      </c>
      <c r="P134" s="18" t="s">
        <v>550</v>
      </c>
      <c r="Q134" s="19"/>
      <c r="R134" s="57" t="s">
        <v>61</v>
      </c>
      <c r="S134" s="16" t="s">
        <v>70</v>
      </c>
      <c r="T134" s="16"/>
      <c r="U134" s="16"/>
      <c r="V134" s="16">
        <v>456</v>
      </c>
      <c r="W134" s="16">
        <f t="shared" si="28"/>
        <v>456</v>
      </c>
      <c r="X134" s="16">
        <f t="shared" si="27"/>
        <v>456</v>
      </c>
      <c r="Y134" s="16">
        <f>ROUNDDOWN(W134/HLOOKUP(D134,Table!$C$3:$D$4,2,0)*8,2)</f>
        <v>8.1</v>
      </c>
      <c r="Z134" s="16">
        <v>0.5</v>
      </c>
      <c r="AA134" s="16" t="s">
        <v>74</v>
      </c>
      <c r="AB134" s="20">
        <v>43962</v>
      </c>
      <c r="AC134" s="20">
        <v>43957</v>
      </c>
      <c r="AD134" s="20">
        <v>43964</v>
      </c>
      <c r="AE134" s="20">
        <v>43958</v>
      </c>
      <c r="AF134" s="20">
        <v>43958</v>
      </c>
      <c r="AG134" s="20" t="s">
        <v>335</v>
      </c>
      <c r="AH134" s="32">
        <v>1</v>
      </c>
      <c r="AI134" s="32">
        <v>1</v>
      </c>
      <c r="AJ134" s="32">
        <v>1</v>
      </c>
      <c r="AK134" s="20" t="s">
        <v>165</v>
      </c>
      <c r="AL134" s="18" t="s">
        <v>61</v>
      </c>
      <c r="AM134" s="16" t="s">
        <v>61</v>
      </c>
      <c r="AN134" s="16" t="s">
        <v>61</v>
      </c>
    </row>
    <row r="135" spans="2:40" x14ac:dyDescent="0.25">
      <c r="B135" s="45">
        <f t="shared" si="25"/>
        <v>88</v>
      </c>
      <c r="C135" s="17">
        <v>20200506</v>
      </c>
      <c r="D135" s="16" t="s">
        <v>3</v>
      </c>
      <c r="E135" s="16" t="s">
        <v>339</v>
      </c>
      <c r="F135" s="80" t="s">
        <v>1063</v>
      </c>
      <c r="G135" s="18">
        <v>1405044</v>
      </c>
      <c r="H135" s="57" t="s">
        <v>61</v>
      </c>
      <c r="I135" s="16" t="s">
        <v>534</v>
      </c>
      <c r="J135" s="57" t="s">
        <v>61</v>
      </c>
      <c r="K135" s="16" t="s">
        <v>161</v>
      </c>
      <c r="L135" s="16" t="s">
        <v>541</v>
      </c>
      <c r="M135" s="16" t="s">
        <v>341</v>
      </c>
      <c r="N135" s="16" t="s">
        <v>348</v>
      </c>
      <c r="O135" s="18" t="s">
        <v>61</v>
      </c>
      <c r="P135" s="18" t="s">
        <v>550</v>
      </c>
      <c r="Q135" s="19"/>
      <c r="R135" s="57" t="s">
        <v>61</v>
      </c>
      <c r="S135" s="16" t="s">
        <v>69</v>
      </c>
      <c r="T135" s="16"/>
      <c r="U135" s="16"/>
      <c r="V135" s="16">
        <v>91</v>
      </c>
      <c r="W135" s="16">
        <f t="shared" si="28"/>
        <v>91</v>
      </c>
      <c r="X135" s="16">
        <f t="shared" si="27"/>
        <v>91</v>
      </c>
      <c r="Y135" s="16">
        <f>ROUNDDOWN(W135/HLOOKUP(D135,Table!$C$3:$D$4,2,0)*8,2)</f>
        <v>1.61</v>
      </c>
      <c r="Z135" s="16">
        <v>1</v>
      </c>
      <c r="AA135" s="16" t="s">
        <v>74</v>
      </c>
      <c r="AB135" s="20">
        <v>43962</v>
      </c>
      <c r="AC135" s="20">
        <v>43957</v>
      </c>
      <c r="AD135" s="20">
        <v>43964</v>
      </c>
      <c r="AE135" s="20">
        <v>43958</v>
      </c>
      <c r="AF135" s="20">
        <v>43958</v>
      </c>
      <c r="AG135" s="20" t="s">
        <v>335</v>
      </c>
      <c r="AH135" s="32">
        <v>1</v>
      </c>
      <c r="AI135" s="32">
        <v>1</v>
      </c>
      <c r="AJ135" s="32">
        <v>1</v>
      </c>
      <c r="AK135" s="20" t="s">
        <v>165</v>
      </c>
      <c r="AL135" s="16" t="s">
        <v>61</v>
      </c>
      <c r="AM135" s="16" t="s">
        <v>61</v>
      </c>
      <c r="AN135" s="16" t="s">
        <v>61</v>
      </c>
    </row>
    <row r="136" spans="2:40" x14ac:dyDescent="0.25">
      <c r="B136" s="45">
        <f t="shared" si="25"/>
        <v>89</v>
      </c>
      <c r="C136" s="17">
        <v>20200506</v>
      </c>
      <c r="D136" s="16" t="s">
        <v>3</v>
      </c>
      <c r="E136" s="16" t="s">
        <v>339</v>
      </c>
      <c r="F136" s="80" t="s">
        <v>1063</v>
      </c>
      <c r="G136" s="18">
        <v>1405044</v>
      </c>
      <c r="H136" s="57" t="s">
        <v>61</v>
      </c>
      <c r="I136" s="16" t="s">
        <v>535</v>
      </c>
      <c r="J136" s="57" t="s">
        <v>61</v>
      </c>
      <c r="K136" s="16" t="s">
        <v>161</v>
      </c>
      <c r="L136" s="16" t="s">
        <v>542</v>
      </c>
      <c r="M136" s="16" t="s">
        <v>341</v>
      </c>
      <c r="N136" s="16" t="s">
        <v>348</v>
      </c>
      <c r="O136" s="18" t="s">
        <v>61</v>
      </c>
      <c r="P136" s="18" t="s">
        <v>550</v>
      </c>
      <c r="Q136" s="19"/>
      <c r="R136" s="57" t="s">
        <v>61</v>
      </c>
      <c r="S136" s="16" t="s">
        <v>69</v>
      </c>
      <c r="T136" s="16"/>
      <c r="U136" s="16"/>
      <c r="V136" s="16">
        <v>576</v>
      </c>
      <c r="W136" s="16">
        <f t="shared" si="28"/>
        <v>576</v>
      </c>
      <c r="X136" s="16">
        <f>W136</f>
        <v>576</v>
      </c>
      <c r="Y136" s="16">
        <f>ROUNDDOWN(W136/HLOOKUP(D136,Table!$C$3:$D$4,2,0)*8,2)</f>
        <v>10.24</v>
      </c>
      <c r="Z136" s="16">
        <v>8</v>
      </c>
      <c r="AA136" s="16" t="s">
        <v>74</v>
      </c>
      <c r="AB136" s="20">
        <v>43962</v>
      </c>
      <c r="AC136" s="20">
        <v>43957</v>
      </c>
      <c r="AD136" s="20">
        <v>43964</v>
      </c>
      <c r="AE136" s="20">
        <v>43959</v>
      </c>
      <c r="AF136" s="20">
        <v>43959</v>
      </c>
      <c r="AG136" s="20" t="s">
        <v>335</v>
      </c>
      <c r="AH136" s="32">
        <v>1</v>
      </c>
      <c r="AI136" s="32">
        <v>1</v>
      </c>
      <c r="AJ136" s="32">
        <v>1</v>
      </c>
      <c r="AK136" s="20" t="s">
        <v>165</v>
      </c>
      <c r="AL136" s="16" t="s">
        <v>61</v>
      </c>
      <c r="AM136" s="16" t="s">
        <v>61</v>
      </c>
      <c r="AN136" s="16" t="s">
        <v>61</v>
      </c>
    </row>
    <row r="137" spans="2:40" x14ac:dyDescent="0.25">
      <c r="B137" s="45">
        <f t="shared" si="25"/>
        <v>90</v>
      </c>
      <c r="C137" s="17">
        <v>20200506</v>
      </c>
      <c r="D137" s="16" t="s">
        <v>3</v>
      </c>
      <c r="E137" s="16" t="s">
        <v>339</v>
      </c>
      <c r="F137" s="80" t="s">
        <v>1063</v>
      </c>
      <c r="G137" s="18">
        <v>1405044</v>
      </c>
      <c r="H137" s="57" t="s">
        <v>61</v>
      </c>
      <c r="I137" s="16" t="s">
        <v>531</v>
      </c>
      <c r="J137" s="57" t="s">
        <v>61</v>
      </c>
      <c r="K137" s="16" t="s">
        <v>161</v>
      </c>
      <c r="L137" s="16" t="s">
        <v>543</v>
      </c>
      <c r="M137" s="16" t="s">
        <v>341</v>
      </c>
      <c r="N137" s="16" t="s">
        <v>348</v>
      </c>
      <c r="O137" s="18" t="s">
        <v>61</v>
      </c>
      <c r="P137" s="18" t="s">
        <v>550</v>
      </c>
      <c r="Q137" s="19"/>
      <c r="R137" s="57" t="s">
        <v>61</v>
      </c>
      <c r="S137" s="16" t="s">
        <v>67</v>
      </c>
      <c r="T137" s="16"/>
      <c r="U137" s="16"/>
      <c r="V137" s="16">
        <v>1009</v>
      </c>
      <c r="W137" s="16">
        <f t="shared" si="28"/>
        <v>1009</v>
      </c>
      <c r="X137" s="16">
        <f>W137</f>
        <v>1009</v>
      </c>
      <c r="Y137" s="16">
        <f>ROUNDDOWN(W137/HLOOKUP(D137,Table!$C$3:$D$4,2,0)*8,2)</f>
        <v>17.93</v>
      </c>
      <c r="Z137" s="16">
        <v>8</v>
      </c>
      <c r="AA137" s="16" t="s">
        <v>74</v>
      </c>
      <c r="AB137" s="20">
        <v>43962</v>
      </c>
      <c r="AC137" s="20">
        <v>43957</v>
      </c>
      <c r="AD137" s="20">
        <v>43964</v>
      </c>
      <c r="AE137" s="20">
        <v>43959</v>
      </c>
      <c r="AF137" s="20">
        <v>43959</v>
      </c>
      <c r="AG137" s="20" t="s">
        <v>335</v>
      </c>
      <c r="AH137" s="32">
        <v>1</v>
      </c>
      <c r="AI137" s="32">
        <v>1</v>
      </c>
      <c r="AJ137" s="32">
        <v>1</v>
      </c>
      <c r="AK137" s="20" t="s">
        <v>165</v>
      </c>
      <c r="AL137" s="16" t="s">
        <v>61</v>
      </c>
      <c r="AM137" s="16" t="s">
        <v>61</v>
      </c>
      <c r="AN137" s="16" t="s">
        <v>61</v>
      </c>
    </row>
    <row r="138" spans="2:40" x14ac:dyDescent="0.25">
      <c r="B138" s="45">
        <f t="shared" si="25"/>
        <v>91</v>
      </c>
      <c r="C138" s="17">
        <v>20200506</v>
      </c>
      <c r="D138" s="16" t="s">
        <v>3</v>
      </c>
      <c r="E138" s="16" t="s">
        <v>339</v>
      </c>
      <c r="F138" s="80" t="s">
        <v>1064</v>
      </c>
      <c r="G138" s="18">
        <v>1405044</v>
      </c>
      <c r="H138" s="57" t="s">
        <v>61</v>
      </c>
      <c r="I138" s="16" t="s">
        <v>532</v>
      </c>
      <c r="J138" s="57" t="s">
        <v>61</v>
      </c>
      <c r="K138" s="16" t="s">
        <v>161</v>
      </c>
      <c r="L138" s="16" t="s">
        <v>544</v>
      </c>
      <c r="M138" s="16" t="s">
        <v>341</v>
      </c>
      <c r="N138" s="16" t="s">
        <v>348</v>
      </c>
      <c r="O138" s="18" t="s">
        <v>61</v>
      </c>
      <c r="P138" s="18" t="s">
        <v>550</v>
      </c>
      <c r="Q138" s="19"/>
      <c r="R138" s="57" t="s">
        <v>61</v>
      </c>
      <c r="S138" s="16" t="s">
        <v>69</v>
      </c>
      <c r="T138" s="16"/>
      <c r="U138" s="16"/>
      <c r="V138" s="16">
        <v>290</v>
      </c>
      <c r="W138" s="16">
        <f t="shared" si="28"/>
        <v>290</v>
      </c>
      <c r="X138" s="16">
        <f t="shared" ref="X138:X147" si="29">W138</f>
        <v>290</v>
      </c>
      <c r="Y138" s="16">
        <f>ROUNDDOWN(W138/HLOOKUP(D138,Table!$C$3:$D$4,2,0)*8,2)</f>
        <v>5.15</v>
      </c>
      <c r="Z138" s="16">
        <v>1</v>
      </c>
      <c r="AA138" s="16" t="s">
        <v>74</v>
      </c>
      <c r="AB138" s="20">
        <v>43962</v>
      </c>
      <c r="AC138" s="20">
        <v>43957</v>
      </c>
      <c r="AD138" s="20">
        <v>43964</v>
      </c>
      <c r="AE138" s="20">
        <v>43958</v>
      </c>
      <c r="AF138" s="20">
        <v>43958</v>
      </c>
      <c r="AG138" s="20" t="s">
        <v>335</v>
      </c>
      <c r="AH138" s="32">
        <v>1</v>
      </c>
      <c r="AI138" s="32">
        <v>1</v>
      </c>
      <c r="AJ138" s="32">
        <v>1</v>
      </c>
      <c r="AK138" s="20" t="s">
        <v>165</v>
      </c>
      <c r="AL138" s="16" t="s">
        <v>61</v>
      </c>
      <c r="AM138" s="16" t="s">
        <v>61</v>
      </c>
      <c r="AN138" s="16" t="s">
        <v>61</v>
      </c>
    </row>
    <row r="139" spans="2:40" x14ac:dyDescent="0.25">
      <c r="B139" s="45">
        <f t="shared" si="25"/>
        <v>92</v>
      </c>
      <c r="C139" s="17">
        <v>20200506</v>
      </c>
      <c r="D139" s="16" t="s">
        <v>3</v>
      </c>
      <c r="E139" s="16" t="s">
        <v>339</v>
      </c>
      <c r="F139" s="80" t="s">
        <v>1065</v>
      </c>
      <c r="G139" s="18">
        <v>1405044</v>
      </c>
      <c r="H139" s="57" t="s">
        <v>61</v>
      </c>
      <c r="I139" s="16" t="s">
        <v>536</v>
      </c>
      <c r="J139" s="57" t="s">
        <v>61</v>
      </c>
      <c r="K139" s="16" t="s">
        <v>161</v>
      </c>
      <c r="L139" s="16" t="s">
        <v>545</v>
      </c>
      <c r="M139" s="16" t="s">
        <v>341</v>
      </c>
      <c r="N139" s="16" t="s">
        <v>348</v>
      </c>
      <c r="O139" s="18" t="s">
        <v>61</v>
      </c>
      <c r="P139" s="18" t="s">
        <v>550</v>
      </c>
      <c r="Q139" s="19"/>
      <c r="R139" s="57" t="s">
        <v>61</v>
      </c>
      <c r="S139" s="16" t="s">
        <v>69</v>
      </c>
      <c r="T139" s="16"/>
      <c r="U139" s="16"/>
      <c r="V139" s="16">
        <v>236</v>
      </c>
      <c r="W139" s="16">
        <f t="shared" si="28"/>
        <v>236</v>
      </c>
      <c r="X139" s="16">
        <f t="shared" si="29"/>
        <v>236</v>
      </c>
      <c r="Y139" s="16">
        <f>ROUNDDOWN(W139/HLOOKUP(D139,Table!$C$3:$D$4,2,0)*8,2)</f>
        <v>4.1900000000000004</v>
      </c>
      <c r="Z139" s="16">
        <v>2</v>
      </c>
      <c r="AA139" s="16" t="s">
        <v>74</v>
      </c>
      <c r="AB139" s="20">
        <v>43962</v>
      </c>
      <c r="AC139" s="20">
        <v>43957</v>
      </c>
      <c r="AD139" s="20">
        <v>43964</v>
      </c>
      <c r="AE139" s="20">
        <v>43958</v>
      </c>
      <c r="AF139" s="20">
        <v>43958</v>
      </c>
      <c r="AG139" s="20" t="s">
        <v>335</v>
      </c>
      <c r="AH139" s="32">
        <v>1</v>
      </c>
      <c r="AI139" s="32">
        <v>1</v>
      </c>
      <c r="AJ139" s="32">
        <v>1</v>
      </c>
      <c r="AK139" s="20" t="s">
        <v>165</v>
      </c>
      <c r="AL139" s="16" t="s">
        <v>61</v>
      </c>
      <c r="AM139" s="16" t="s">
        <v>61</v>
      </c>
      <c r="AN139" s="16" t="s">
        <v>61</v>
      </c>
    </row>
    <row r="140" spans="2:40" x14ac:dyDescent="0.25">
      <c r="B140" s="45">
        <f t="shared" si="25"/>
        <v>93</v>
      </c>
      <c r="C140" s="17">
        <v>20200506</v>
      </c>
      <c r="D140" s="16" t="s">
        <v>3</v>
      </c>
      <c r="E140" s="16" t="s">
        <v>339</v>
      </c>
      <c r="F140" s="80" t="s">
        <v>1066</v>
      </c>
      <c r="G140" s="18">
        <v>1405044</v>
      </c>
      <c r="H140" s="57" t="s">
        <v>61</v>
      </c>
      <c r="I140" s="16" t="s">
        <v>537</v>
      </c>
      <c r="J140" s="57" t="s">
        <v>61</v>
      </c>
      <c r="K140" s="16" t="s">
        <v>161</v>
      </c>
      <c r="L140" s="16" t="s">
        <v>546</v>
      </c>
      <c r="M140" s="16" t="s">
        <v>341</v>
      </c>
      <c r="N140" s="16" t="s">
        <v>348</v>
      </c>
      <c r="O140" s="18" t="s">
        <v>61</v>
      </c>
      <c r="P140" s="18" t="s">
        <v>550</v>
      </c>
      <c r="Q140" s="19"/>
      <c r="R140" s="57" t="s">
        <v>61</v>
      </c>
      <c r="S140" s="16" t="s">
        <v>70</v>
      </c>
      <c r="T140" s="16"/>
      <c r="U140" s="16"/>
      <c r="V140" s="16">
        <v>588</v>
      </c>
      <c r="W140" s="16">
        <f t="shared" si="28"/>
        <v>588</v>
      </c>
      <c r="X140" s="16">
        <f t="shared" si="29"/>
        <v>588</v>
      </c>
      <c r="Y140" s="16">
        <f>ROUNDDOWN(W140/HLOOKUP(D140,Table!$C$3:$D$4,2,0)*8,2)</f>
        <v>10.45</v>
      </c>
      <c r="Z140" s="16">
        <v>1</v>
      </c>
      <c r="AA140" s="16" t="s">
        <v>74</v>
      </c>
      <c r="AB140" s="20">
        <v>43962</v>
      </c>
      <c r="AC140" s="20">
        <v>43957</v>
      </c>
      <c r="AD140" s="20">
        <v>43964</v>
      </c>
      <c r="AE140" s="20">
        <v>43958</v>
      </c>
      <c r="AF140" s="20">
        <v>43958</v>
      </c>
      <c r="AG140" s="20" t="s">
        <v>335</v>
      </c>
      <c r="AH140" s="32">
        <v>1</v>
      </c>
      <c r="AI140" s="32">
        <v>1</v>
      </c>
      <c r="AJ140" s="32">
        <v>1</v>
      </c>
      <c r="AK140" s="20" t="s">
        <v>165</v>
      </c>
      <c r="AL140" s="18" t="s">
        <v>61</v>
      </c>
      <c r="AM140" s="16" t="s">
        <v>61</v>
      </c>
      <c r="AN140" s="16" t="s">
        <v>61</v>
      </c>
    </row>
    <row r="141" spans="2:40" x14ac:dyDescent="0.25">
      <c r="B141" s="45">
        <f t="shared" si="25"/>
        <v>94</v>
      </c>
      <c r="C141" s="17">
        <v>20200506</v>
      </c>
      <c r="D141" s="16" t="s">
        <v>3</v>
      </c>
      <c r="E141" s="16" t="s">
        <v>339</v>
      </c>
      <c r="F141" s="80" t="s">
        <v>1066</v>
      </c>
      <c r="G141" s="18">
        <v>1405044</v>
      </c>
      <c r="H141" s="57" t="s">
        <v>61</v>
      </c>
      <c r="I141" s="16" t="s">
        <v>538</v>
      </c>
      <c r="J141" s="57" t="s">
        <v>61</v>
      </c>
      <c r="K141" s="16" t="s">
        <v>161</v>
      </c>
      <c r="L141" s="16" t="s">
        <v>547</v>
      </c>
      <c r="M141" s="16" t="s">
        <v>341</v>
      </c>
      <c r="N141" s="16" t="s">
        <v>348</v>
      </c>
      <c r="O141" s="18" t="s">
        <v>61</v>
      </c>
      <c r="P141" s="18" t="s">
        <v>550</v>
      </c>
      <c r="Q141" s="19"/>
      <c r="R141" s="57" t="s">
        <v>61</v>
      </c>
      <c r="S141" s="16" t="s">
        <v>68</v>
      </c>
      <c r="T141" s="16"/>
      <c r="U141" s="16"/>
      <c r="V141" s="16">
        <v>2042</v>
      </c>
      <c r="W141" s="16">
        <f t="shared" si="28"/>
        <v>2042</v>
      </c>
      <c r="X141" s="16">
        <f t="shared" si="29"/>
        <v>2042</v>
      </c>
      <c r="Y141" s="16">
        <f>ROUNDDOWN(W141/HLOOKUP(D141,Table!$C$3:$D$4,2,0)*8,2)</f>
        <v>36.299999999999997</v>
      </c>
      <c r="Z141" s="16">
        <v>16</v>
      </c>
      <c r="AA141" s="16" t="s">
        <v>74</v>
      </c>
      <c r="AB141" s="20">
        <v>43962</v>
      </c>
      <c r="AC141" s="20">
        <v>43957</v>
      </c>
      <c r="AD141" s="20">
        <v>43964</v>
      </c>
      <c r="AE141" s="20">
        <v>43958</v>
      </c>
      <c r="AF141" s="20">
        <v>43959</v>
      </c>
      <c r="AG141" s="20" t="s">
        <v>335</v>
      </c>
      <c r="AH141" s="32">
        <v>1</v>
      </c>
      <c r="AI141" s="32">
        <v>1</v>
      </c>
      <c r="AJ141" s="32">
        <v>1</v>
      </c>
      <c r="AK141" s="20" t="s">
        <v>165</v>
      </c>
      <c r="AL141" s="18" t="s">
        <v>619</v>
      </c>
      <c r="AM141" s="16" t="s">
        <v>61</v>
      </c>
      <c r="AN141" s="16" t="s">
        <v>61</v>
      </c>
    </row>
    <row r="142" spans="2:40" x14ac:dyDescent="0.25">
      <c r="B142" s="45">
        <f t="shared" si="25"/>
        <v>95</v>
      </c>
      <c r="C142" s="17">
        <v>20200506</v>
      </c>
      <c r="D142" s="16" t="s">
        <v>3</v>
      </c>
      <c r="E142" s="16" t="s">
        <v>339</v>
      </c>
      <c r="F142" s="80" t="s">
        <v>1067</v>
      </c>
      <c r="G142" s="18">
        <v>1405044</v>
      </c>
      <c r="H142" s="57" t="s">
        <v>61</v>
      </c>
      <c r="I142" s="16" t="s">
        <v>539</v>
      </c>
      <c r="J142" s="57" t="s">
        <v>61</v>
      </c>
      <c r="K142" s="16" t="s">
        <v>161</v>
      </c>
      <c r="L142" s="16" t="s">
        <v>548</v>
      </c>
      <c r="M142" s="16" t="s">
        <v>341</v>
      </c>
      <c r="N142" s="16" t="s">
        <v>348</v>
      </c>
      <c r="O142" s="18" t="s">
        <v>61</v>
      </c>
      <c r="P142" s="18" t="s">
        <v>550</v>
      </c>
      <c r="Q142" s="19"/>
      <c r="R142" s="57" t="s">
        <v>61</v>
      </c>
      <c r="S142" s="16" t="s">
        <v>69</v>
      </c>
      <c r="T142" s="16"/>
      <c r="U142" s="16"/>
      <c r="V142" s="16">
        <v>103</v>
      </c>
      <c r="W142" s="16">
        <f t="shared" si="28"/>
        <v>103</v>
      </c>
      <c r="X142" s="16">
        <f t="shared" si="29"/>
        <v>103</v>
      </c>
      <c r="Y142" s="16">
        <f>ROUNDDOWN(W142/HLOOKUP(D142,Table!$C$3:$D$4,2,0)*8,2)</f>
        <v>1.83</v>
      </c>
      <c r="Z142" s="16">
        <v>1</v>
      </c>
      <c r="AA142" s="16" t="s">
        <v>74</v>
      </c>
      <c r="AB142" s="20">
        <v>43962</v>
      </c>
      <c r="AC142" s="20">
        <v>43957</v>
      </c>
      <c r="AD142" s="20">
        <v>43964</v>
      </c>
      <c r="AE142" s="20">
        <v>43958</v>
      </c>
      <c r="AF142" s="20">
        <v>43958</v>
      </c>
      <c r="AG142" s="20" t="s">
        <v>335</v>
      </c>
      <c r="AH142" s="32">
        <v>1</v>
      </c>
      <c r="AI142" s="32">
        <v>1</v>
      </c>
      <c r="AJ142" s="32">
        <v>1</v>
      </c>
      <c r="AK142" s="20" t="s">
        <v>165</v>
      </c>
      <c r="AL142" s="16" t="s">
        <v>61</v>
      </c>
      <c r="AM142" s="16" t="s">
        <v>61</v>
      </c>
      <c r="AN142" s="16" t="s">
        <v>61</v>
      </c>
    </row>
    <row r="143" spans="2:40" x14ac:dyDescent="0.25">
      <c r="B143" s="111">
        <f t="shared" si="25"/>
        <v>96</v>
      </c>
      <c r="C143" s="17">
        <v>20200507</v>
      </c>
      <c r="D143" s="16" t="s">
        <v>3</v>
      </c>
      <c r="E143" s="16" t="s">
        <v>573</v>
      </c>
      <c r="F143" s="129" t="s">
        <v>725</v>
      </c>
      <c r="G143" s="18">
        <v>1455207</v>
      </c>
      <c r="H143" s="57" t="s">
        <v>61</v>
      </c>
      <c r="I143" s="16" t="s">
        <v>576</v>
      </c>
      <c r="J143" s="57" t="s">
        <v>61</v>
      </c>
      <c r="K143" s="16" t="s">
        <v>161</v>
      </c>
      <c r="L143" s="16" t="s">
        <v>590</v>
      </c>
      <c r="M143" s="16" t="s">
        <v>574</v>
      </c>
      <c r="N143" s="16" t="s">
        <v>591</v>
      </c>
      <c r="O143" s="18" t="s">
        <v>61</v>
      </c>
      <c r="P143" s="18" t="s">
        <v>586</v>
      </c>
      <c r="Q143" s="19"/>
      <c r="R143" s="57" t="s">
        <v>61</v>
      </c>
      <c r="S143" s="16" t="s">
        <v>157</v>
      </c>
      <c r="T143" s="16"/>
      <c r="U143" s="16"/>
      <c r="V143" s="16">
        <v>20</v>
      </c>
      <c r="W143" s="16">
        <f t="shared" ref="W143:W152" si="30">V143</f>
        <v>20</v>
      </c>
      <c r="X143" s="16">
        <f t="shared" si="29"/>
        <v>20</v>
      </c>
      <c r="Y143" s="16">
        <f>ROUNDDOWN(W143/HLOOKUP(D143,Table!$C$3:$D$4,2,0)*8,2)</f>
        <v>0.35</v>
      </c>
      <c r="Z143" s="16">
        <v>0.12</v>
      </c>
      <c r="AA143" s="16" t="s">
        <v>74</v>
      </c>
      <c r="AB143" s="20">
        <v>43963</v>
      </c>
      <c r="AC143" s="20">
        <v>43958</v>
      </c>
      <c r="AD143" s="20">
        <v>43963</v>
      </c>
      <c r="AE143" s="20">
        <v>43959</v>
      </c>
      <c r="AF143" s="20">
        <v>43959</v>
      </c>
      <c r="AG143" s="20" t="s">
        <v>335</v>
      </c>
      <c r="AH143" s="32">
        <v>1</v>
      </c>
      <c r="AI143" s="32">
        <v>1</v>
      </c>
      <c r="AJ143" s="32">
        <v>1</v>
      </c>
      <c r="AK143" s="20" t="s">
        <v>165</v>
      </c>
      <c r="AL143" s="16" t="s">
        <v>61</v>
      </c>
      <c r="AM143" s="16" t="s">
        <v>61</v>
      </c>
      <c r="AN143" s="16" t="s">
        <v>724</v>
      </c>
    </row>
    <row r="144" spans="2:40" x14ac:dyDescent="0.25">
      <c r="B144" s="111">
        <f t="shared" si="25"/>
        <v>97</v>
      </c>
      <c r="C144" s="17">
        <v>20200507</v>
      </c>
      <c r="D144" s="16" t="s">
        <v>3</v>
      </c>
      <c r="E144" s="16" t="s">
        <v>573</v>
      </c>
      <c r="F144" s="80" t="s">
        <v>599</v>
      </c>
      <c r="G144" s="18">
        <v>1444993</v>
      </c>
      <c r="H144" s="57" t="s">
        <v>61</v>
      </c>
      <c r="I144" s="16" t="s">
        <v>577</v>
      </c>
      <c r="J144" s="57" t="s">
        <v>61</v>
      </c>
      <c r="K144" s="16" t="s">
        <v>161</v>
      </c>
      <c r="L144" s="16" t="s">
        <v>590</v>
      </c>
      <c r="M144" s="16" t="s">
        <v>574</v>
      </c>
      <c r="N144" s="16" t="s">
        <v>591</v>
      </c>
      <c r="O144" s="18" t="s">
        <v>61</v>
      </c>
      <c r="P144" s="18" t="s">
        <v>587</v>
      </c>
      <c r="Q144" s="19"/>
      <c r="R144" s="57" t="s">
        <v>61</v>
      </c>
      <c r="S144" s="16" t="s">
        <v>157</v>
      </c>
      <c r="T144" s="16"/>
      <c r="U144" s="16"/>
      <c r="V144" s="16">
        <v>149</v>
      </c>
      <c r="W144" s="16">
        <f t="shared" si="30"/>
        <v>149</v>
      </c>
      <c r="X144" s="16">
        <f t="shared" si="29"/>
        <v>149</v>
      </c>
      <c r="Y144" s="16">
        <f>ROUNDDOWN(W144/HLOOKUP(D144,Table!$C$3:$D$4,2,0)*8,2)</f>
        <v>2.64</v>
      </c>
      <c r="Z144" s="16">
        <v>1</v>
      </c>
      <c r="AA144" s="16" t="s">
        <v>74</v>
      </c>
      <c r="AB144" s="20">
        <v>43963</v>
      </c>
      <c r="AC144" s="20">
        <v>43958</v>
      </c>
      <c r="AD144" s="20">
        <v>43963</v>
      </c>
      <c r="AE144" s="20">
        <v>43959</v>
      </c>
      <c r="AF144" s="20">
        <v>43959</v>
      </c>
      <c r="AG144" s="20" t="s">
        <v>335</v>
      </c>
      <c r="AH144" s="32">
        <v>1</v>
      </c>
      <c r="AI144" s="32">
        <v>1</v>
      </c>
      <c r="AJ144" s="32">
        <v>1</v>
      </c>
      <c r="AK144" s="20" t="s">
        <v>165</v>
      </c>
      <c r="AL144" s="16" t="s">
        <v>61</v>
      </c>
      <c r="AM144" s="16" t="s">
        <v>61</v>
      </c>
      <c r="AN144" s="16" t="s">
        <v>61</v>
      </c>
    </row>
    <row r="145" spans="2:40" x14ac:dyDescent="0.25">
      <c r="B145" s="111">
        <f t="shared" si="25"/>
        <v>98</v>
      </c>
      <c r="C145" s="17">
        <v>20200507</v>
      </c>
      <c r="D145" s="16" t="s">
        <v>3</v>
      </c>
      <c r="E145" s="16" t="s">
        <v>573</v>
      </c>
      <c r="F145" s="80" t="s">
        <v>600</v>
      </c>
      <c r="G145" s="18">
        <v>1444993</v>
      </c>
      <c r="H145" s="57" t="s">
        <v>61</v>
      </c>
      <c r="I145" s="16" t="s">
        <v>578</v>
      </c>
      <c r="J145" s="57" t="s">
        <v>61</v>
      </c>
      <c r="K145" s="16" t="s">
        <v>161</v>
      </c>
      <c r="L145" s="16" t="s">
        <v>590</v>
      </c>
      <c r="M145" s="16" t="s">
        <v>574</v>
      </c>
      <c r="N145" s="16" t="s">
        <v>591</v>
      </c>
      <c r="O145" s="18" t="s">
        <v>61</v>
      </c>
      <c r="P145" s="18" t="s">
        <v>587</v>
      </c>
      <c r="Q145" s="19"/>
      <c r="R145" s="57" t="s">
        <v>61</v>
      </c>
      <c r="S145" s="16" t="s">
        <v>157</v>
      </c>
      <c r="T145" s="16"/>
      <c r="U145" s="16"/>
      <c r="V145" s="16">
        <v>173</v>
      </c>
      <c r="W145" s="16">
        <f t="shared" si="30"/>
        <v>173</v>
      </c>
      <c r="X145" s="16">
        <f t="shared" si="29"/>
        <v>173</v>
      </c>
      <c r="Y145" s="16">
        <f>ROUNDDOWN(W145/HLOOKUP(D145,Table!$C$3:$D$4,2,0)*8,2)</f>
        <v>3.07</v>
      </c>
      <c r="Z145" s="16">
        <v>1</v>
      </c>
      <c r="AA145" s="16" t="s">
        <v>74</v>
      </c>
      <c r="AB145" s="20">
        <v>43963</v>
      </c>
      <c r="AC145" s="20">
        <v>43958</v>
      </c>
      <c r="AD145" s="20">
        <v>43963</v>
      </c>
      <c r="AE145" s="20">
        <v>43959</v>
      </c>
      <c r="AF145" s="20">
        <v>43959</v>
      </c>
      <c r="AG145" s="20" t="s">
        <v>335</v>
      </c>
      <c r="AH145" s="32">
        <v>1</v>
      </c>
      <c r="AI145" s="32">
        <v>1</v>
      </c>
      <c r="AJ145" s="32">
        <v>1</v>
      </c>
      <c r="AK145" s="20" t="s">
        <v>165</v>
      </c>
      <c r="AL145" s="16" t="s">
        <v>61</v>
      </c>
      <c r="AM145" s="16" t="s">
        <v>61</v>
      </c>
      <c r="AN145" s="16" t="s">
        <v>61</v>
      </c>
    </row>
    <row r="146" spans="2:40" x14ac:dyDescent="0.25">
      <c r="B146" s="111">
        <f t="shared" si="25"/>
        <v>99</v>
      </c>
      <c r="C146" s="17">
        <v>20200507</v>
      </c>
      <c r="D146" s="16" t="s">
        <v>3</v>
      </c>
      <c r="E146" s="16" t="s">
        <v>424</v>
      </c>
      <c r="F146" s="80" t="s">
        <v>601</v>
      </c>
      <c r="G146" s="18">
        <v>1453050</v>
      </c>
      <c r="H146" s="57" t="s">
        <v>61</v>
      </c>
      <c r="I146" s="16" t="s">
        <v>579</v>
      </c>
      <c r="J146" s="57" t="s">
        <v>61</v>
      </c>
      <c r="K146" s="16" t="s">
        <v>161</v>
      </c>
      <c r="L146" s="16" t="s">
        <v>428</v>
      </c>
      <c r="M146" s="16" t="s">
        <v>575</v>
      </c>
      <c r="N146" s="16" t="s">
        <v>592</v>
      </c>
      <c r="O146" s="18" t="s">
        <v>61</v>
      </c>
      <c r="P146" s="18" t="s">
        <v>589</v>
      </c>
      <c r="Q146" s="19"/>
      <c r="R146" s="57" t="s">
        <v>61</v>
      </c>
      <c r="S146" s="16" t="s">
        <v>157</v>
      </c>
      <c r="T146" s="16"/>
      <c r="U146" s="16"/>
      <c r="V146" s="16">
        <v>132</v>
      </c>
      <c r="W146" s="16">
        <f t="shared" si="30"/>
        <v>132</v>
      </c>
      <c r="X146" s="16">
        <f t="shared" si="29"/>
        <v>132</v>
      </c>
      <c r="Y146" s="16">
        <f>ROUNDDOWN(W146/HLOOKUP(D146,Table!$C$3:$D$4,2,0)*8,2)</f>
        <v>2.34</v>
      </c>
      <c r="Z146" s="16">
        <v>2</v>
      </c>
      <c r="AA146" s="16" t="s">
        <v>74</v>
      </c>
      <c r="AB146" s="20">
        <v>43963</v>
      </c>
      <c r="AC146" s="20">
        <v>43958</v>
      </c>
      <c r="AD146" s="20">
        <v>43963</v>
      </c>
      <c r="AE146" s="20">
        <v>43959</v>
      </c>
      <c r="AF146" s="20">
        <v>43959</v>
      </c>
      <c r="AG146" s="20" t="s">
        <v>335</v>
      </c>
      <c r="AH146" s="32">
        <v>1</v>
      </c>
      <c r="AI146" s="32">
        <v>1</v>
      </c>
      <c r="AJ146" s="32">
        <v>1</v>
      </c>
      <c r="AK146" s="20" t="s">
        <v>165</v>
      </c>
      <c r="AL146" s="16" t="s">
        <v>61</v>
      </c>
      <c r="AM146" s="16" t="s">
        <v>61</v>
      </c>
      <c r="AN146" s="16" t="s">
        <v>61</v>
      </c>
    </row>
    <row r="147" spans="2:40" x14ac:dyDescent="0.25">
      <c r="B147" s="111">
        <f t="shared" si="25"/>
        <v>100</v>
      </c>
      <c r="C147" s="17">
        <v>20200507</v>
      </c>
      <c r="D147" s="16" t="s">
        <v>3</v>
      </c>
      <c r="E147" s="16" t="s">
        <v>424</v>
      </c>
      <c r="F147" s="80" t="s">
        <v>602</v>
      </c>
      <c r="G147" s="18">
        <v>1453050</v>
      </c>
      <c r="H147" s="57" t="s">
        <v>61</v>
      </c>
      <c r="I147" s="16" t="s">
        <v>580</v>
      </c>
      <c r="J147" s="57" t="s">
        <v>61</v>
      </c>
      <c r="K147" s="16" t="s">
        <v>161</v>
      </c>
      <c r="L147" s="16" t="s">
        <v>428</v>
      </c>
      <c r="M147" s="16" t="s">
        <v>575</v>
      </c>
      <c r="N147" s="16" t="s">
        <v>592</v>
      </c>
      <c r="O147" s="18" t="s">
        <v>61</v>
      </c>
      <c r="P147" s="18" t="s">
        <v>589</v>
      </c>
      <c r="Q147" s="19"/>
      <c r="R147" s="57" t="s">
        <v>61</v>
      </c>
      <c r="S147" s="16" t="s">
        <v>157</v>
      </c>
      <c r="T147" s="16"/>
      <c r="U147" s="16"/>
      <c r="V147" s="16">
        <v>156</v>
      </c>
      <c r="W147" s="16">
        <f t="shared" si="30"/>
        <v>156</v>
      </c>
      <c r="X147" s="16">
        <f t="shared" si="29"/>
        <v>156</v>
      </c>
      <c r="Y147" s="16">
        <f>ROUNDDOWN(W147/HLOOKUP(D147,Table!$C$3:$D$4,2,0)*8,2)</f>
        <v>2.77</v>
      </c>
      <c r="Z147" s="16">
        <v>1.5</v>
      </c>
      <c r="AA147" s="16" t="s">
        <v>74</v>
      </c>
      <c r="AB147" s="20">
        <v>43963</v>
      </c>
      <c r="AC147" s="20">
        <v>43958</v>
      </c>
      <c r="AD147" s="20">
        <v>43963</v>
      </c>
      <c r="AE147" s="20">
        <v>43959</v>
      </c>
      <c r="AF147" s="20">
        <v>43959</v>
      </c>
      <c r="AG147" s="20" t="s">
        <v>335</v>
      </c>
      <c r="AH147" s="32">
        <v>1</v>
      </c>
      <c r="AI147" s="32">
        <v>1</v>
      </c>
      <c r="AJ147" s="32">
        <v>1</v>
      </c>
      <c r="AK147" s="20" t="s">
        <v>165</v>
      </c>
      <c r="AL147" s="16" t="s">
        <v>61</v>
      </c>
      <c r="AM147" s="16" t="s">
        <v>61</v>
      </c>
      <c r="AN147" s="16" t="s">
        <v>61</v>
      </c>
    </row>
    <row r="148" spans="2:40" x14ac:dyDescent="0.25">
      <c r="B148" s="111">
        <f t="shared" si="25"/>
        <v>101</v>
      </c>
      <c r="C148" s="17">
        <v>20200507</v>
      </c>
      <c r="D148" s="16" t="s">
        <v>3</v>
      </c>
      <c r="E148" s="16" t="s">
        <v>424</v>
      </c>
      <c r="F148" s="80" t="s">
        <v>603</v>
      </c>
      <c r="G148" s="18">
        <v>1453050</v>
      </c>
      <c r="H148" s="57" t="s">
        <v>61</v>
      </c>
      <c r="I148" s="16" t="s">
        <v>581</v>
      </c>
      <c r="J148" s="57" t="s">
        <v>61</v>
      </c>
      <c r="K148" s="16" t="s">
        <v>161</v>
      </c>
      <c r="L148" s="16" t="s">
        <v>428</v>
      </c>
      <c r="M148" s="16" t="s">
        <v>575</v>
      </c>
      <c r="N148" s="16" t="s">
        <v>592</v>
      </c>
      <c r="O148" s="18" t="s">
        <v>61</v>
      </c>
      <c r="P148" s="18" t="s">
        <v>589</v>
      </c>
      <c r="Q148" s="19"/>
      <c r="R148" s="57" t="s">
        <v>61</v>
      </c>
      <c r="S148" s="16" t="s">
        <v>65</v>
      </c>
      <c r="T148" s="16"/>
      <c r="U148" s="16"/>
      <c r="V148" s="16">
        <v>309</v>
      </c>
      <c r="W148" s="16">
        <f t="shared" si="30"/>
        <v>309</v>
      </c>
      <c r="X148" s="16">
        <f t="shared" ref="X148:X152" si="31">W148</f>
        <v>309</v>
      </c>
      <c r="Y148" s="16">
        <f>ROUNDDOWN(W148/HLOOKUP(D148,Table!$C$3:$D$4,2,0)*8,2)</f>
        <v>5.49</v>
      </c>
      <c r="Z148" s="16">
        <v>4</v>
      </c>
      <c r="AA148" s="16" t="s">
        <v>74</v>
      </c>
      <c r="AB148" s="20">
        <v>43963</v>
      </c>
      <c r="AC148" s="20">
        <v>43958</v>
      </c>
      <c r="AD148" s="20">
        <v>43963</v>
      </c>
      <c r="AE148" s="20">
        <v>43962</v>
      </c>
      <c r="AF148" s="20">
        <v>43962</v>
      </c>
      <c r="AG148" s="20" t="s">
        <v>336</v>
      </c>
      <c r="AH148" s="32">
        <v>1</v>
      </c>
      <c r="AI148" s="32">
        <v>1</v>
      </c>
      <c r="AJ148" s="32">
        <v>0.83</v>
      </c>
      <c r="AK148" s="20" t="s">
        <v>149</v>
      </c>
      <c r="AL148" s="16" t="s">
        <v>620</v>
      </c>
      <c r="AM148" s="16" t="s">
        <v>61</v>
      </c>
      <c r="AN148" s="122" t="s">
        <v>448</v>
      </c>
    </row>
    <row r="149" spans="2:40" x14ac:dyDescent="0.25">
      <c r="B149" s="111">
        <f t="shared" si="25"/>
        <v>102</v>
      </c>
      <c r="C149" s="17">
        <v>20200507</v>
      </c>
      <c r="D149" s="16" t="s">
        <v>3</v>
      </c>
      <c r="E149" s="16" t="s">
        <v>424</v>
      </c>
      <c r="F149" s="80" t="s">
        <v>604</v>
      </c>
      <c r="G149" s="18">
        <v>1453050</v>
      </c>
      <c r="H149" s="57" t="s">
        <v>61</v>
      </c>
      <c r="I149" s="16" t="s">
        <v>582</v>
      </c>
      <c r="J149" s="57" t="s">
        <v>61</v>
      </c>
      <c r="K149" s="16" t="s">
        <v>161</v>
      </c>
      <c r="L149" s="16" t="s">
        <v>428</v>
      </c>
      <c r="M149" s="16" t="s">
        <v>575</v>
      </c>
      <c r="N149" s="16" t="s">
        <v>592</v>
      </c>
      <c r="O149" s="18" t="s">
        <v>61</v>
      </c>
      <c r="P149" s="18" t="s">
        <v>589</v>
      </c>
      <c r="Q149" s="19"/>
      <c r="R149" s="57" t="s">
        <v>61</v>
      </c>
      <c r="S149" s="16" t="s">
        <v>65</v>
      </c>
      <c r="T149" s="16"/>
      <c r="U149" s="16"/>
      <c r="V149" s="16">
        <v>25</v>
      </c>
      <c r="W149" s="16">
        <f t="shared" si="30"/>
        <v>25</v>
      </c>
      <c r="X149" s="16">
        <f t="shared" si="31"/>
        <v>25</v>
      </c>
      <c r="Y149" s="16">
        <f>ROUNDDOWN(W149/HLOOKUP(D149,Table!$C$3:$D$4,2,0)*8,2)</f>
        <v>0.44</v>
      </c>
      <c r="Z149" s="16">
        <v>1</v>
      </c>
      <c r="AA149" s="16" t="s">
        <v>74</v>
      </c>
      <c r="AB149" s="20">
        <v>43963</v>
      </c>
      <c r="AC149" s="20">
        <v>43958</v>
      </c>
      <c r="AD149" s="20">
        <v>43963</v>
      </c>
      <c r="AE149" s="20">
        <v>43962</v>
      </c>
      <c r="AF149" s="20">
        <v>43962</v>
      </c>
      <c r="AG149" s="20" t="s">
        <v>335</v>
      </c>
      <c r="AH149" s="32">
        <v>1</v>
      </c>
      <c r="AI149" s="32">
        <v>1</v>
      </c>
      <c r="AJ149" s="32">
        <v>1</v>
      </c>
      <c r="AK149" s="20" t="s">
        <v>165</v>
      </c>
      <c r="AL149" s="16" t="s">
        <v>61</v>
      </c>
      <c r="AM149" s="16" t="s">
        <v>61</v>
      </c>
      <c r="AN149" s="16" t="s">
        <v>61</v>
      </c>
    </row>
    <row r="150" spans="2:40" x14ac:dyDescent="0.25">
      <c r="B150" s="111">
        <f t="shared" si="25"/>
        <v>103</v>
      </c>
      <c r="C150" s="17">
        <v>20200507</v>
      </c>
      <c r="D150" s="16" t="s">
        <v>3</v>
      </c>
      <c r="E150" s="16" t="s">
        <v>424</v>
      </c>
      <c r="F150" s="80" t="s">
        <v>605</v>
      </c>
      <c r="G150" s="18">
        <v>1453050</v>
      </c>
      <c r="H150" s="57" t="s">
        <v>61</v>
      </c>
      <c r="I150" s="16" t="s">
        <v>583</v>
      </c>
      <c r="J150" s="57" t="s">
        <v>61</v>
      </c>
      <c r="K150" s="16" t="s">
        <v>161</v>
      </c>
      <c r="L150" s="16" t="s">
        <v>428</v>
      </c>
      <c r="M150" s="16" t="s">
        <v>575</v>
      </c>
      <c r="N150" s="16" t="s">
        <v>592</v>
      </c>
      <c r="O150" s="18" t="s">
        <v>61</v>
      </c>
      <c r="P150" s="18" t="s">
        <v>589</v>
      </c>
      <c r="Q150" s="19"/>
      <c r="R150" s="57" t="s">
        <v>61</v>
      </c>
      <c r="S150" s="16" t="s">
        <v>65</v>
      </c>
      <c r="T150" s="16"/>
      <c r="U150" s="16"/>
      <c r="V150" s="16">
        <v>215</v>
      </c>
      <c r="W150" s="16">
        <f t="shared" si="30"/>
        <v>215</v>
      </c>
      <c r="X150" s="16">
        <f t="shared" si="31"/>
        <v>215</v>
      </c>
      <c r="Y150" s="16">
        <f>ROUNDDOWN(W150/HLOOKUP(D150,Table!$C$3:$D$4,2,0)*8,2)</f>
        <v>3.82</v>
      </c>
      <c r="Z150" s="16">
        <v>2</v>
      </c>
      <c r="AA150" s="16" t="s">
        <v>74</v>
      </c>
      <c r="AB150" s="20">
        <v>43963</v>
      </c>
      <c r="AC150" s="20">
        <v>43958</v>
      </c>
      <c r="AD150" s="20">
        <v>43963</v>
      </c>
      <c r="AE150" s="20">
        <v>43962</v>
      </c>
      <c r="AF150" s="20">
        <v>43962</v>
      </c>
      <c r="AG150" s="20" t="s">
        <v>335</v>
      </c>
      <c r="AH150" s="32">
        <v>1</v>
      </c>
      <c r="AI150" s="32">
        <v>1</v>
      </c>
      <c r="AJ150" s="32">
        <v>1</v>
      </c>
      <c r="AK150" s="20" t="s">
        <v>165</v>
      </c>
      <c r="AL150" s="16" t="s">
        <v>61</v>
      </c>
      <c r="AM150" s="16" t="s">
        <v>61</v>
      </c>
      <c r="AN150" s="16" t="s">
        <v>61</v>
      </c>
    </row>
    <row r="151" spans="2:40" x14ac:dyDescent="0.25">
      <c r="B151" s="111">
        <f t="shared" si="25"/>
        <v>104</v>
      </c>
      <c r="C151" s="17">
        <v>20200507</v>
      </c>
      <c r="D151" s="16" t="s">
        <v>3</v>
      </c>
      <c r="E151" s="16" t="s">
        <v>424</v>
      </c>
      <c r="F151" s="80" t="s">
        <v>606</v>
      </c>
      <c r="G151" s="18">
        <v>1453050</v>
      </c>
      <c r="H151" s="57" t="s">
        <v>61</v>
      </c>
      <c r="I151" s="16" t="s">
        <v>584</v>
      </c>
      <c r="J151" s="57" t="s">
        <v>61</v>
      </c>
      <c r="K151" s="16" t="s">
        <v>161</v>
      </c>
      <c r="L151" s="16" t="s">
        <v>428</v>
      </c>
      <c r="M151" s="16" t="s">
        <v>575</v>
      </c>
      <c r="N151" s="16" t="s">
        <v>592</v>
      </c>
      <c r="O151" s="18" t="s">
        <v>61</v>
      </c>
      <c r="P151" s="18" t="s">
        <v>589</v>
      </c>
      <c r="Q151" s="19"/>
      <c r="R151" s="57" t="s">
        <v>61</v>
      </c>
      <c r="S151" s="16" t="s">
        <v>6</v>
      </c>
      <c r="T151" s="16"/>
      <c r="U151" s="16"/>
      <c r="V151" s="16">
        <v>1703</v>
      </c>
      <c r="W151" s="16">
        <f t="shared" si="30"/>
        <v>1703</v>
      </c>
      <c r="X151" s="16">
        <f t="shared" si="31"/>
        <v>1703</v>
      </c>
      <c r="Y151" s="16">
        <f>ROUNDDOWN(W151/HLOOKUP(D151,Table!$C$3:$D$4,2,0)*8,2)</f>
        <v>30.27</v>
      </c>
      <c r="Z151" s="16">
        <v>8</v>
      </c>
      <c r="AA151" s="16" t="s">
        <v>74</v>
      </c>
      <c r="AB151" s="20">
        <v>43963</v>
      </c>
      <c r="AC151" s="20">
        <v>43958</v>
      </c>
      <c r="AD151" s="20">
        <v>43963</v>
      </c>
      <c r="AE151" s="20">
        <v>43959</v>
      </c>
      <c r="AF151" s="20">
        <v>43962</v>
      </c>
      <c r="AG151" s="20" t="s">
        <v>335</v>
      </c>
      <c r="AH151" s="32">
        <v>1</v>
      </c>
      <c r="AI151" s="32">
        <v>1</v>
      </c>
      <c r="AJ151" s="32">
        <v>1</v>
      </c>
      <c r="AK151" s="20" t="s">
        <v>165</v>
      </c>
      <c r="AL151" s="16" t="s">
        <v>61</v>
      </c>
      <c r="AM151" s="16" t="s">
        <v>61</v>
      </c>
      <c r="AN151" s="16" t="s">
        <v>61</v>
      </c>
    </row>
    <row r="152" spans="2:40" x14ac:dyDescent="0.25">
      <c r="B152" s="111">
        <f t="shared" si="25"/>
        <v>105</v>
      </c>
      <c r="C152" s="17">
        <v>20200507</v>
      </c>
      <c r="D152" s="16" t="s">
        <v>3</v>
      </c>
      <c r="E152" s="16" t="s">
        <v>169</v>
      </c>
      <c r="F152" s="80" t="s">
        <v>607</v>
      </c>
      <c r="G152" s="18">
        <v>1444374</v>
      </c>
      <c r="H152" s="57" t="s">
        <v>61</v>
      </c>
      <c r="I152" s="16" t="s">
        <v>585</v>
      </c>
      <c r="J152" s="57" t="s">
        <v>61</v>
      </c>
      <c r="K152" s="16" t="s">
        <v>161</v>
      </c>
      <c r="L152" s="16" t="s">
        <v>324</v>
      </c>
      <c r="M152" s="16" t="s">
        <v>334</v>
      </c>
      <c r="N152" s="16" t="s">
        <v>326</v>
      </c>
      <c r="O152" s="18" t="s">
        <v>61</v>
      </c>
      <c r="P152" s="18" t="s">
        <v>588</v>
      </c>
      <c r="Q152" s="19"/>
      <c r="R152" s="57" t="s">
        <v>61</v>
      </c>
      <c r="S152" s="16" t="s">
        <v>64</v>
      </c>
      <c r="T152" s="16"/>
      <c r="U152" s="16"/>
      <c r="V152" s="16">
        <v>1193</v>
      </c>
      <c r="W152" s="16">
        <f t="shared" si="30"/>
        <v>1193</v>
      </c>
      <c r="X152" s="16">
        <f t="shared" si="31"/>
        <v>1193</v>
      </c>
      <c r="Y152" s="16">
        <f>ROUNDDOWN(W152/HLOOKUP(D152,Table!$C$3:$D$4,2,0)*8,2)</f>
        <v>21.2</v>
      </c>
      <c r="Z152" s="16">
        <v>4</v>
      </c>
      <c r="AA152" s="16" t="s">
        <v>74</v>
      </c>
      <c r="AB152" s="20">
        <v>43963</v>
      </c>
      <c r="AC152" s="20">
        <v>43958</v>
      </c>
      <c r="AD152" s="20">
        <v>43963</v>
      </c>
      <c r="AE152" s="20">
        <v>43959</v>
      </c>
      <c r="AF152" s="20">
        <v>43959</v>
      </c>
      <c r="AG152" s="20" t="s">
        <v>335</v>
      </c>
      <c r="AH152" s="32">
        <v>1</v>
      </c>
      <c r="AI152" s="32">
        <v>1</v>
      </c>
      <c r="AJ152" s="32">
        <v>1</v>
      </c>
      <c r="AK152" s="20" t="s">
        <v>165</v>
      </c>
      <c r="AL152" s="16" t="s">
        <v>61</v>
      </c>
      <c r="AM152" s="16" t="s">
        <v>61</v>
      </c>
      <c r="AN152" s="16" t="s">
        <v>61</v>
      </c>
    </row>
    <row r="153" spans="2:40" x14ac:dyDescent="0.25">
      <c r="B153" s="131">
        <f t="shared" ref="B153:B188" si="32">B152+1</f>
        <v>106</v>
      </c>
      <c r="C153" s="132">
        <v>20200508</v>
      </c>
      <c r="D153" s="17" t="s">
        <v>3</v>
      </c>
      <c r="E153" s="132" t="s">
        <v>621</v>
      </c>
      <c r="F153" s="133" t="s">
        <v>729</v>
      </c>
      <c r="G153" s="134">
        <v>1457196</v>
      </c>
      <c r="H153" s="57" t="s">
        <v>61</v>
      </c>
      <c r="I153" s="132" t="s">
        <v>685</v>
      </c>
      <c r="J153" s="57" t="s">
        <v>61</v>
      </c>
      <c r="K153" s="132" t="s">
        <v>161</v>
      </c>
      <c r="L153" s="132" t="s">
        <v>165</v>
      </c>
      <c r="M153" s="132" t="s">
        <v>165</v>
      </c>
      <c r="N153" s="132" t="s">
        <v>623</v>
      </c>
      <c r="O153" s="134" t="s">
        <v>61</v>
      </c>
      <c r="P153" s="134" t="s">
        <v>624</v>
      </c>
      <c r="Q153" s="132"/>
      <c r="R153" s="57" t="s">
        <v>61</v>
      </c>
      <c r="S153" s="132"/>
      <c r="T153" s="132"/>
      <c r="U153" s="132"/>
      <c r="V153" s="132"/>
      <c r="W153" s="132"/>
      <c r="X153" s="132"/>
      <c r="Y153" s="132"/>
      <c r="Z153" s="132"/>
      <c r="AA153" s="132"/>
      <c r="AB153" s="135"/>
      <c r="AC153" s="135"/>
      <c r="AD153" s="135"/>
      <c r="AE153" s="135"/>
      <c r="AF153" s="135"/>
      <c r="AG153" s="135"/>
      <c r="AH153" s="136"/>
      <c r="AI153" s="136"/>
      <c r="AJ153" s="136"/>
      <c r="AK153" s="135"/>
      <c r="AL153" s="132"/>
      <c r="AM153" s="132"/>
      <c r="AN153" s="139" t="s">
        <v>745</v>
      </c>
    </row>
    <row r="154" spans="2:40" x14ac:dyDescent="0.25">
      <c r="B154" s="131">
        <f t="shared" si="32"/>
        <v>107</v>
      </c>
      <c r="C154" s="132">
        <v>20200508</v>
      </c>
      <c r="D154" s="17" t="s">
        <v>3</v>
      </c>
      <c r="E154" s="132" t="s">
        <v>621</v>
      </c>
      <c r="F154" s="133" t="s">
        <v>729</v>
      </c>
      <c r="G154" s="134">
        <v>1457196</v>
      </c>
      <c r="H154" s="57" t="s">
        <v>61</v>
      </c>
      <c r="I154" s="132" t="s">
        <v>686</v>
      </c>
      <c r="J154" s="57" t="s">
        <v>61</v>
      </c>
      <c r="K154" s="132" t="s">
        <v>161</v>
      </c>
      <c r="L154" s="132" t="s">
        <v>165</v>
      </c>
      <c r="M154" s="132" t="s">
        <v>165</v>
      </c>
      <c r="N154" s="132" t="s">
        <v>623</v>
      </c>
      <c r="O154" s="134" t="s">
        <v>61</v>
      </c>
      <c r="P154" s="134" t="s">
        <v>624</v>
      </c>
      <c r="Q154" s="132"/>
      <c r="R154" s="57" t="s">
        <v>61</v>
      </c>
      <c r="S154" s="132"/>
      <c r="T154" s="132"/>
      <c r="U154" s="132"/>
      <c r="V154" s="132"/>
      <c r="W154" s="132"/>
      <c r="X154" s="132"/>
      <c r="Y154" s="132"/>
      <c r="Z154" s="132"/>
      <c r="AA154" s="132"/>
      <c r="AB154" s="135"/>
      <c r="AC154" s="135"/>
      <c r="AD154" s="135"/>
      <c r="AE154" s="135"/>
      <c r="AF154" s="135"/>
      <c r="AG154" s="135"/>
      <c r="AH154" s="136"/>
      <c r="AI154" s="136"/>
      <c r="AJ154" s="136"/>
      <c r="AK154" s="135"/>
      <c r="AL154" s="137"/>
      <c r="AM154" s="137"/>
      <c r="AN154" s="139" t="s">
        <v>745</v>
      </c>
    </row>
    <row r="155" spans="2:40" x14ac:dyDescent="0.25">
      <c r="B155" s="131">
        <f t="shared" si="32"/>
        <v>108</v>
      </c>
      <c r="C155" s="132">
        <v>20200508</v>
      </c>
      <c r="D155" s="17" t="s">
        <v>3</v>
      </c>
      <c r="E155" s="132" t="s">
        <v>621</v>
      </c>
      <c r="F155" s="133" t="s">
        <v>730</v>
      </c>
      <c r="G155" s="134">
        <v>1457196</v>
      </c>
      <c r="H155" s="57" t="s">
        <v>61</v>
      </c>
      <c r="I155" s="132" t="s">
        <v>687</v>
      </c>
      <c r="J155" s="57" t="s">
        <v>61</v>
      </c>
      <c r="K155" s="132" t="s">
        <v>161</v>
      </c>
      <c r="L155" s="132" t="s">
        <v>165</v>
      </c>
      <c r="M155" s="132" t="s">
        <v>165</v>
      </c>
      <c r="N155" s="132" t="s">
        <v>623</v>
      </c>
      <c r="O155" s="134" t="s">
        <v>61</v>
      </c>
      <c r="P155" s="134" t="s">
        <v>624</v>
      </c>
      <c r="Q155" s="132"/>
      <c r="R155" s="57" t="s">
        <v>61</v>
      </c>
      <c r="S155" s="132"/>
      <c r="T155" s="132"/>
      <c r="U155" s="132"/>
      <c r="V155" s="132"/>
      <c r="W155" s="132"/>
      <c r="X155" s="132"/>
      <c r="Y155" s="132"/>
      <c r="Z155" s="132"/>
      <c r="AA155" s="132"/>
      <c r="AB155" s="135"/>
      <c r="AC155" s="135"/>
      <c r="AD155" s="135"/>
      <c r="AE155" s="135"/>
      <c r="AF155" s="135"/>
      <c r="AG155" s="135"/>
      <c r="AH155" s="136"/>
      <c r="AI155" s="136"/>
      <c r="AJ155" s="136"/>
      <c r="AK155" s="135"/>
      <c r="AL155" s="137"/>
      <c r="AM155" s="137"/>
      <c r="AN155" s="139" t="s">
        <v>745</v>
      </c>
    </row>
    <row r="156" spans="2:40" x14ac:dyDescent="0.25">
      <c r="B156" s="131">
        <f t="shared" si="32"/>
        <v>109</v>
      </c>
      <c r="C156" s="132">
        <v>20200508</v>
      </c>
      <c r="D156" s="17" t="s">
        <v>3</v>
      </c>
      <c r="E156" s="132" t="s">
        <v>621</v>
      </c>
      <c r="F156" s="133" t="s">
        <v>731</v>
      </c>
      <c r="G156" s="134">
        <v>1457196</v>
      </c>
      <c r="H156" s="57" t="s">
        <v>61</v>
      </c>
      <c r="I156" s="132" t="s">
        <v>688</v>
      </c>
      <c r="J156" s="57" t="s">
        <v>61</v>
      </c>
      <c r="K156" s="132" t="s">
        <v>161</v>
      </c>
      <c r="L156" s="132" t="s">
        <v>165</v>
      </c>
      <c r="M156" s="132" t="s">
        <v>165</v>
      </c>
      <c r="N156" s="132" t="s">
        <v>623</v>
      </c>
      <c r="O156" s="134" t="s">
        <v>61</v>
      </c>
      <c r="P156" s="134" t="s">
        <v>624</v>
      </c>
      <c r="Q156" s="132"/>
      <c r="R156" s="57" t="s">
        <v>61</v>
      </c>
      <c r="S156" s="132"/>
      <c r="T156" s="132"/>
      <c r="U156" s="132"/>
      <c r="V156" s="132"/>
      <c r="W156" s="132"/>
      <c r="X156" s="132"/>
      <c r="Y156" s="132"/>
      <c r="Z156" s="132"/>
      <c r="AA156" s="132"/>
      <c r="AB156" s="135"/>
      <c r="AC156" s="135"/>
      <c r="AD156" s="135"/>
      <c r="AE156" s="135"/>
      <c r="AF156" s="135"/>
      <c r="AG156" s="135"/>
      <c r="AH156" s="136"/>
      <c r="AI156" s="136"/>
      <c r="AJ156" s="136"/>
      <c r="AK156" s="135"/>
      <c r="AL156" s="137"/>
      <c r="AM156" s="137"/>
      <c r="AN156" s="139" t="s">
        <v>745</v>
      </c>
    </row>
    <row r="157" spans="2:40" x14ac:dyDescent="0.25">
      <c r="B157" s="131">
        <f t="shared" si="32"/>
        <v>110</v>
      </c>
      <c r="C157" s="132">
        <v>20200508</v>
      </c>
      <c r="D157" s="17" t="s">
        <v>3</v>
      </c>
      <c r="E157" s="132" t="s">
        <v>621</v>
      </c>
      <c r="F157" s="133" t="s">
        <v>732</v>
      </c>
      <c r="G157" s="134">
        <v>1457196</v>
      </c>
      <c r="H157" s="57" t="s">
        <v>61</v>
      </c>
      <c r="I157" s="132" t="s">
        <v>482</v>
      </c>
      <c r="J157" s="57" t="s">
        <v>61</v>
      </c>
      <c r="K157" s="132" t="s">
        <v>161</v>
      </c>
      <c r="L157" s="132" t="s">
        <v>165</v>
      </c>
      <c r="M157" s="132" t="s">
        <v>165</v>
      </c>
      <c r="N157" s="132" t="s">
        <v>623</v>
      </c>
      <c r="O157" s="134" t="s">
        <v>61</v>
      </c>
      <c r="P157" s="134" t="s">
        <v>624</v>
      </c>
      <c r="Q157" s="132"/>
      <c r="R157" s="57" t="s">
        <v>61</v>
      </c>
      <c r="S157" s="132"/>
      <c r="T157" s="132"/>
      <c r="U157" s="132"/>
      <c r="V157" s="132"/>
      <c r="W157" s="132"/>
      <c r="X157" s="132"/>
      <c r="Y157" s="132"/>
      <c r="Z157" s="132"/>
      <c r="AA157" s="132"/>
      <c r="AB157" s="135"/>
      <c r="AC157" s="135"/>
      <c r="AD157" s="135"/>
      <c r="AE157" s="135"/>
      <c r="AF157" s="135"/>
      <c r="AG157" s="135"/>
      <c r="AH157" s="136"/>
      <c r="AI157" s="136"/>
      <c r="AJ157" s="136"/>
      <c r="AK157" s="135"/>
      <c r="AL157" s="137"/>
      <c r="AM157" s="137"/>
      <c r="AN157" s="139" t="s">
        <v>745</v>
      </c>
    </row>
    <row r="158" spans="2:40" x14ac:dyDescent="0.25">
      <c r="B158" s="131">
        <f t="shared" si="32"/>
        <v>111</v>
      </c>
      <c r="C158" s="132">
        <v>20200508</v>
      </c>
      <c r="D158" s="17" t="s">
        <v>3</v>
      </c>
      <c r="E158" s="132" t="s">
        <v>621</v>
      </c>
      <c r="F158" s="133" t="s">
        <v>733</v>
      </c>
      <c r="G158" s="134">
        <v>1457196</v>
      </c>
      <c r="H158" s="57" t="s">
        <v>61</v>
      </c>
      <c r="I158" s="132" t="s">
        <v>689</v>
      </c>
      <c r="J158" s="57" t="s">
        <v>61</v>
      </c>
      <c r="K158" s="132" t="s">
        <v>161</v>
      </c>
      <c r="L158" s="132" t="s">
        <v>165</v>
      </c>
      <c r="M158" s="132" t="s">
        <v>165</v>
      </c>
      <c r="N158" s="132" t="s">
        <v>623</v>
      </c>
      <c r="O158" s="134" t="s">
        <v>61</v>
      </c>
      <c r="P158" s="134" t="s">
        <v>624</v>
      </c>
      <c r="Q158" s="132"/>
      <c r="R158" s="57" t="s">
        <v>61</v>
      </c>
      <c r="S158" s="132"/>
      <c r="T158" s="132"/>
      <c r="U158" s="132"/>
      <c r="V158" s="132"/>
      <c r="W158" s="132"/>
      <c r="X158" s="132"/>
      <c r="Y158" s="132"/>
      <c r="Z158" s="132"/>
      <c r="AA158" s="132"/>
      <c r="AB158" s="135"/>
      <c r="AC158" s="135"/>
      <c r="AD158" s="135"/>
      <c r="AE158" s="135"/>
      <c r="AF158" s="135"/>
      <c r="AG158" s="135"/>
      <c r="AH158" s="136"/>
      <c r="AI158" s="136"/>
      <c r="AJ158" s="136"/>
      <c r="AK158" s="135"/>
      <c r="AL158" s="132"/>
      <c r="AM158" s="132"/>
      <c r="AN158" s="139" t="s">
        <v>745</v>
      </c>
    </row>
    <row r="159" spans="2:40" x14ac:dyDescent="0.25">
      <c r="B159" s="131">
        <f t="shared" si="32"/>
        <v>112</v>
      </c>
      <c r="C159" s="132">
        <v>20200508</v>
      </c>
      <c r="D159" s="17" t="s">
        <v>3</v>
      </c>
      <c r="E159" s="132" t="s">
        <v>621</v>
      </c>
      <c r="F159" s="133" t="s">
        <v>734</v>
      </c>
      <c r="G159" s="134">
        <v>1457196</v>
      </c>
      <c r="H159" s="57" t="s">
        <v>61</v>
      </c>
      <c r="I159" s="132" t="s">
        <v>690</v>
      </c>
      <c r="J159" s="57" t="s">
        <v>61</v>
      </c>
      <c r="K159" s="132" t="s">
        <v>161</v>
      </c>
      <c r="L159" s="132" t="s">
        <v>165</v>
      </c>
      <c r="M159" s="132" t="s">
        <v>165</v>
      </c>
      <c r="N159" s="132" t="s">
        <v>623</v>
      </c>
      <c r="O159" s="134" t="s">
        <v>61</v>
      </c>
      <c r="P159" s="134" t="s">
        <v>624</v>
      </c>
      <c r="Q159" s="132"/>
      <c r="R159" s="57" t="s">
        <v>61</v>
      </c>
      <c r="S159" s="132"/>
      <c r="T159" s="132"/>
      <c r="U159" s="132"/>
      <c r="V159" s="132"/>
      <c r="W159" s="132"/>
      <c r="X159" s="132"/>
      <c r="Y159" s="132"/>
      <c r="Z159" s="132"/>
      <c r="AA159" s="132"/>
      <c r="AB159" s="135"/>
      <c r="AC159" s="135"/>
      <c r="AD159" s="135"/>
      <c r="AE159" s="135"/>
      <c r="AF159" s="135"/>
      <c r="AG159" s="135"/>
      <c r="AH159" s="136"/>
      <c r="AI159" s="136"/>
      <c r="AJ159" s="136"/>
      <c r="AK159" s="135"/>
      <c r="AL159" s="138"/>
      <c r="AM159" s="132"/>
      <c r="AN159" s="139" t="s">
        <v>745</v>
      </c>
    </row>
    <row r="160" spans="2:40" x14ac:dyDescent="0.25">
      <c r="B160" s="131">
        <f t="shared" si="32"/>
        <v>113</v>
      </c>
      <c r="C160" s="132">
        <v>20200508</v>
      </c>
      <c r="D160" s="17" t="s">
        <v>3</v>
      </c>
      <c r="E160" s="132" t="s">
        <v>621</v>
      </c>
      <c r="F160" s="133" t="s">
        <v>735</v>
      </c>
      <c r="G160" s="134">
        <v>1457196</v>
      </c>
      <c r="H160" s="57" t="s">
        <v>61</v>
      </c>
      <c r="I160" s="132" t="s">
        <v>483</v>
      </c>
      <c r="J160" s="57" t="s">
        <v>61</v>
      </c>
      <c r="K160" s="132" t="s">
        <v>161</v>
      </c>
      <c r="L160" s="132" t="s">
        <v>165</v>
      </c>
      <c r="M160" s="132" t="s">
        <v>165</v>
      </c>
      <c r="N160" s="132" t="s">
        <v>623</v>
      </c>
      <c r="O160" s="134" t="s">
        <v>61</v>
      </c>
      <c r="P160" s="134" t="s">
        <v>624</v>
      </c>
      <c r="Q160" s="132"/>
      <c r="R160" s="57" t="s">
        <v>61</v>
      </c>
      <c r="S160" s="132"/>
      <c r="T160" s="132"/>
      <c r="U160" s="132"/>
      <c r="V160" s="132"/>
      <c r="W160" s="132"/>
      <c r="X160" s="132"/>
      <c r="Y160" s="132"/>
      <c r="Z160" s="132"/>
      <c r="AA160" s="132"/>
      <c r="AB160" s="135"/>
      <c r="AC160" s="135"/>
      <c r="AD160" s="135"/>
      <c r="AE160" s="135"/>
      <c r="AF160" s="135"/>
      <c r="AG160" s="135"/>
      <c r="AH160" s="136"/>
      <c r="AI160" s="136"/>
      <c r="AJ160" s="136"/>
      <c r="AK160" s="135"/>
      <c r="AL160" s="132"/>
      <c r="AM160" s="132"/>
      <c r="AN160" s="139" t="s">
        <v>745</v>
      </c>
    </row>
    <row r="161" spans="2:40" x14ac:dyDescent="0.25">
      <c r="B161" s="131">
        <f t="shared" si="32"/>
        <v>114</v>
      </c>
      <c r="C161" s="132">
        <v>20200508</v>
      </c>
      <c r="D161" s="17" t="s">
        <v>3</v>
      </c>
      <c r="E161" s="132" t="s">
        <v>621</v>
      </c>
      <c r="F161" s="133" t="s">
        <v>736</v>
      </c>
      <c r="G161" s="134">
        <v>1457196</v>
      </c>
      <c r="H161" s="57" t="s">
        <v>61</v>
      </c>
      <c r="I161" s="132" t="s">
        <v>486</v>
      </c>
      <c r="J161" s="57" t="s">
        <v>61</v>
      </c>
      <c r="K161" s="132" t="s">
        <v>161</v>
      </c>
      <c r="L161" s="132" t="s">
        <v>165</v>
      </c>
      <c r="M161" s="132" t="s">
        <v>165</v>
      </c>
      <c r="N161" s="132" t="s">
        <v>623</v>
      </c>
      <c r="O161" s="134" t="s">
        <v>61</v>
      </c>
      <c r="P161" s="134" t="s">
        <v>624</v>
      </c>
      <c r="Q161" s="132"/>
      <c r="R161" s="57" t="s">
        <v>61</v>
      </c>
      <c r="S161" s="132"/>
      <c r="T161" s="132"/>
      <c r="U161" s="132"/>
      <c r="V161" s="132"/>
      <c r="W161" s="132"/>
      <c r="X161" s="132"/>
      <c r="Y161" s="132"/>
      <c r="Z161" s="132"/>
      <c r="AA161" s="132"/>
      <c r="AB161" s="135"/>
      <c r="AC161" s="135"/>
      <c r="AD161" s="135"/>
      <c r="AE161" s="135"/>
      <c r="AF161" s="135"/>
      <c r="AG161" s="135"/>
      <c r="AH161" s="136"/>
      <c r="AI161" s="136"/>
      <c r="AJ161" s="136"/>
      <c r="AK161" s="135"/>
      <c r="AL161" s="132"/>
      <c r="AM161" s="132"/>
      <c r="AN161" s="139" t="s">
        <v>745</v>
      </c>
    </row>
    <row r="162" spans="2:40" x14ac:dyDescent="0.25">
      <c r="B162" s="127">
        <f t="shared" si="32"/>
        <v>115</v>
      </c>
      <c r="C162" s="17">
        <v>20200508</v>
      </c>
      <c r="D162" s="17" t="s">
        <v>3</v>
      </c>
      <c r="E162" s="16" t="s">
        <v>621</v>
      </c>
      <c r="F162" s="80" t="s">
        <v>680</v>
      </c>
      <c r="G162" s="18">
        <v>1457196</v>
      </c>
      <c r="H162" s="57" t="s">
        <v>61</v>
      </c>
      <c r="I162" s="16" t="s">
        <v>622</v>
      </c>
      <c r="J162" s="57" t="s">
        <v>61</v>
      </c>
      <c r="K162" s="16" t="s">
        <v>161</v>
      </c>
      <c r="L162" s="16" t="s">
        <v>165</v>
      </c>
      <c r="M162" s="16" t="s">
        <v>165</v>
      </c>
      <c r="N162" s="16" t="s">
        <v>623</v>
      </c>
      <c r="O162" s="18" t="s">
        <v>61</v>
      </c>
      <c r="P162" s="18" t="s">
        <v>624</v>
      </c>
      <c r="Q162" s="19"/>
      <c r="R162" s="57" t="s">
        <v>61</v>
      </c>
      <c r="S162" s="16" t="s">
        <v>65</v>
      </c>
      <c r="T162" s="16"/>
      <c r="U162" s="16"/>
      <c r="V162" s="16">
        <v>107</v>
      </c>
      <c r="W162" s="16">
        <v>107</v>
      </c>
      <c r="X162" s="16">
        <v>107</v>
      </c>
      <c r="Y162" s="16">
        <f>ROUNDDOWN(W162/HLOOKUP(D162,Table!$C$3:$D$4,2,0)*8,2)</f>
        <v>1.9</v>
      </c>
      <c r="Z162" s="16">
        <v>0.5</v>
      </c>
      <c r="AA162" s="16" t="s">
        <v>74</v>
      </c>
      <c r="AB162" s="20">
        <v>43964</v>
      </c>
      <c r="AC162" s="20">
        <v>43959</v>
      </c>
      <c r="AD162" s="20">
        <v>43965</v>
      </c>
      <c r="AE162" s="20">
        <v>43962</v>
      </c>
      <c r="AF162" s="20">
        <v>43962</v>
      </c>
      <c r="AG162" s="20" t="s">
        <v>335</v>
      </c>
      <c r="AH162" s="32">
        <v>1</v>
      </c>
      <c r="AI162" s="32">
        <v>1</v>
      </c>
      <c r="AJ162" s="32">
        <v>1</v>
      </c>
      <c r="AK162" s="20" t="s">
        <v>165</v>
      </c>
      <c r="AL162" s="16" t="s">
        <v>61</v>
      </c>
      <c r="AM162" s="16" t="s">
        <v>61</v>
      </c>
      <c r="AN162" s="16" t="s">
        <v>61</v>
      </c>
    </row>
    <row r="163" spans="2:40" x14ac:dyDescent="0.25">
      <c r="B163" s="131">
        <f t="shared" si="32"/>
        <v>116</v>
      </c>
      <c r="C163" s="132">
        <v>20200508</v>
      </c>
      <c r="D163" s="17" t="s">
        <v>3</v>
      </c>
      <c r="E163" s="132" t="s">
        <v>621</v>
      </c>
      <c r="F163" s="133" t="s">
        <v>737</v>
      </c>
      <c r="G163" s="134">
        <v>1457196</v>
      </c>
      <c r="H163" s="57" t="s">
        <v>61</v>
      </c>
      <c r="I163" s="132" t="s">
        <v>691</v>
      </c>
      <c r="J163" s="57" t="s">
        <v>61</v>
      </c>
      <c r="K163" s="132" t="s">
        <v>161</v>
      </c>
      <c r="L163" s="132" t="s">
        <v>165</v>
      </c>
      <c r="M163" s="132" t="s">
        <v>165</v>
      </c>
      <c r="N163" s="132" t="s">
        <v>623</v>
      </c>
      <c r="O163" s="134" t="s">
        <v>61</v>
      </c>
      <c r="P163" s="134" t="s">
        <v>624</v>
      </c>
      <c r="Q163" s="132"/>
      <c r="R163" s="57" t="s">
        <v>61</v>
      </c>
      <c r="S163" s="132"/>
      <c r="T163" s="132"/>
      <c r="U163" s="132"/>
      <c r="V163" s="132"/>
      <c r="W163" s="132"/>
      <c r="X163" s="132"/>
      <c r="Y163" s="132"/>
      <c r="Z163" s="132"/>
      <c r="AA163" s="132"/>
      <c r="AB163" s="135"/>
      <c r="AC163" s="135"/>
      <c r="AD163" s="135"/>
      <c r="AE163" s="135"/>
      <c r="AF163" s="135"/>
      <c r="AG163" s="135"/>
      <c r="AH163" s="136"/>
      <c r="AI163" s="136"/>
      <c r="AJ163" s="136"/>
      <c r="AK163" s="135"/>
      <c r="AL163" s="132"/>
      <c r="AM163" s="132"/>
      <c r="AN163" s="140" t="s">
        <v>745</v>
      </c>
    </row>
    <row r="164" spans="2:40" x14ac:dyDescent="0.25">
      <c r="B164" s="131">
        <f t="shared" si="32"/>
        <v>117</v>
      </c>
      <c r="C164" s="132">
        <v>20200508</v>
      </c>
      <c r="D164" s="17" t="s">
        <v>3</v>
      </c>
      <c r="E164" s="132" t="s">
        <v>621</v>
      </c>
      <c r="F164" s="133" t="s">
        <v>738</v>
      </c>
      <c r="G164" s="134">
        <v>1457196</v>
      </c>
      <c r="H164" s="57" t="s">
        <v>61</v>
      </c>
      <c r="I164" s="132" t="s">
        <v>692</v>
      </c>
      <c r="J164" s="57" t="s">
        <v>61</v>
      </c>
      <c r="K164" s="132" t="s">
        <v>161</v>
      </c>
      <c r="L164" s="132" t="s">
        <v>165</v>
      </c>
      <c r="M164" s="132" t="s">
        <v>165</v>
      </c>
      <c r="N164" s="132" t="s">
        <v>623</v>
      </c>
      <c r="O164" s="134" t="s">
        <v>61</v>
      </c>
      <c r="P164" s="134" t="s">
        <v>624</v>
      </c>
      <c r="Q164" s="132"/>
      <c r="R164" s="57" t="s">
        <v>61</v>
      </c>
      <c r="S164" s="132"/>
      <c r="T164" s="132"/>
      <c r="U164" s="132"/>
      <c r="V164" s="132"/>
      <c r="W164" s="132"/>
      <c r="X164" s="132"/>
      <c r="Y164" s="132"/>
      <c r="Z164" s="132"/>
      <c r="AA164" s="132"/>
      <c r="AB164" s="135"/>
      <c r="AC164" s="135"/>
      <c r="AD164" s="135"/>
      <c r="AE164" s="135"/>
      <c r="AF164" s="135"/>
      <c r="AG164" s="135"/>
      <c r="AH164" s="136"/>
      <c r="AI164" s="136"/>
      <c r="AJ164" s="136"/>
      <c r="AK164" s="135"/>
      <c r="AL164" s="132"/>
      <c r="AM164" s="132"/>
      <c r="AN164" s="140" t="s">
        <v>745</v>
      </c>
    </row>
    <row r="165" spans="2:40" x14ac:dyDescent="0.25">
      <c r="B165" s="131">
        <f t="shared" si="32"/>
        <v>118</v>
      </c>
      <c r="C165" s="132">
        <v>20200508</v>
      </c>
      <c r="D165" s="17" t="s">
        <v>3</v>
      </c>
      <c r="E165" s="132" t="s">
        <v>621</v>
      </c>
      <c r="F165" s="133" t="s">
        <v>739</v>
      </c>
      <c r="G165" s="134">
        <v>1457196</v>
      </c>
      <c r="H165" s="57" t="s">
        <v>61</v>
      </c>
      <c r="I165" s="132" t="s">
        <v>693</v>
      </c>
      <c r="J165" s="57" t="s">
        <v>61</v>
      </c>
      <c r="K165" s="132" t="s">
        <v>161</v>
      </c>
      <c r="L165" s="132" t="s">
        <v>165</v>
      </c>
      <c r="M165" s="132" t="s">
        <v>165</v>
      </c>
      <c r="N165" s="132" t="s">
        <v>623</v>
      </c>
      <c r="O165" s="134" t="s">
        <v>61</v>
      </c>
      <c r="P165" s="134" t="s">
        <v>624</v>
      </c>
      <c r="Q165" s="132"/>
      <c r="R165" s="57" t="s">
        <v>61</v>
      </c>
      <c r="S165" s="132"/>
      <c r="T165" s="132"/>
      <c r="U165" s="132"/>
      <c r="V165" s="132"/>
      <c r="W165" s="132"/>
      <c r="X165" s="132"/>
      <c r="Y165" s="132"/>
      <c r="Z165" s="132"/>
      <c r="AA165" s="132"/>
      <c r="AB165" s="135"/>
      <c r="AC165" s="135"/>
      <c r="AD165" s="135"/>
      <c r="AE165" s="135"/>
      <c r="AF165" s="135"/>
      <c r="AG165" s="135"/>
      <c r="AH165" s="136"/>
      <c r="AI165" s="136"/>
      <c r="AJ165" s="136"/>
      <c r="AK165" s="135"/>
      <c r="AL165" s="132"/>
      <c r="AM165" s="132"/>
      <c r="AN165" s="140" t="s">
        <v>745</v>
      </c>
    </row>
    <row r="166" spans="2:40" x14ac:dyDescent="0.25">
      <c r="B166" s="131">
        <f t="shared" si="32"/>
        <v>119</v>
      </c>
      <c r="C166" s="132">
        <v>20200508</v>
      </c>
      <c r="D166" s="17" t="s">
        <v>3</v>
      </c>
      <c r="E166" s="132" t="s">
        <v>621</v>
      </c>
      <c r="F166" s="134" t="s">
        <v>1068</v>
      </c>
      <c r="G166" s="134">
        <v>1457196</v>
      </c>
      <c r="H166" s="57" t="s">
        <v>61</v>
      </c>
      <c r="I166" s="132" t="s">
        <v>177</v>
      </c>
      <c r="J166" s="57" t="s">
        <v>61</v>
      </c>
      <c r="K166" s="132" t="s">
        <v>161</v>
      </c>
      <c r="L166" s="132" t="s">
        <v>165</v>
      </c>
      <c r="M166" s="132" t="s">
        <v>165</v>
      </c>
      <c r="N166" s="132" t="s">
        <v>623</v>
      </c>
      <c r="O166" s="134" t="s">
        <v>61</v>
      </c>
      <c r="P166" s="134" t="s">
        <v>624</v>
      </c>
      <c r="Q166" s="132"/>
      <c r="R166" s="57" t="s">
        <v>61</v>
      </c>
      <c r="S166" s="132"/>
      <c r="T166" s="132"/>
      <c r="U166" s="132"/>
      <c r="V166" s="132"/>
      <c r="W166" s="132"/>
      <c r="X166" s="132"/>
      <c r="Y166" s="132"/>
      <c r="Z166" s="132"/>
      <c r="AA166" s="132"/>
      <c r="AB166" s="135"/>
      <c r="AC166" s="135"/>
      <c r="AD166" s="135"/>
      <c r="AE166" s="135"/>
      <c r="AF166" s="135"/>
      <c r="AG166" s="135"/>
      <c r="AH166" s="136"/>
      <c r="AI166" s="136"/>
      <c r="AJ166" s="136"/>
      <c r="AK166" s="135"/>
      <c r="AL166" s="132"/>
      <c r="AM166" s="132"/>
      <c r="AN166" s="140" t="s">
        <v>745</v>
      </c>
    </row>
    <row r="167" spans="2:40" x14ac:dyDescent="0.25">
      <c r="B167" s="131">
        <f t="shared" si="32"/>
        <v>120</v>
      </c>
      <c r="C167" s="132">
        <v>20200508</v>
      </c>
      <c r="D167" s="17" t="s">
        <v>3</v>
      </c>
      <c r="E167" s="132" t="s">
        <v>621</v>
      </c>
      <c r="F167" s="134" t="s">
        <v>1068</v>
      </c>
      <c r="G167" s="134">
        <v>1457196</v>
      </c>
      <c r="H167" s="57" t="s">
        <v>61</v>
      </c>
      <c r="I167" s="132" t="s">
        <v>178</v>
      </c>
      <c r="J167" s="57" t="s">
        <v>61</v>
      </c>
      <c r="K167" s="132" t="s">
        <v>161</v>
      </c>
      <c r="L167" s="132" t="s">
        <v>165</v>
      </c>
      <c r="M167" s="132" t="s">
        <v>165</v>
      </c>
      <c r="N167" s="132" t="s">
        <v>623</v>
      </c>
      <c r="O167" s="134" t="s">
        <v>61</v>
      </c>
      <c r="P167" s="134" t="s">
        <v>624</v>
      </c>
      <c r="Q167" s="132"/>
      <c r="R167" s="57" t="s">
        <v>61</v>
      </c>
      <c r="S167" s="132"/>
      <c r="T167" s="132"/>
      <c r="U167" s="132"/>
      <c r="V167" s="132"/>
      <c r="W167" s="132"/>
      <c r="X167" s="132"/>
      <c r="Y167" s="132"/>
      <c r="Z167" s="132"/>
      <c r="AA167" s="132"/>
      <c r="AB167" s="135"/>
      <c r="AC167" s="135"/>
      <c r="AD167" s="135"/>
      <c r="AE167" s="135"/>
      <c r="AF167" s="135"/>
      <c r="AG167" s="135"/>
      <c r="AH167" s="136"/>
      <c r="AI167" s="136"/>
      <c r="AJ167" s="136"/>
      <c r="AK167" s="135"/>
      <c r="AL167" s="132"/>
      <c r="AM167" s="132"/>
      <c r="AN167" s="140" t="s">
        <v>745</v>
      </c>
    </row>
    <row r="168" spans="2:40" x14ac:dyDescent="0.25">
      <c r="B168" s="127">
        <f t="shared" si="32"/>
        <v>121</v>
      </c>
      <c r="C168" s="17">
        <v>20200508</v>
      </c>
      <c r="D168" s="16" t="s">
        <v>3</v>
      </c>
      <c r="E168" s="16" t="s">
        <v>567</v>
      </c>
      <c r="F168" s="129" t="s">
        <v>699</v>
      </c>
      <c r="G168" s="18">
        <v>1457821</v>
      </c>
      <c r="H168" s="57" t="s">
        <v>61</v>
      </c>
      <c r="I168" s="16" t="s">
        <v>531</v>
      </c>
      <c r="J168" s="57" t="s">
        <v>61</v>
      </c>
      <c r="K168" s="16" t="s">
        <v>161</v>
      </c>
      <c r="L168" s="16" t="s">
        <v>568</v>
      </c>
      <c r="M168" s="16" t="s">
        <v>170</v>
      </c>
      <c r="N168" s="16" t="s">
        <v>175</v>
      </c>
      <c r="O168" s="18" t="s">
        <v>61</v>
      </c>
      <c r="P168" s="18" t="s">
        <v>344</v>
      </c>
      <c r="Q168" s="19"/>
      <c r="R168" s="57" t="s">
        <v>61</v>
      </c>
      <c r="S168" s="16" t="s">
        <v>6</v>
      </c>
      <c r="T168" s="16"/>
      <c r="U168" s="16"/>
      <c r="V168" s="16">
        <v>1009</v>
      </c>
      <c r="W168" s="16">
        <f t="shared" ref="W168:X192" si="33">V168</f>
        <v>1009</v>
      </c>
      <c r="X168" s="16">
        <f>W168</f>
        <v>1009</v>
      </c>
      <c r="Y168" s="16">
        <f>ROUNDDOWN(W168/HLOOKUP(D168,Table!$C$3:$D$4,2,0)*8,2)</f>
        <v>17.93</v>
      </c>
      <c r="Z168" s="16">
        <v>5</v>
      </c>
      <c r="AA168" s="16" t="s">
        <v>74</v>
      </c>
      <c r="AB168" s="128">
        <v>43963</v>
      </c>
      <c r="AC168" s="128">
        <v>43959</v>
      </c>
      <c r="AD168" s="128">
        <v>43962</v>
      </c>
      <c r="AE168" s="20">
        <v>43963</v>
      </c>
      <c r="AF168" s="20">
        <v>43963</v>
      </c>
      <c r="AG168" s="20" t="s">
        <v>335</v>
      </c>
      <c r="AH168" s="32">
        <v>0.96</v>
      </c>
      <c r="AI168" s="32">
        <v>0.95</v>
      </c>
      <c r="AJ168" s="32">
        <v>1</v>
      </c>
      <c r="AK168" s="20" t="s">
        <v>149</v>
      </c>
      <c r="AL168" s="16" t="s">
        <v>768</v>
      </c>
      <c r="AM168" s="16"/>
      <c r="AN168" s="16" t="s">
        <v>767</v>
      </c>
    </row>
    <row r="169" spans="2:40" x14ac:dyDescent="0.25">
      <c r="B169" s="127">
        <f t="shared" si="32"/>
        <v>122</v>
      </c>
      <c r="C169" s="17">
        <v>20200508</v>
      </c>
      <c r="D169" s="16" t="s">
        <v>3</v>
      </c>
      <c r="E169" s="16" t="s">
        <v>567</v>
      </c>
      <c r="F169" s="129" t="s">
        <v>740</v>
      </c>
      <c r="G169" s="18">
        <v>1458024</v>
      </c>
      <c r="H169" s="57" t="s">
        <v>61</v>
      </c>
      <c r="I169" s="16" t="s">
        <v>694</v>
      </c>
      <c r="J169" s="57" t="s">
        <v>61</v>
      </c>
      <c r="K169" s="16" t="s">
        <v>161</v>
      </c>
      <c r="L169" s="16" t="s">
        <v>568</v>
      </c>
      <c r="M169" s="16" t="s">
        <v>170</v>
      </c>
      <c r="N169" s="16" t="s">
        <v>175</v>
      </c>
      <c r="O169" s="18" t="s">
        <v>61</v>
      </c>
      <c r="P169" s="18" t="s">
        <v>344</v>
      </c>
      <c r="Q169" s="19"/>
      <c r="R169" s="57" t="s">
        <v>61</v>
      </c>
      <c r="S169" s="16" t="s">
        <v>157</v>
      </c>
      <c r="T169" s="16"/>
      <c r="U169" s="16"/>
      <c r="V169" s="16">
        <v>90</v>
      </c>
      <c r="W169" s="16">
        <f t="shared" si="33"/>
        <v>90</v>
      </c>
      <c r="X169" s="16">
        <f t="shared" ref="X169:X172" si="34">W169</f>
        <v>90</v>
      </c>
      <c r="Y169" s="16">
        <f>ROUNDDOWN(W169/HLOOKUP(D169,Table!$C$3:$D$4,2,0)*8,2)</f>
        <v>1.6</v>
      </c>
      <c r="Z169" s="16">
        <v>0.15</v>
      </c>
      <c r="AA169" s="16" t="s">
        <v>74</v>
      </c>
      <c r="AB169" s="128">
        <v>43963</v>
      </c>
      <c r="AC169" s="128">
        <v>43959</v>
      </c>
      <c r="AD169" s="128">
        <v>43962</v>
      </c>
      <c r="AE169" s="20">
        <v>43963</v>
      </c>
      <c r="AF169" s="20">
        <v>43963</v>
      </c>
      <c r="AG169" s="20" t="s">
        <v>335</v>
      </c>
      <c r="AH169" s="32">
        <v>1</v>
      </c>
      <c r="AI169" s="32">
        <v>1</v>
      </c>
      <c r="AJ169" s="32">
        <v>1</v>
      </c>
      <c r="AK169" s="20" t="s">
        <v>165</v>
      </c>
      <c r="AL169" s="16" t="s">
        <v>61</v>
      </c>
      <c r="AM169" s="16" t="s">
        <v>61</v>
      </c>
      <c r="AN169" s="16" t="s">
        <v>744</v>
      </c>
    </row>
    <row r="170" spans="2:40" x14ac:dyDescent="0.25">
      <c r="B170" s="127">
        <f t="shared" si="32"/>
        <v>123</v>
      </c>
      <c r="C170" s="17">
        <v>20200508</v>
      </c>
      <c r="D170" s="16" t="s">
        <v>3</v>
      </c>
      <c r="E170" s="16" t="s">
        <v>682</v>
      </c>
      <c r="F170" s="80" t="s">
        <v>741</v>
      </c>
      <c r="G170" s="18">
        <v>1413974</v>
      </c>
      <c r="H170" s="57" t="s">
        <v>61</v>
      </c>
      <c r="I170" s="16" t="s">
        <v>695</v>
      </c>
      <c r="J170" s="57" t="s">
        <v>61</v>
      </c>
      <c r="K170" s="16" t="s">
        <v>161</v>
      </c>
      <c r="L170" s="16" t="s">
        <v>697</v>
      </c>
      <c r="M170" s="16" t="s">
        <v>684</v>
      </c>
      <c r="N170" s="16" t="s">
        <v>348</v>
      </c>
      <c r="O170" s="18" t="s">
        <v>61</v>
      </c>
      <c r="P170" s="18" t="s">
        <v>343</v>
      </c>
      <c r="Q170" s="19"/>
      <c r="R170" s="57" t="s">
        <v>61</v>
      </c>
      <c r="S170" s="16" t="s">
        <v>157</v>
      </c>
      <c r="T170" s="16"/>
      <c r="U170" s="16"/>
      <c r="V170" s="16">
        <v>36</v>
      </c>
      <c r="W170" s="16">
        <f t="shared" si="33"/>
        <v>36</v>
      </c>
      <c r="X170" s="16">
        <f t="shared" si="34"/>
        <v>36</v>
      </c>
      <c r="Y170" s="16">
        <f>ROUNDDOWN(W170/HLOOKUP(D170,Table!$C$3:$D$4,2,0)*8,2)</f>
        <v>0.64</v>
      </c>
      <c r="Z170" s="16">
        <v>0.12</v>
      </c>
      <c r="AA170" s="16" t="s">
        <v>74</v>
      </c>
      <c r="AB170" s="128">
        <v>43963</v>
      </c>
      <c r="AC170" s="128">
        <v>43959</v>
      </c>
      <c r="AD170" s="128">
        <v>43962</v>
      </c>
      <c r="AE170" s="20">
        <v>43963</v>
      </c>
      <c r="AF170" s="20">
        <v>43963</v>
      </c>
      <c r="AG170" s="20" t="s">
        <v>335</v>
      </c>
      <c r="AH170" s="32">
        <v>1</v>
      </c>
      <c r="AI170" s="32">
        <v>1</v>
      </c>
      <c r="AJ170" s="32">
        <v>1</v>
      </c>
      <c r="AK170" s="20" t="s">
        <v>165</v>
      </c>
      <c r="AL170" s="16" t="s">
        <v>61</v>
      </c>
      <c r="AM170" s="16" t="s">
        <v>61</v>
      </c>
      <c r="AN170" s="16" t="s">
        <v>61</v>
      </c>
    </row>
    <row r="171" spans="2:40" x14ac:dyDescent="0.25">
      <c r="B171" s="127">
        <f t="shared" si="32"/>
        <v>124</v>
      </c>
      <c r="C171" s="17">
        <v>20200508</v>
      </c>
      <c r="D171" s="16" t="s">
        <v>3</v>
      </c>
      <c r="E171" s="16" t="s">
        <v>682</v>
      </c>
      <c r="F171" s="80" t="s">
        <v>742</v>
      </c>
      <c r="G171" s="18">
        <v>1413974</v>
      </c>
      <c r="H171" s="57" t="s">
        <v>61</v>
      </c>
      <c r="I171" s="16" t="s">
        <v>536</v>
      </c>
      <c r="J171" s="57" t="s">
        <v>61</v>
      </c>
      <c r="K171" s="16" t="s">
        <v>161</v>
      </c>
      <c r="L171" s="16" t="s">
        <v>697</v>
      </c>
      <c r="M171" s="16" t="s">
        <v>684</v>
      </c>
      <c r="N171" s="16" t="s">
        <v>348</v>
      </c>
      <c r="O171" s="18" t="s">
        <v>61</v>
      </c>
      <c r="P171" s="18" t="s">
        <v>343</v>
      </c>
      <c r="Q171" s="19"/>
      <c r="R171" s="57" t="s">
        <v>61</v>
      </c>
      <c r="S171" s="16" t="s">
        <v>65</v>
      </c>
      <c r="T171" s="16"/>
      <c r="U171" s="16"/>
      <c r="V171" s="16">
        <v>236</v>
      </c>
      <c r="W171" s="16">
        <f t="shared" si="33"/>
        <v>236</v>
      </c>
      <c r="X171" s="16">
        <f t="shared" si="34"/>
        <v>236</v>
      </c>
      <c r="Y171" s="16">
        <f>ROUNDDOWN(W171/HLOOKUP(D171,Table!$C$3:$D$4,2,0)*8,2)</f>
        <v>4.1900000000000004</v>
      </c>
      <c r="Z171" s="16">
        <v>0.5</v>
      </c>
      <c r="AA171" s="16" t="s">
        <v>74</v>
      </c>
      <c r="AB171" s="128">
        <v>43963</v>
      </c>
      <c r="AC171" s="128">
        <v>43959</v>
      </c>
      <c r="AD171" s="128">
        <v>43962</v>
      </c>
      <c r="AE171" s="20">
        <v>43963</v>
      </c>
      <c r="AF171" s="20">
        <v>43963</v>
      </c>
      <c r="AG171" s="20" t="s">
        <v>335</v>
      </c>
      <c r="AH171" s="32">
        <v>1</v>
      </c>
      <c r="AI171" s="32">
        <v>1</v>
      </c>
      <c r="AJ171" s="32">
        <v>1</v>
      </c>
      <c r="AK171" s="20" t="s">
        <v>165</v>
      </c>
      <c r="AL171" s="16" t="s">
        <v>61</v>
      </c>
      <c r="AM171" s="16" t="s">
        <v>61</v>
      </c>
      <c r="AN171" s="16" t="s">
        <v>61</v>
      </c>
    </row>
    <row r="172" spans="2:40" x14ac:dyDescent="0.25">
      <c r="B172" s="127">
        <f t="shared" si="32"/>
        <v>125</v>
      </c>
      <c r="C172" s="17">
        <v>20200508</v>
      </c>
      <c r="D172" s="16" t="s">
        <v>3</v>
      </c>
      <c r="E172" s="16" t="s">
        <v>683</v>
      </c>
      <c r="F172" s="80" t="s">
        <v>743</v>
      </c>
      <c r="G172" s="18">
        <v>1458032</v>
      </c>
      <c r="H172" s="57" t="s">
        <v>61</v>
      </c>
      <c r="I172" s="16" t="s">
        <v>696</v>
      </c>
      <c r="J172" s="57" t="s">
        <v>61</v>
      </c>
      <c r="K172" s="16" t="s">
        <v>161</v>
      </c>
      <c r="L172" s="16" t="s">
        <v>568</v>
      </c>
      <c r="M172" s="16" t="s">
        <v>341</v>
      </c>
      <c r="N172" s="16" t="s">
        <v>175</v>
      </c>
      <c r="O172" s="18" t="s">
        <v>61</v>
      </c>
      <c r="P172" s="18" t="s">
        <v>330</v>
      </c>
      <c r="Q172" s="19"/>
      <c r="R172" s="57" t="s">
        <v>61</v>
      </c>
      <c r="S172" s="16" t="s">
        <v>157</v>
      </c>
      <c r="T172" s="16"/>
      <c r="U172" s="16"/>
      <c r="V172" s="16">
        <v>63</v>
      </c>
      <c r="W172" s="16">
        <f t="shared" si="33"/>
        <v>63</v>
      </c>
      <c r="X172" s="16">
        <f t="shared" si="34"/>
        <v>63</v>
      </c>
      <c r="Y172" s="16">
        <f>ROUNDDOWN(W172/HLOOKUP(D172,Table!$C$3:$D$4,2,0)*8,2)</f>
        <v>1.1200000000000001</v>
      </c>
      <c r="Z172" s="16">
        <v>0.12</v>
      </c>
      <c r="AA172" s="16" t="s">
        <v>74</v>
      </c>
      <c r="AB172" s="128">
        <v>43963</v>
      </c>
      <c r="AC172" s="128">
        <v>43959</v>
      </c>
      <c r="AD172" s="128">
        <v>43962</v>
      </c>
      <c r="AE172" s="20">
        <v>43963</v>
      </c>
      <c r="AF172" s="20">
        <v>43963</v>
      </c>
      <c r="AG172" s="20" t="s">
        <v>335</v>
      </c>
      <c r="AH172" s="32">
        <v>1</v>
      </c>
      <c r="AI172" s="32">
        <v>1</v>
      </c>
      <c r="AJ172" s="32">
        <v>1</v>
      </c>
      <c r="AK172" s="20" t="s">
        <v>165</v>
      </c>
      <c r="AL172" s="16" t="s">
        <v>61</v>
      </c>
      <c r="AM172" s="16" t="s">
        <v>61</v>
      </c>
      <c r="AN172" s="32" t="s">
        <v>61</v>
      </c>
    </row>
    <row r="173" spans="2:40" x14ac:dyDescent="0.25">
      <c r="B173" s="130">
        <f t="shared" si="32"/>
        <v>126</v>
      </c>
      <c r="C173" s="17">
        <v>20200511</v>
      </c>
      <c r="D173" s="16" t="s">
        <v>2</v>
      </c>
      <c r="E173" s="16" t="s">
        <v>700</v>
      </c>
      <c r="F173" s="18" t="s">
        <v>61</v>
      </c>
      <c r="G173" s="18">
        <v>1460003</v>
      </c>
      <c r="H173" s="57" t="s">
        <v>61</v>
      </c>
      <c r="I173" s="16" t="s">
        <v>703</v>
      </c>
      <c r="J173" s="57" t="s">
        <v>61</v>
      </c>
      <c r="K173" s="16" t="s">
        <v>161</v>
      </c>
      <c r="L173" s="16" t="s">
        <v>165</v>
      </c>
      <c r="M173" s="16" t="s">
        <v>165</v>
      </c>
      <c r="N173" s="16" t="s">
        <v>751</v>
      </c>
      <c r="O173" s="18" t="s">
        <v>709</v>
      </c>
      <c r="P173" s="18" t="s">
        <v>712</v>
      </c>
      <c r="Q173" s="19"/>
      <c r="R173" s="57" t="s">
        <v>61</v>
      </c>
      <c r="S173" s="16" t="s">
        <v>157</v>
      </c>
      <c r="T173" s="16"/>
      <c r="U173" s="16"/>
      <c r="V173" s="16">
        <v>23</v>
      </c>
      <c r="W173" s="16">
        <f t="shared" si="33"/>
        <v>23</v>
      </c>
      <c r="X173" s="16">
        <f>W173</f>
        <v>23</v>
      </c>
      <c r="Y173" s="16">
        <f>ROUNDDOWN(W173/HLOOKUP(D173,Table!$C$3:$D$4,2,0)*8,2)</f>
        <v>1.41</v>
      </c>
      <c r="Z173" s="16">
        <v>2</v>
      </c>
      <c r="AA173" s="16" t="s">
        <v>74</v>
      </c>
      <c r="AB173" s="20">
        <v>43966</v>
      </c>
      <c r="AC173" s="20">
        <v>43962</v>
      </c>
      <c r="AD173" s="20">
        <v>43966</v>
      </c>
      <c r="AE173" s="20">
        <v>43965</v>
      </c>
      <c r="AF173" s="20">
        <v>43965</v>
      </c>
      <c r="AG173" s="20" t="s">
        <v>336</v>
      </c>
      <c r="AH173" s="32">
        <v>0.9</v>
      </c>
      <c r="AI173" s="32">
        <v>0.92300000000000004</v>
      </c>
      <c r="AJ173" s="32">
        <v>1</v>
      </c>
      <c r="AK173" s="20" t="s">
        <v>149</v>
      </c>
      <c r="AL173" s="16" t="s">
        <v>783</v>
      </c>
      <c r="AM173" s="16" t="s">
        <v>61</v>
      </c>
      <c r="AN173" s="16" t="s">
        <v>448</v>
      </c>
    </row>
    <row r="174" spans="2:40" x14ac:dyDescent="0.25">
      <c r="B174" s="130">
        <f t="shared" si="32"/>
        <v>127</v>
      </c>
      <c r="C174" s="17">
        <v>20200511</v>
      </c>
      <c r="D174" s="16" t="s">
        <v>2</v>
      </c>
      <c r="E174" s="16" t="s">
        <v>700</v>
      </c>
      <c r="F174" s="18" t="s">
        <v>61</v>
      </c>
      <c r="G174" s="18">
        <v>1460003</v>
      </c>
      <c r="H174" s="57" t="s">
        <v>61</v>
      </c>
      <c r="I174" s="16" t="s">
        <v>704</v>
      </c>
      <c r="J174" s="57" t="s">
        <v>61</v>
      </c>
      <c r="K174" s="16" t="s">
        <v>161</v>
      </c>
      <c r="L174" s="16" t="s">
        <v>165</v>
      </c>
      <c r="M174" s="16" t="s">
        <v>165</v>
      </c>
      <c r="N174" s="16" t="s">
        <v>751</v>
      </c>
      <c r="O174" s="18" t="s">
        <v>709</v>
      </c>
      <c r="P174" s="18" t="s">
        <v>712</v>
      </c>
      <c r="Q174" s="19"/>
      <c r="R174" s="57" t="s">
        <v>61</v>
      </c>
      <c r="S174" s="16" t="s">
        <v>157</v>
      </c>
      <c r="T174" s="16"/>
      <c r="U174" s="16"/>
      <c r="V174" s="16">
        <v>23</v>
      </c>
      <c r="W174" s="16">
        <f t="shared" si="33"/>
        <v>23</v>
      </c>
      <c r="X174" s="16">
        <f t="shared" si="33"/>
        <v>23</v>
      </c>
      <c r="Y174" s="16">
        <f>ROUNDDOWN(W174/HLOOKUP(D174,Table!$C$3:$D$4,2,0)*8,2)</f>
        <v>1.41</v>
      </c>
      <c r="Z174" s="16">
        <v>1.5</v>
      </c>
      <c r="AA174" s="16" t="s">
        <v>74</v>
      </c>
      <c r="AB174" s="20">
        <v>43966</v>
      </c>
      <c r="AC174" s="20">
        <v>43962</v>
      </c>
      <c r="AD174" s="20">
        <v>43966</v>
      </c>
      <c r="AE174" s="20">
        <v>43965</v>
      </c>
      <c r="AF174" s="20">
        <v>43965</v>
      </c>
      <c r="AG174" s="20" t="s">
        <v>336</v>
      </c>
      <c r="AH174" s="32">
        <v>0.9</v>
      </c>
      <c r="AI174" s="32">
        <v>0.92300000000000004</v>
      </c>
      <c r="AJ174" s="32">
        <v>1</v>
      </c>
      <c r="AK174" s="20" t="s">
        <v>149</v>
      </c>
      <c r="AL174" s="16" t="s">
        <v>783</v>
      </c>
      <c r="AM174" s="16" t="s">
        <v>61</v>
      </c>
      <c r="AN174" s="16" t="s">
        <v>448</v>
      </c>
    </row>
    <row r="175" spans="2:40" x14ac:dyDescent="0.25">
      <c r="B175" s="130">
        <f t="shared" si="32"/>
        <v>128</v>
      </c>
      <c r="C175" s="17">
        <v>20200511</v>
      </c>
      <c r="D175" s="16" t="s">
        <v>2</v>
      </c>
      <c r="E175" s="16" t="s">
        <v>700</v>
      </c>
      <c r="F175" s="18" t="s">
        <v>61</v>
      </c>
      <c r="G175" s="18">
        <v>1460003</v>
      </c>
      <c r="H175" s="57" t="s">
        <v>61</v>
      </c>
      <c r="I175" s="16" t="s">
        <v>705</v>
      </c>
      <c r="J175" s="57" t="s">
        <v>61</v>
      </c>
      <c r="K175" s="16" t="s">
        <v>161</v>
      </c>
      <c r="L175" s="16" t="s">
        <v>165</v>
      </c>
      <c r="M175" s="16" t="s">
        <v>165</v>
      </c>
      <c r="N175" s="16" t="s">
        <v>751</v>
      </c>
      <c r="O175" s="18" t="s">
        <v>710</v>
      </c>
      <c r="P175" s="18" t="s">
        <v>712</v>
      </c>
      <c r="Q175" s="19"/>
      <c r="R175" s="57" t="s">
        <v>61</v>
      </c>
      <c r="S175" s="98" t="s">
        <v>157</v>
      </c>
      <c r="T175" s="16"/>
      <c r="U175" s="16"/>
      <c r="V175" s="16">
        <v>51</v>
      </c>
      <c r="W175" s="16">
        <f t="shared" si="33"/>
        <v>51</v>
      </c>
      <c r="X175" s="16">
        <f>W175</f>
        <v>51</v>
      </c>
      <c r="Y175" s="16">
        <f>ROUNDDOWN(W175/HLOOKUP(D175,Table!$C$3:$D$4,2,0)*8,2)</f>
        <v>3.13</v>
      </c>
      <c r="Z175" s="16">
        <v>8</v>
      </c>
      <c r="AA175" s="16" t="s">
        <v>74</v>
      </c>
      <c r="AB175" s="20">
        <v>43969</v>
      </c>
      <c r="AC175" s="20">
        <v>43962</v>
      </c>
      <c r="AD175" s="20">
        <v>43970</v>
      </c>
      <c r="AE175" s="20">
        <v>43966</v>
      </c>
      <c r="AF175" s="20">
        <v>43966</v>
      </c>
      <c r="AG175" s="20" t="s">
        <v>335</v>
      </c>
      <c r="AH175" s="32">
        <v>1</v>
      </c>
      <c r="AI175" s="32">
        <v>1</v>
      </c>
      <c r="AJ175" s="32">
        <v>1</v>
      </c>
      <c r="AK175" s="20" t="s">
        <v>165</v>
      </c>
      <c r="AL175" s="18" t="s">
        <v>61</v>
      </c>
      <c r="AM175" s="16" t="s">
        <v>61</v>
      </c>
      <c r="AN175" s="16" t="s">
        <v>61</v>
      </c>
    </row>
    <row r="176" spans="2:40" x14ac:dyDescent="0.25">
      <c r="B176" s="130">
        <f t="shared" si="32"/>
        <v>129</v>
      </c>
      <c r="C176" s="17">
        <v>20200511</v>
      </c>
      <c r="D176" s="16" t="s">
        <v>3</v>
      </c>
      <c r="E176" s="16" t="s">
        <v>701</v>
      </c>
      <c r="F176" s="80" t="s">
        <v>752</v>
      </c>
      <c r="G176" s="18">
        <v>1461444</v>
      </c>
      <c r="H176" s="57" t="s">
        <v>61</v>
      </c>
      <c r="I176" s="16" t="s">
        <v>706</v>
      </c>
      <c r="J176" s="57" t="s">
        <v>61</v>
      </c>
      <c r="K176" s="16" t="s">
        <v>161</v>
      </c>
      <c r="L176" s="16" t="s">
        <v>165</v>
      </c>
      <c r="M176" s="16" t="s">
        <v>702</v>
      </c>
      <c r="N176" s="16" t="s">
        <v>711</v>
      </c>
      <c r="O176" s="18" t="s">
        <v>61</v>
      </c>
      <c r="P176" s="18" t="s">
        <v>713</v>
      </c>
      <c r="Q176" s="19"/>
      <c r="R176" s="57" t="s">
        <v>61</v>
      </c>
      <c r="S176" s="16" t="s">
        <v>65</v>
      </c>
      <c r="T176" s="16"/>
      <c r="U176" s="16"/>
      <c r="V176" s="16">
        <v>134</v>
      </c>
      <c r="W176" s="16">
        <f t="shared" si="33"/>
        <v>134</v>
      </c>
      <c r="X176" s="16">
        <f t="shared" ref="X176:X186" si="35">W176</f>
        <v>134</v>
      </c>
      <c r="Y176" s="16">
        <f>ROUNDDOWN(W176/HLOOKUP(D176,Table!$C$3:$D$4,2,0)*8,2)</f>
        <v>2.38</v>
      </c>
      <c r="Z176" s="16">
        <v>1</v>
      </c>
      <c r="AA176" s="16" t="s">
        <v>74</v>
      </c>
      <c r="AB176" s="20">
        <v>43966</v>
      </c>
      <c r="AC176" s="20">
        <v>43962</v>
      </c>
      <c r="AD176" s="20">
        <v>43966</v>
      </c>
      <c r="AE176" s="20">
        <v>43966</v>
      </c>
      <c r="AF176" s="20">
        <v>43966</v>
      </c>
      <c r="AG176" s="20" t="s">
        <v>335</v>
      </c>
      <c r="AH176" s="32">
        <v>1</v>
      </c>
      <c r="AI176" s="32">
        <v>1</v>
      </c>
      <c r="AJ176" s="32">
        <v>1</v>
      </c>
      <c r="AK176" s="20" t="s">
        <v>165</v>
      </c>
      <c r="AL176" s="16" t="s">
        <v>61</v>
      </c>
      <c r="AM176" s="16" t="s">
        <v>61</v>
      </c>
      <c r="AN176" s="16" t="s">
        <v>61</v>
      </c>
    </row>
    <row r="177" spans="2:40" x14ac:dyDescent="0.25">
      <c r="B177" s="130">
        <f t="shared" si="32"/>
        <v>130</v>
      </c>
      <c r="C177" s="17">
        <v>20200511</v>
      </c>
      <c r="D177" s="16" t="s">
        <v>3</v>
      </c>
      <c r="E177" s="16" t="s">
        <v>701</v>
      </c>
      <c r="F177" s="80" t="s">
        <v>753</v>
      </c>
      <c r="G177" s="18">
        <v>1461444</v>
      </c>
      <c r="H177" s="57" t="s">
        <v>61</v>
      </c>
      <c r="I177" s="16" t="s">
        <v>707</v>
      </c>
      <c r="J177" s="57" t="s">
        <v>61</v>
      </c>
      <c r="K177" s="16" t="s">
        <v>161</v>
      </c>
      <c r="L177" s="16" t="s">
        <v>165</v>
      </c>
      <c r="M177" s="16" t="s">
        <v>702</v>
      </c>
      <c r="N177" s="16" t="s">
        <v>711</v>
      </c>
      <c r="O177" s="18" t="s">
        <v>61</v>
      </c>
      <c r="P177" s="18" t="s">
        <v>713</v>
      </c>
      <c r="Q177" s="19"/>
      <c r="R177" s="57" t="s">
        <v>61</v>
      </c>
      <c r="S177" s="16" t="s">
        <v>65</v>
      </c>
      <c r="T177" s="16"/>
      <c r="U177" s="16"/>
      <c r="V177" s="16">
        <v>200</v>
      </c>
      <c r="W177" s="16">
        <f t="shared" si="33"/>
        <v>200</v>
      </c>
      <c r="X177" s="16">
        <f t="shared" si="35"/>
        <v>200</v>
      </c>
      <c r="Y177" s="16">
        <f>ROUNDDOWN(W177/HLOOKUP(D177,Table!$C$3:$D$4,2,0)*8,2)</f>
        <v>3.55</v>
      </c>
      <c r="Z177" s="16">
        <v>1</v>
      </c>
      <c r="AA177" s="16" t="s">
        <v>74</v>
      </c>
      <c r="AB177" s="20">
        <v>43966</v>
      </c>
      <c r="AC177" s="20">
        <v>43962</v>
      </c>
      <c r="AD177" s="20">
        <v>43966</v>
      </c>
      <c r="AE177" s="20">
        <v>43966</v>
      </c>
      <c r="AF177" s="20">
        <v>43966</v>
      </c>
      <c r="AG177" s="20" t="s">
        <v>335</v>
      </c>
      <c r="AH177" s="32">
        <v>1</v>
      </c>
      <c r="AI177" s="32">
        <v>1</v>
      </c>
      <c r="AJ177" s="32">
        <v>1</v>
      </c>
      <c r="AK177" s="20" t="s">
        <v>165</v>
      </c>
      <c r="AL177" s="16" t="s">
        <v>61</v>
      </c>
      <c r="AM177" s="16" t="s">
        <v>61</v>
      </c>
      <c r="AN177" s="16" t="s">
        <v>61</v>
      </c>
    </row>
    <row r="178" spans="2:40" x14ac:dyDescent="0.25">
      <c r="B178" s="130">
        <f t="shared" si="32"/>
        <v>131</v>
      </c>
      <c r="C178" s="17">
        <v>20200511</v>
      </c>
      <c r="D178" s="16" t="s">
        <v>3</v>
      </c>
      <c r="E178" s="16" t="s">
        <v>701</v>
      </c>
      <c r="F178" s="80" t="s">
        <v>754</v>
      </c>
      <c r="G178" s="18">
        <v>1461444</v>
      </c>
      <c r="H178" s="57" t="s">
        <v>61</v>
      </c>
      <c r="I178" s="16" t="s">
        <v>176</v>
      </c>
      <c r="J178" s="57" t="s">
        <v>61</v>
      </c>
      <c r="K178" s="16" t="s">
        <v>161</v>
      </c>
      <c r="L178" s="16" t="s">
        <v>165</v>
      </c>
      <c r="M178" s="16" t="s">
        <v>702</v>
      </c>
      <c r="N178" s="16" t="s">
        <v>711</v>
      </c>
      <c r="O178" s="18" t="s">
        <v>61</v>
      </c>
      <c r="P178" s="18" t="s">
        <v>713</v>
      </c>
      <c r="Q178" s="19"/>
      <c r="R178" s="57" t="s">
        <v>61</v>
      </c>
      <c r="S178" s="16" t="s">
        <v>65</v>
      </c>
      <c r="T178" s="16"/>
      <c r="U178" s="16"/>
      <c r="V178" s="16">
        <v>145</v>
      </c>
      <c r="W178" s="16">
        <f t="shared" si="33"/>
        <v>145</v>
      </c>
      <c r="X178" s="16">
        <f t="shared" si="35"/>
        <v>145</v>
      </c>
      <c r="Y178" s="16">
        <f>ROUNDDOWN(W178/HLOOKUP(D178,Table!$C$3:$D$4,2,0)*8,2)</f>
        <v>2.57</v>
      </c>
      <c r="Z178" s="16">
        <v>1</v>
      </c>
      <c r="AA178" s="16" t="s">
        <v>74</v>
      </c>
      <c r="AB178" s="20">
        <v>43966</v>
      </c>
      <c r="AC178" s="20">
        <v>43962</v>
      </c>
      <c r="AD178" s="20">
        <v>43966</v>
      </c>
      <c r="AE178" s="20">
        <v>43966</v>
      </c>
      <c r="AF178" s="20">
        <v>43966</v>
      </c>
      <c r="AG178" s="20" t="s">
        <v>335</v>
      </c>
      <c r="AH178" s="32">
        <v>1</v>
      </c>
      <c r="AI178" s="32">
        <v>1</v>
      </c>
      <c r="AJ178" s="32">
        <v>1</v>
      </c>
      <c r="AK178" s="20" t="s">
        <v>165</v>
      </c>
      <c r="AL178" s="16" t="s">
        <v>61</v>
      </c>
      <c r="AM178" s="16" t="s">
        <v>61</v>
      </c>
      <c r="AN178" s="16" t="s">
        <v>61</v>
      </c>
    </row>
    <row r="179" spans="2:40" x14ac:dyDescent="0.25">
      <c r="B179" s="130">
        <f t="shared" si="32"/>
        <v>132</v>
      </c>
      <c r="C179" s="17">
        <v>20200511</v>
      </c>
      <c r="D179" s="16" t="s">
        <v>3</v>
      </c>
      <c r="E179" s="16" t="s">
        <v>701</v>
      </c>
      <c r="F179" s="80" t="s">
        <v>755</v>
      </c>
      <c r="G179" s="18">
        <v>1461444</v>
      </c>
      <c r="H179" s="57" t="s">
        <v>61</v>
      </c>
      <c r="I179" s="16" t="s">
        <v>172</v>
      </c>
      <c r="J179" s="57" t="s">
        <v>61</v>
      </c>
      <c r="K179" s="16" t="s">
        <v>161</v>
      </c>
      <c r="L179" s="16" t="s">
        <v>165</v>
      </c>
      <c r="M179" s="16" t="s">
        <v>702</v>
      </c>
      <c r="N179" s="16" t="s">
        <v>711</v>
      </c>
      <c r="O179" s="18" t="s">
        <v>61</v>
      </c>
      <c r="P179" s="18" t="s">
        <v>713</v>
      </c>
      <c r="Q179" s="19"/>
      <c r="R179" s="57" t="s">
        <v>61</v>
      </c>
      <c r="S179" s="16" t="s">
        <v>65</v>
      </c>
      <c r="T179" s="16"/>
      <c r="U179" s="16"/>
      <c r="V179" s="16">
        <v>124</v>
      </c>
      <c r="W179" s="16">
        <f t="shared" si="33"/>
        <v>124</v>
      </c>
      <c r="X179" s="16">
        <f t="shared" si="35"/>
        <v>124</v>
      </c>
      <c r="Y179" s="16">
        <f>ROUNDDOWN(W179/HLOOKUP(D179,Table!$C$3:$D$4,2,0)*8,2)</f>
        <v>2.2000000000000002</v>
      </c>
      <c r="Z179" s="16">
        <v>1</v>
      </c>
      <c r="AA179" s="16" t="s">
        <v>74</v>
      </c>
      <c r="AB179" s="20">
        <v>43966</v>
      </c>
      <c r="AC179" s="20">
        <v>43962</v>
      </c>
      <c r="AD179" s="20">
        <v>43966</v>
      </c>
      <c r="AE179" s="20">
        <v>43966</v>
      </c>
      <c r="AF179" s="20">
        <v>43966</v>
      </c>
      <c r="AG179" s="20" t="s">
        <v>336</v>
      </c>
      <c r="AH179" s="32">
        <v>1</v>
      </c>
      <c r="AI179" s="32">
        <v>0.92</v>
      </c>
      <c r="AJ179" s="32">
        <v>1</v>
      </c>
      <c r="AK179" s="20" t="s">
        <v>149</v>
      </c>
      <c r="AL179" s="16" t="s">
        <v>883</v>
      </c>
      <c r="AM179" s="16" t="s">
        <v>61</v>
      </c>
      <c r="AN179" s="16" t="s">
        <v>448</v>
      </c>
    </row>
    <row r="180" spans="2:40" x14ac:dyDescent="0.25">
      <c r="B180" s="130">
        <f t="shared" si="32"/>
        <v>133</v>
      </c>
      <c r="C180" s="17">
        <v>20200511</v>
      </c>
      <c r="D180" s="16" t="s">
        <v>3</v>
      </c>
      <c r="E180" s="16" t="s">
        <v>701</v>
      </c>
      <c r="F180" s="80" t="s">
        <v>756</v>
      </c>
      <c r="G180" s="18">
        <v>1461444</v>
      </c>
      <c r="H180" s="57" t="s">
        <v>61</v>
      </c>
      <c r="I180" s="16" t="s">
        <v>173</v>
      </c>
      <c r="J180" s="57" t="s">
        <v>61</v>
      </c>
      <c r="K180" s="16" t="s">
        <v>161</v>
      </c>
      <c r="L180" s="16" t="s">
        <v>165</v>
      </c>
      <c r="M180" s="16" t="s">
        <v>702</v>
      </c>
      <c r="N180" s="16" t="s">
        <v>711</v>
      </c>
      <c r="O180" s="18" t="s">
        <v>61</v>
      </c>
      <c r="P180" s="18" t="s">
        <v>713</v>
      </c>
      <c r="Q180" s="19"/>
      <c r="R180" s="57" t="s">
        <v>61</v>
      </c>
      <c r="S180" s="16" t="s">
        <v>65</v>
      </c>
      <c r="T180" s="16"/>
      <c r="U180" s="16"/>
      <c r="V180" s="16">
        <v>154</v>
      </c>
      <c r="W180" s="16">
        <f t="shared" si="33"/>
        <v>154</v>
      </c>
      <c r="X180" s="16">
        <f t="shared" si="35"/>
        <v>154</v>
      </c>
      <c r="Y180" s="16">
        <f>ROUNDDOWN(W180/HLOOKUP(D180,Table!$C$3:$D$4,2,0)*8,2)</f>
        <v>2.73</v>
      </c>
      <c r="Z180" s="16">
        <v>1</v>
      </c>
      <c r="AA180" s="16" t="s">
        <v>74</v>
      </c>
      <c r="AB180" s="20">
        <v>43966</v>
      </c>
      <c r="AC180" s="20">
        <v>43962</v>
      </c>
      <c r="AD180" s="20">
        <v>43966</v>
      </c>
      <c r="AE180" s="20">
        <v>43966</v>
      </c>
      <c r="AF180" s="20">
        <v>43966</v>
      </c>
      <c r="AG180" s="20" t="s">
        <v>336</v>
      </c>
      <c r="AH180" s="32">
        <v>0.97</v>
      </c>
      <c r="AI180" s="32">
        <v>0.94</v>
      </c>
      <c r="AJ180" s="32">
        <v>1</v>
      </c>
      <c r="AK180" s="20" t="s">
        <v>149</v>
      </c>
      <c r="AL180" s="16" t="s">
        <v>882</v>
      </c>
      <c r="AM180" s="16" t="s">
        <v>61</v>
      </c>
      <c r="AN180" s="16" t="s">
        <v>448</v>
      </c>
    </row>
    <row r="181" spans="2:40" x14ac:dyDescent="0.25">
      <c r="B181" s="130">
        <f t="shared" si="32"/>
        <v>134</v>
      </c>
      <c r="C181" s="17">
        <v>20200511</v>
      </c>
      <c r="D181" s="16" t="s">
        <v>3</v>
      </c>
      <c r="E181" s="16" t="s">
        <v>701</v>
      </c>
      <c r="F181" s="80" t="s">
        <v>757</v>
      </c>
      <c r="G181" s="18">
        <v>1461444</v>
      </c>
      <c r="H181" s="57" t="s">
        <v>61</v>
      </c>
      <c r="I181" s="16" t="s">
        <v>174</v>
      </c>
      <c r="J181" s="57" t="s">
        <v>61</v>
      </c>
      <c r="K181" s="16" t="s">
        <v>161</v>
      </c>
      <c r="L181" s="16" t="s">
        <v>165</v>
      </c>
      <c r="M181" s="16" t="s">
        <v>702</v>
      </c>
      <c r="N181" s="16" t="s">
        <v>711</v>
      </c>
      <c r="O181" s="18" t="s">
        <v>61</v>
      </c>
      <c r="P181" s="18" t="s">
        <v>713</v>
      </c>
      <c r="Q181" s="19"/>
      <c r="R181" s="57" t="s">
        <v>61</v>
      </c>
      <c r="S181" s="16" t="s">
        <v>65</v>
      </c>
      <c r="T181" s="16"/>
      <c r="U181" s="16"/>
      <c r="V181" s="16">
        <v>71</v>
      </c>
      <c r="W181" s="16">
        <f t="shared" si="33"/>
        <v>71</v>
      </c>
      <c r="X181" s="16">
        <f t="shared" si="35"/>
        <v>71</v>
      </c>
      <c r="Y181" s="16">
        <f>ROUNDDOWN(W181/HLOOKUP(D181,Table!$C$3:$D$4,2,0)*8,2)</f>
        <v>1.26</v>
      </c>
      <c r="Z181" s="16">
        <v>1</v>
      </c>
      <c r="AA181" s="16" t="s">
        <v>74</v>
      </c>
      <c r="AB181" s="20">
        <v>43966</v>
      </c>
      <c r="AC181" s="20">
        <v>43962</v>
      </c>
      <c r="AD181" s="20">
        <v>43966</v>
      </c>
      <c r="AE181" s="20">
        <v>43966</v>
      </c>
      <c r="AF181" s="20">
        <v>43966</v>
      </c>
      <c r="AG181" s="20" t="s">
        <v>335</v>
      </c>
      <c r="AH181" s="32">
        <v>1</v>
      </c>
      <c r="AI181" s="32">
        <v>1</v>
      </c>
      <c r="AJ181" s="32">
        <v>1</v>
      </c>
      <c r="AK181" s="20" t="s">
        <v>165</v>
      </c>
      <c r="AL181" s="16" t="s">
        <v>61</v>
      </c>
      <c r="AM181" s="16" t="s">
        <v>61</v>
      </c>
      <c r="AN181" s="16" t="s">
        <v>61</v>
      </c>
    </row>
    <row r="182" spans="2:40" x14ac:dyDescent="0.25">
      <c r="B182" s="130">
        <f t="shared" si="32"/>
        <v>135</v>
      </c>
      <c r="C182" s="17">
        <v>20200511</v>
      </c>
      <c r="D182" s="16" t="s">
        <v>3</v>
      </c>
      <c r="E182" s="16" t="s">
        <v>701</v>
      </c>
      <c r="F182" s="80" t="s">
        <v>758</v>
      </c>
      <c r="G182" s="18">
        <v>1461444</v>
      </c>
      <c r="H182" s="57" t="s">
        <v>61</v>
      </c>
      <c r="I182" s="16" t="s">
        <v>399</v>
      </c>
      <c r="J182" s="57" t="s">
        <v>61</v>
      </c>
      <c r="K182" s="16" t="s">
        <v>161</v>
      </c>
      <c r="L182" s="16" t="s">
        <v>165</v>
      </c>
      <c r="M182" s="16" t="s">
        <v>702</v>
      </c>
      <c r="N182" s="16" t="s">
        <v>711</v>
      </c>
      <c r="O182" s="18" t="s">
        <v>61</v>
      </c>
      <c r="P182" s="18" t="s">
        <v>713</v>
      </c>
      <c r="Q182" s="19"/>
      <c r="R182" s="57" t="s">
        <v>61</v>
      </c>
      <c r="S182" s="16" t="s">
        <v>65</v>
      </c>
      <c r="T182" s="16"/>
      <c r="U182" s="16"/>
      <c r="V182" s="16">
        <v>39</v>
      </c>
      <c r="W182" s="16">
        <f t="shared" si="33"/>
        <v>39</v>
      </c>
      <c r="X182" s="16">
        <f t="shared" si="35"/>
        <v>39</v>
      </c>
      <c r="Y182" s="16">
        <f>ROUNDDOWN(W182/HLOOKUP(D182,Table!$C$3:$D$4,2,0)*8,2)</f>
        <v>0.69</v>
      </c>
      <c r="Z182" s="16">
        <v>1</v>
      </c>
      <c r="AA182" s="16" t="s">
        <v>74</v>
      </c>
      <c r="AB182" s="20">
        <v>43966</v>
      </c>
      <c r="AC182" s="20">
        <v>43962</v>
      </c>
      <c r="AD182" s="20">
        <v>43966</v>
      </c>
      <c r="AE182" s="20">
        <v>43966</v>
      </c>
      <c r="AF182" s="20">
        <v>43966</v>
      </c>
      <c r="AG182" s="20" t="s">
        <v>335</v>
      </c>
      <c r="AH182" s="32">
        <v>1</v>
      </c>
      <c r="AI182" s="32">
        <v>1</v>
      </c>
      <c r="AJ182" s="32">
        <v>1</v>
      </c>
      <c r="AK182" s="20" t="s">
        <v>165</v>
      </c>
      <c r="AL182" s="16" t="s">
        <v>61</v>
      </c>
      <c r="AM182" s="16" t="s">
        <v>61</v>
      </c>
      <c r="AN182" s="16" t="s">
        <v>61</v>
      </c>
    </row>
    <row r="183" spans="2:40" x14ac:dyDescent="0.25">
      <c r="B183" s="130">
        <f t="shared" si="32"/>
        <v>136</v>
      </c>
      <c r="C183" s="17">
        <v>20200511</v>
      </c>
      <c r="D183" s="16" t="s">
        <v>3</v>
      </c>
      <c r="E183" s="16" t="s">
        <v>701</v>
      </c>
      <c r="F183" s="80" t="s">
        <v>759</v>
      </c>
      <c r="G183" s="18">
        <v>1461444</v>
      </c>
      <c r="H183" s="57" t="s">
        <v>61</v>
      </c>
      <c r="I183" s="16" t="s">
        <v>371</v>
      </c>
      <c r="J183" s="57" t="s">
        <v>61</v>
      </c>
      <c r="K183" s="16" t="s">
        <v>161</v>
      </c>
      <c r="L183" s="16" t="s">
        <v>165</v>
      </c>
      <c r="M183" s="16" t="s">
        <v>702</v>
      </c>
      <c r="N183" s="16" t="s">
        <v>711</v>
      </c>
      <c r="O183" s="18" t="s">
        <v>61</v>
      </c>
      <c r="P183" s="18" t="s">
        <v>713</v>
      </c>
      <c r="Q183" s="19"/>
      <c r="R183" s="57" t="s">
        <v>61</v>
      </c>
      <c r="S183" s="16" t="s">
        <v>65</v>
      </c>
      <c r="T183" s="16"/>
      <c r="U183" s="16"/>
      <c r="V183" s="16">
        <v>82</v>
      </c>
      <c r="W183" s="16">
        <f t="shared" si="33"/>
        <v>82</v>
      </c>
      <c r="X183" s="16">
        <f t="shared" si="35"/>
        <v>82</v>
      </c>
      <c r="Y183" s="16">
        <f>ROUNDDOWN(W183/HLOOKUP(D183,Table!$C$3:$D$4,2,0)*8,2)</f>
        <v>1.45</v>
      </c>
      <c r="Z183" s="16">
        <v>1</v>
      </c>
      <c r="AA183" s="16" t="s">
        <v>74</v>
      </c>
      <c r="AB183" s="20">
        <v>43966</v>
      </c>
      <c r="AC183" s="20">
        <v>43962</v>
      </c>
      <c r="AD183" s="20">
        <v>43966</v>
      </c>
      <c r="AE183" s="20">
        <v>43966</v>
      </c>
      <c r="AF183" s="20">
        <v>43966</v>
      </c>
      <c r="AG183" s="20" t="s">
        <v>335</v>
      </c>
      <c r="AH183" s="32">
        <v>1</v>
      </c>
      <c r="AI183" s="32">
        <v>1</v>
      </c>
      <c r="AJ183" s="32">
        <v>1</v>
      </c>
      <c r="AK183" s="20" t="s">
        <v>165</v>
      </c>
      <c r="AL183" s="16" t="s">
        <v>61</v>
      </c>
      <c r="AM183" s="16" t="s">
        <v>61</v>
      </c>
      <c r="AN183" s="16" t="s">
        <v>61</v>
      </c>
    </row>
    <row r="184" spans="2:40" x14ac:dyDescent="0.25">
      <c r="B184" s="130">
        <f t="shared" si="32"/>
        <v>137</v>
      </c>
      <c r="C184" s="17">
        <v>20200511</v>
      </c>
      <c r="D184" s="16" t="s">
        <v>3</v>
      </c>
      <c r="E184" s="16" t="s">
        <v>701</v>
      </c>
      <c r="F184" s="80" t="s">
        <v>760</v>
      </c>
      <c r="G184" s="18">
        <v>1461444</v>
      </c>
      <c r="H184" s="57" t="s">
        <v>61</v>
      </c>
      <c r="I184" s="16" t="s">
        <v>374</v>
      </c>
      <c r="J184" s="57" t="s">
        <v>61</v>
      </c>
      <c r="K184" s="16" t="s">
        <v>161</v>
      </c>
      <c r="L184" s="16" t="s">
        <v>165</v>
      </c>
      <c r="M184" s="16" t="s">
        <v>702</v>
      </c>
      <c r="N184" s="16" t="s">
        <v>711</v>
      </c>
      <c r="O184" s="18" t="s">
        <v>61</v>
      </c>
      <c r="P184" s="18" t="s">
        <v>713</v>
      </c>
      <c r="Q184" s="19"/>
      <c r="R184" s="57" t="s">
        <v>61</v>
      </c>
      <c r="S184" s="16" t="s">
        <v>65</v>
      </c>
      <c r="T184" s="16"/>
      <c r="U184" s="16"/>
      <c r="V184" s="16">
        <v>54</v>
      </c>
      <c r="W184" s="16">
        <f t="shared" si="33"/>
        <v>54</v>
      </c>
      <c r="X184" s="16">
        <f t="shared" si="35"/>
        <v>54</v>
      </c>
      <c r="Y184" s="16">
        <f>ROUNDDOWN(W184/HLOOKUP(D184,Table!$C$3:$D$4,2,0)*8,2)</f>
        <v>0.96</v>
      </c>
      <c r="Z184" s="16">
        <v>1</v>
      </c>
      <c r="AA184" s="16" t="s">
        <v>74</v>
      </c>
      <c r="AB184" s="20">
        <v>43966</v>
      </c>
      <c r="AC184" s="20">
        <v>43962</v>
      </c>
      <c r="AD184" s="20">
        <v>43966</v>
      </c>
      <c r="AE184" s="20">
        <v>43966</v>
      </c>
      <c r="AF184" s="20">
        <v>43966</v>
      </c>
      <c r="AG184" s="20" t="s">
        <v>335</v>
      </c>
      <c r="AH184" s="32">
        <v>1</v>
      </c>
      <c r="AI184" s="32">
        <v>1</v>
      </c>
      <c r="AJ184" s="32">
        <v>1</v>
      </c>
      <c r="AK184" s="20" t="s">
        <v>165</v>
      </c>
      <c r="AL184" s="16" t="s">
        <v>61</v>
      </c>
      <c r="AM184" s="16" t="s">
        <v>61</v>
      </c>
      <c r="AN184" s="16" t="s">
        <v>61</v>
      </c>
    </row>
    <row r="185" spans="2:40" x14ac:dyDescent="0.25">
      <c r="B185" s="130">
        <f t="shared" si="32"/>
        <v>138</v>
      </c>
      <c r="C185" s="17">
        <v>20200511</v>
      </c>
      <c r="D185" s="16" t="s">
        <v>3</v>
      </c>
      <c r="E185" s="16" t="s">
        <v>701</v>
      </c>
      <c r="F185" s="80" t="s">
        <v>761</v>
      </c>
      <c r="G185" s="18">
        <v>1461444</v>
      </c>
      <c r="H185" s="57" t="s">
        <v>61</v>
      </c>
      <c r="I185" s="16" t="s">
        <v>322</v>
      </c>
      <c r="J185" s="57" t="s">
        <v>61</v>
      </c>
      <c r="K185" s="16" t="s">
        <v>161</v>
      </c>
      <c r="L185" s="16" t="s">
        <v>165</v>
      </c>
      <c r="M185" s="16" t="s">
        <v>702</v>
      </c>
      <c r="N185" s="16" t="s">
        <v>711</v>
      </c>
      <c r="O185" s="18" t="s">
        <v>61</v>
      </c>
      <c r="P185" s="18" t="s">
        <v>713</v>
      </c>
      <c r="Q185" s="19"/>
      <c r="R185" s="57" t="s">
        <v>61</v>
      </c>
      <c r="S185" s="16" t="s">
        <v>65</v>
      </c>
      <c r="T185" s="16"/>
      <c r="U185" s="16"/>
      <c r="V185" s="16">
        <v>109</v>
      </c>
      <c r="W185" s="16">
        <f t="shared" si="33"/>
        <v>109</v>
      </c>
      <c r="X185" s="16">
        <f t="shared" si="35"/>
        <v>109</v>
      </c>
      <c r="Y185" s="16">
        <f>ROUNDDOWN(W185/HLOOKUP(D185,Table!$C$3:$D$4,2,0)*8,2)</f>
        <v>1.93</v>
      </c>
      <c r="Z185" s="16">
        <v>1</v>
      </c>
      <c r="AA185" s="16" t="s">
        <v>74</v>
      </c>
      <c r="AB185" s="20">
        <v>43966</v>
      </c>
      <c r="AC185" s="20">
        <v>43962</v>
      </c>
      <c r="AD185" s="20">
        <v>43966</v>
      </c>
      <c r="AE185" s="20">
        <v>43966</v>
      </c>
      <c r="AF185" s="20">
        <v>43966</v>
      </c>
      <c r="AG185" s="20" t="s">
        <v>335</v>
      </c>
      <c r="AH185" s="32">
        <v>1</v>
      </c>
      <c r="AI185" s="32">
        <v>1</v>
      </c>
      <c r="AJ185" s="32">
        <v>1</v>
      </c>
      <c r="AK185" s="20" t="s">
        <v>165</v>
      </c>
      <c r="AL185" s="16" t="s">
        <v>61</v>
      </c>
      <c r="AM185" s="16" t="s">
        <v>61</v>
      </c>
      <c r="AN185" s="16" t="s">
        <v>61</v>
      </c>
    </row>
    <row r="186" spans="2:40" x14ac:dyDescent="0.25">
      <c r="B186" s="130">
        <f t="shared" si="32"/>
        <v>139</v>
      </c>
      <c r="C186" s="17">
        <v>20200511</v>
      </c>
      <c r="D186" s="16" t="s">
        <v>3</v>
      </c>
      <c r="E186" s="16" t="s">
        <v>701</v>
      </c>
      <c r="F186" s="80" t="s">
        <v>762</v>
      </c>
      <c r="G186" s="18">
        <v>1461444</v>
      </c>
      <c r="H186" s="57" t="s">
        <v>61</v>
      </c>
      <c r="I186" s="16" t="s">
        <v>380</v>
      </c>
      <c r="J186" s="57" t="s">
        <v>61</v>
      </c>
      <c r="K186" s="16" t="s">
        <v>161</v>
      </c>
      <c r="L186" s="16" t="s">
        <v>165</v>
      </c>
      <c r="M186" s="16" t="s">
        <v>702</v>
      </c>
      <c r="N186" s="16" t="s">
        <v>711</v>
      </c>
      <c r="O186" s="18" t="s">
        <v>61</v>
      </c>
      <c r="P186" s="18" t="s">
        <v>713</v>
      </c>
      <c r="Q186" s="19"/>
      <c r="R186" s="57" t="s">
        <v>61</v>
      </c>
      <c r="S186" s="16" t="s">
        <v>65</v>
      </c>
      <c r="T186" s="16"/>
      <c r="U186" s="16"/>
      <c r="V186" s="16">
        <v>255</v>
      </c>
      <c r="W186" s="16">
        <f t="shared" si="33"/>
        <v>255</v>
      </c>
      <c r="X186" s="16">
        <f t="shared" si="35"/>
        <v>255</v>
      </c>
      <c r="Y186" s="16">
        <f>ROUNDDOWN(W186/HLOOKUP(D186,Table!$C$3:$D$4,2,0)*8,2)</f>
        <v>4.53</v>
      </c>
      <c r="Z186" s="16">
        <v>1</v>
      </c>
      <c r="AA186" s="16" t="s">
        <v>74</v>
      </c>
      <c r="AB186" s="20">
        <v>43966</v>
      </c>
      <c r="AC186" s="20">
        <v>43962</v>
      </c>
      <c r="AD186" s="20">
        <v>43966</v>
      </c>
      <c r="AE186" s="20">
        <v>43966</v>
      </c>
      <c r="AF186" s="20">
        <v>43966</v>
      </c>
      <c r="AG186" s="20" t="s">
        <v>335</v>
      </c>
      <c r="AH186" s="32">
        <v>1</v>
      </c>
      <c r="AI186" s="32">
        <v>1</v>
      </c>
      <c r="AJ186" s="32">
        <v>1</v>
      </c>
      <c r="AK186" s="20" t="s">
        <v>165</v>
      </c>
      <c r="AL186" s="16" t="s">
        <v>61</v>
      </c>
      <c r="AM186" s="16" t="s">
        <v>61</v>
      </c>
      <c r="AN186" s="16" t="s">
        <v>61</v>
      </c>
    </row>
    <row r="187" spans="2:40" x14ac:dyDescent="0.25">
      <c r="B187" s="130">
        <f t="shared" si="32"/>
        <v>140</v>
      </c>
      <c r="C187" s="17">
        <v>20200511</v>
      </c>
      <c r="D187" s="16" t="s">
        <v>3</v>
      </c>
      <c r="E187" s="16" t="s">
        <v>701</v>
      </c>
      <c r="F187" s="80" t="s">
        <v>763</v>
      </c>
      <c r="G187" s="18">
        <v>1461444</v>
      </c>
      <c r="H187" s="57" t="s">
        <v>61</v>
      </c>
      <c r="I187" s="16" t="s">
        <v>708</v>
      </c>
      <c r="J187" s="57" t="s">
        <v>61</v>
      </c>
      <c r="K187" s="16" t="s">
        <v>161</v>
      </c>
      <c r="L187" s="16" t="s">
        <v>165</v>
      </c>
      <c r="M187" s="16" t="s">
        <v>702</v>
      </c>
      <c r="N187" s="16" t="s">
        <v>711</v>
      </c>
      <c r="O187" s="18" t="s">
        <v>61</v>
      </c>
      <c r="P187" s="18" t="s">
        <v>713</v>
      </c>
      <c r="Q187" s="19"/>
      <c r="R187" s="57" t="s">
        <v>61</v>
      </c>
      <c r="S187" s="16" t="s">
        <v>64</v>
      </c>
      <c r="T187" s="16"/>
      <c r="U187" s="16"/>
      <c r="V187" s="16">
        <v>146</v>
      </c>
      <c r="W187" s="16">
        <f t="shared" si="33"/>
        <v>146</v>
      </c>
      <c r="X187" s="16">
        <f t="shared" ref="X187:X195" si="36">W187</f>
        <v>146</v>
      </c>
      <c r="Y187" s="16">
        <f>ROUNDDOWN(W187/HLOOKUP(D187,Table!$C$3:$D$4,2,0)*8,2)</f>
        <v>2.59</v>
      </c>
      <c r="Z187" s="16">
        <v>2</v>
      </c>
      <c r="AA187" s="16" t="s">
        <v>74</v>
      </c>
      <c r="AB187" s="20">
        <v>43966</v>
      </c>
      <c r="AC187" s="20">
        <v>43962</v>
      </c>
      <c r="AD187" s="20">
        <v>43966</v>
      </c>
      <c r="AE187" s="20">
        <v>43964</v>
      </c>
      <c r="AF187" s="20">
        <v>43964</v>
      </c>
      <c r="AG187" s="20" t="s">
        <v>335</v>
      </c>
      <c r="AH187" s="32" t="s">
        <v>61</v>
      </c>
      <c r="AI187" s="32" t="s">
        <v>61</v>
      </c>
      <c r="AJ187" s="32" t="s">
        <v>61</v>
      </c>
      <c r="AK187" s="20" t="s">
        <v>165</v>
      </c>
      <c r="AL187" s="16" t="s">
        <v>61</v>
      </c>
      <c r="AM187" s="16" t="s">
        <v>61</v>
      </c>
      <c r="AN187" s="16" t="s">
        <v>418</v>
      </c>
    </row>
    <row r="188" spans="2:40" x14ac:dyDescent="0.25">
      <c r="B188" s="130">
        <f t="shared" si="32"/>
        <v>141</v>
      </c>
      <c r="C188" s="17">
        <v>20200511</v>
      </c>
      <c r="D188" s="16" t="s">
        <v>3</v>
      </c>
      <c r="E188" s="16" t="s">
        <v>701</v>
      </c>
      <c r="F188" s="80" t="s">
        <v>764</v>
      </c>
      <c r="G188" s="18">
        <v>1461444</v>
      </c>
      <c r="H188" s="57" t="s">
        <v>61</v>
      </c>
      <c r="I188" s="16" t="s">
        <v>402</v>
      </c>
      <c r="J188" s="57" t="s">
        <v>61</v>
      </c>
      <c r="K188" s="16" t="s">
        <v>161</v>
      </c>
      <c r="L188" s="16" t="s">
        <v>165</v>
      </c>
      <c r="M188" s="16" t="s">
        <v>702</v>
      </c>
      <c r="N188" s="16" t="s">
        <v>711</v>
      </c>
      <c r="O188" s="18" t="s">
        <v>61</v>
      </c>
      <c r="P188" s="18" t="s">
        <v>713</v>
      </c>
      <c r="Q188" s="19"/>
      <c r="R188" s="57" t="s">
        <v>61</v>
      </c>
      <c r="S188" s="16" t="s">
        <v>64</v>
      </c>
      <c r="T188" s="16"/>
      <c r="U188" s="16"/>
      <c r="V188" s="16">
        <v>96</v>
      </c>
      <c r="W188" s="16">
        <f t="shared" si="33"/>
        <v>96</v>
      </c>
      <c r="X188" s="16">
        <f t="shared" si="36"/>
        <v>96</v>
      </c>
      <c r="Y188" s="16">
        <f>ROUNDDOWN(W188/HLOOKUP(D188,Table!$C$3:$D$4,2,0)*8,2)</f>
        <v>1.7</v>
      </c>
      <c r="Z188" s="16">
        <v>1</v>
      </c>
      <c r="AA188" s="16" t="s">
        <v>74</v>
      </c>
      <c r="AB188" s="20">
        <v>43966</v>
      </c>
      <c r="AC188" s="20">
        <v>43962</v>
      </c>
      <c r="AD188" s="20">
        <v>43966</v>
      </c>
      <c r="AE188" s="20">
        <v>43964</v>
      </c>
      <c r="AF188" s="20">
        <v>43964</v>
      </c>
      <c r="AG188" s="20" t="s">
        <v>335</v>
      </c>
      <c r="AH188" s="32">
        <v>0.69</v>
      </c>
      <c r="AI188" s="32">
        <v>0.68</v>
      </c>
      <c r="AJ188" s="32">
        <v>0.5</v>
      </c>
      <c r="AK188" s="20" t="s">
        <v>149</v>
      </c>
      <c r="AL188" s="18" t="s">
        <v>781</v>
      </c>
      <c r="AM188" s="16" t="s">
        <v>61</v>
      </c>
      <c r="AN188" s="16" t="s">
        <v>448</v>
      </c>
    </row>
    <row r="189" spans="2:40" x14ac:dyDescent="0.25">
      <c r="B189" s="130">
        <f t="shared" ref="B189:B220" si="37">B188+1</f>
        <v>142</v>
      </c>
      <c r="C189" s="17">
        <v>20200511</v>
      </c>
      <c r="D189" s="16" t="s">
        <v>3</v>
      </c>
      <c r="E189" s="16" t="s">
        <v>701</v>
      </c>
      <c r="F189" s="80" t="s">
        <v>885</v>
      </c>
      <c r="G189" s="18">
        <v>1461444</v>
      </c>
      <c r="H189" s="57"/>
      <c r="I189" s="16" t="s">
        <v>884</v>
      </c>
      <c r="J189" s="57"/>
      <c r="K189" s="16" t="s">
        <v>161</v>
      </c>
      <c r="L189" s="16" t="s">
        <v>165</v>
      </c>
      <c r="M189" s="16" t="s">
        <v>702</v>
      </c>
      <c r="N189" s="16" t="s">
        <v>711</v>
      </c>
      <c r="O189" s="18" t="s">
        <v>61</v>
      </c>
      <c r="P189" s="18" t="s">
        <v>713</v>
      </c>
      <c r="Q189" s="19"/>
      <c r="R189" s="57" t="s">
        <v>61</v>
      </c>
      <c r="S189" s="98" t="s">
        <v>64</v>
      </c>
      <c r="T189" s="16"/>
      <c r="U189" s="16"/>
      <c r="V189" s="16">
        <v>104</v>
      </c>
      <c r="W189" s="16">
        <v>104</v>
      </c>
      <c r="X189" s="16">
        <f>W189</f>
        <v>104</v>
      </c>
      <c r="Y189" s="16">
        <f>ROUNDDOWN(W189/HLOOKUP(D189,Table!$C$3:$D$4,2,0)*8,2)</f>
        <v>1.84</v>
      </c>
      <c r="Z189" s="16">
        <v>2</v>
      </c>
      <c r="AA189" s="16" t="s">
        <v>74</v>
      </c>
      <c r="AB189" s="20">
        <v>43969</v>
      </c>
      <c r="AC189" s="20">
        <v>43966</v>
      </c>
      <c r="AD189" s="20">
        <v>43969</v>
      </c>
      <c r="AE189" s="20">
        <v>43969</v>
      </c>
      <c r="AF189" s="20">
        <v>43969</v>
      </c>
      <c r="AG189" s="20" t="s">
        <v>335</v>
      </c>
      <c r="AH189" s="32">
        <v>1</v>
      </c>
      <c r="AI189" s="32">
        <v>1</v>
      </c>
      <c r="AJ189" s="32">
        <v>1</v>
      </c>
      <c r="AK189" s="20" t="s">
        <v>165</v>
      </c>
      <c r="AL189" s="18" t="s">
        <v>61</v>
      </c>
      <c r="AM189" s="16" t="s">
        <v>61</v>
      </c>
      <c r="AN189" s="16" t="s">
        <v>886</v>
      </c>
    </row>
    <row r="190" spans="2:40" x14ac:dyDescent="0.25">
      <c r="B190" s="130">
        <f t="shared" si="37"/>
        <v>143</v>
      </c>
      <c r="C190" s="17">
        <v>20200511</v>
      </c>
      <c r="D190" s="16" t="s">
        <v>3</v>
      </c>
      <c r="E190" s="16" t="s">
        <v>1200</v>
      </c>
      <c r="F190" s="129" t="s">
        <v>765</v>
      </c>
      <c r="G190" s="18">
        <v>9.1</v>
      </c>
      <c r="H190" s="57" t="s">
        <v>61</v>
      </c>
      <c r="I190" s="16" t="s">
        <v>782</v>
      </c>
      <c r="J190" s="57" t="s">
        <v>61</v>
      </c>
      <c r="K190" s="16" t="s">
        <v>161</v>
      </c>
      <c r="L190" s="16" t="s">
        <v>165</v>
      </c>
      <c r="M190" s="16" t="s">
        <v>165</v>
      </c>
      <c r="N190" s="16" t="s">
        <v>716</v>
      </c>
      <c r="O190" s="18" t="s">
        <v>714</v>
      </c>
      <c r="P190" s="18" t="s">
        <v>715</v>
      </c>
      <c r="Q190" s="19"/>
      <c r="R190" s="57" t="s">
        <v>61</v>
      </c>
      <c r="S190" s="16" t="s">
        <v>64</v>
      </c>
      <c r="T190" s="16"/>
      <c r="U190" s="16"/>
      <c r="V190" s="16">
        <v>163</v>
      </c>
      <c r="W190" s="16">
        <f t="shared" si="33"/>
        <v>163</v>
      </c>
      <c r="X190" s="16">
        <f t="shared" si="36"/>
        <v>163</v>
      </c>
      <c r="Y190" s="16">
        <f>ROUNDDOWN(W190/HLOOKUP(D190,Table!$C$3:$D$4,2,0)*8,2)</f>
        <v>2.89</v>
      </c>
      <c r="Z190" s="16">
        <v>2</v>
      </c>
      <c r="AA190" s="16" t="s">
        <v>74</v>
      </c>
      <c r="AB190" s="20">
        <v>43966</v>
      </c>
      <c r="AC190" s="20">
        <v>43962</v>
      </c>
      <c r="AD190" s="20">
        <v>43966</v>
      </c>
      <c r="AE190" s="20">
        <v>43965</v>
      </c>
      <c r="AF190" s="20">
        <v>43965</v>
      </c>
      <c r="AG190" s="20" t="s">
        <v>335</v>
      </c>
      <c r="AH190" s="32">
        <v>1</v>
      </c>
      <c r="AI190" s="32">
        <v>1</v>
      </c>
      <c r="AJ190" s="32">
        <v>1</v>
      </c>
      <c r="AK190" s="20" t="s">
        <v>165</v>
      </c>
      <c r="AL190" s="16" t="s">
        <v>61</v>
      </c>
      <c r="AM190" s="16" t="s">
        <v>61</v>
      </c>
      <c r="AN190" s="19" t="s">
        <v>744</v>
      </c>
    </row>
    <row r="191" spans="2:40" x14ac:dyDescent="0.25">
      <c r="B191" s="130">
        <f t="shared" si="37"/>
        <v>144</v>
      </c>
      <c r="C191" s="17">
        <v>20200511</v>
      </c>
      <c r="D191" s="16" t="s">
        <v>2</v>
      </c>
      <c r="E191" s="16" t="s">
        <v>717</v>
      </c>
      <c r="F191" s="18" t="s">
        <v>61</v>
      </c>
      <c r="G191" s="18">
        <v>1404916</v>
      </c>
      <c r="H191" s="57" t="s">
        <v>61</v>
      </c>
      <c r="I191" s="16" t="s">
        <v>718</v>
      </c>
      <c r="J191" s="57" t="s">
        <v>61</v>
      </c>
      <c r="K191" s="16" t="s">
        <v>353</v>
      </c>
      <c r="L191" s="16" t="s">
        <v>165</v>
      </c>
      <c r="M191" s="16" t="s">
        <v>719</v>
      </c>
      <c r="N191" s="16" t="s">
        <v>750</v>
      </c>
      <c r="O191" s="18" t="s">
        <v>365</v>
      </c>
      <c r="P191" s="18" t="s">
        <v>720</v>
      </c>
      <c r="Q191" s="19"/>
      <c r="R191" s="57" t="s">
        <v>61</v>
      </c>
      <c r="S191" s="16" t="s">
        <v>64</v>
      </c>
      <c r="T191" s="16"/>
      <c r="U191" s="16"/>
      <c r="V191" s="16">
        <v>20</v>
      </c>
      <c r="W191" s="16">
        <f t="shared" si="33"/>
        <v>20</v>
      </c>
      <c r="X191" s="16">
        <f t="shared" si="36"/>
        <v>20</v>
      </c>
      <c r="Y191" s="16">
        <f>ROUNDDOWN(W191/HLOOKUP(D191,Table!$C$3:$D$4,2,0)*8,2)</f>
        <v>1.23</v>
      </c>
      <c r="Z191" s="16">
        <f>Y191</f>
        <v>1.23</v>
      </c>
      <c r="AA191" s="16" t="s">
        <v>74</v>
      </c>
      <c r="AB191" s="20">
        <v>43963</v>
      </c>
      <c r="AC191" s="20">
        <v>43962</v>
      </c>
      <c r="AD191" s="20">
        <v>43963</v>
      </c>
      <c r="AE191" s="20">
        <v>43963</v>
      </c>
      <c r="AF191" s="20">
        <v>43963</v>
      </c>
      <c r="AG191" s="20" t="s">
        <v>335</v>
      </c>
      <c r="AH191" s="32">
        <v>1</v>
      </c>
      <c r="AI191" s="32">
        <v>1</v>
      </c>
      <c r="AJ191" s="32" t="s">
        <v>412</v>
      </c>
      <c r="AK191" s="20" t="s">
        <v>165</v>
      </c>
      <c r="AL191" s="16" t="s">
        <v>61</v>
      </c>
      <c r="AM191" s="16" t="s">
        <v>61</v>
      </c>
      <c r="AN191" s="16" t="s">
        <v>727</v>
      </c>
    </row>
    <row r="192" spans="2:40" x14ac:dyDescent="0.25">
      <c r="B192" s="130">
        <f t="shared" si="37"/>
        <v>145</v>
      </c>
      <c r="C192" s="17">
        <v>20200511</v>
      </c>
      <c r="D192" s="16" t="s">
        <v>3</v>
      </c>
      <c r="E192" s="16" t="s">
        <v>746</v>
      </c>
      <c r="F192" s="80" t="s">
        <v>766</v>
      </c>
      <c r="G192" s="18">
        <v>1444984</v>
      </c>
      <c r="H192" s="57" t="s">
        <v>61</v>
      </c>
      <c r="I192" s="16" t="s">
        <v>748</v>
      </c>
      <c r="J192" s="57" t="s">
        <v>61</v>
      </c>
      <c r="K192" s="16" t="s">
        <v>161</v>
      </c>
      <c r="L192" s="16" t="s">
        <v>165</v>
      </c>
      <c r="M192" s="16" t="s">
        <v>747</v>
      </c>
      <c r="N192" s="16" t="s">
        <v>347</v>
      </c>
      <c r="O192" s="18" t="s">
        <v>61</v>
      </c>
      <c r="P192" s="18" t="s">
        <v>749</v>
      </c>
      <c r="Q192" s="19"/>
      <c r="R192" s="57" t="s">
        <v>61</v>
      </c>
      <c r="S192" s="16" t="s">
        <v>157</v>
      </c>
      <c r="T192" s="16"/>
      <c r="U192" s="16"/>
      <c r="V192" s="16">
        <v>159</v>
      </c>
      <c r="W192" s="16">
        <f t="shared" si="33"/>
        <v>159</v>
      </c>
      <c r="X192" s="16">
        <f t="shared" si="36"/>
        <v>159</v>
      </c>
      <c r="Y192" s="16">
        <f>ROUNDDOWN(W192/HLOOKUP(D192,Table!$C$3:$D$4,2,0)*8,2)</f>
        <v>2.82</v>
      </c>
      <c r="Z192" s="16">
        <v>1.5</v>
      </c>
      <c r="AA192" s="16" t="s">
        <v>74</v>
      </c>
      <c r="AB192" s="20">
        <v>43964</v>
      </c>
      <c r="AC192" s="20">
        <v>43962</v>
      </c>
      <c r="AD192" s="20">
        <v>43964</v>
      </c>
      <c r="AE192" s="20">
        <v>43964</v>
      </c>
      <c r="AF192" s="20">
        <v>43964</v>
      </c>
      <c r="AG192" s="20" t="s">
        <v>335</v>
      </c>
      <c r="AH192" s="32">
        <v>1</v>
      </c>
      <c r="AI192" s="32">
        <v>1</v>
      </c>
      <c r="AJ192" s="32">
        <v>1</v>
      </c>
      <c r="AK192" s="20" t="s">
        <v>165</v>
      </c>
      <c r="AL192" s="122" t="s">
        <v>61</v>
      </c>
      <c r="AM192" s="16" t="s">
        <v>61</v>
      </c>
      <c r="AN192" s="16" t="s">
        <v>61</v>
      </c>
    </row>
    <row r="193" spans="2:40" x14ac:dyDescent="0.25">
      <c r="B193" s="106">
        <f t="shared" si="37"/>
        <v>146</v>
      </c>
      <c r="C193" s="17">
        <v>20200513</v>
      </c>
      <c r="D193" s="16" t="s">
        <v>3</v>
      </c>
      <c r="E193" s="92" t="s">
        <v>769</v>
      </c>
      <c r="F193" s="80" t="s">
        <v>771</v>
      </c>
      <c r="G193" s="92">
        <v>1458101</v>
      </c>
      <c r="H193" s="57" t="s">
        <v>61</v>
      </c>
      <c r="I193" s="92" t="s">
        <v>168</v>
      </c>
      <c r="J193" s="57" t="s">
        <v>61</v>
      </c>
      <c r="K193" s="16" t="s">
        <v>161</v>
      </c>
      <c r="L193" s="92">
        <v>81116</v>
      </c>
      <c r="M193" s="16" t="s">
        <v>170</v>
      </c>
      <c r="N193" s="92" t="s">
        <v>348</v>
      </c>
      <c r="O193" s="18" t="s">
        <v>61</v>
      </c>
      <c r="P193" s="86" t="s">
        <v>773</v>
      </c>
      <c r="Q193" s="19"/>
      <c r="R193" s="57" t="s">
        <v>61</v>
      </c>
      <c r="S193" s="16" t="s">
        <v>69</v>
      </c>
      <c r="T193" s="16"/>
      <c r="U193" s="16"/>
      <c r="V193" s="92">
        <v>42</v>
      </c>
      <c r="W193" s="16">
        <f>V193</f>
        <v>42</v>
      </c>
      <c r="X193" s="16">
        <f t="shared" si="36"/>
        <v>42</v>
      </c>
      <c r="Y193" s="16">
        <f>ROUNDDOWN(W193/HLOOKUP(D193,Table!$C$3:$D$4,2,0)*8,2)</f>
        <v>0.74</v>
      </c>
      <c r="Z193" s="16">
        <v>0.5</v>
      </c>
      <c r="AA193" s="16" t="s">
        <v>74</v>
      </c>
      <c r="AB193" s="20">
        <v>43964</v>
      </c>
      <c r="AC193" s="20">
        <v>43964</v>
      </c>
      <c r="AD193" s="20">
        <v>43966</v>
      </c>
      <c r="AE193" s="20">
        <v>43964</v>
      </c>
      <c r="AF193" s="20">
        <v>43964</v>
      </c>
      <c r="AG193" s="20" t="s">
        <v>335</v>
      </c>
      <c r="AH193" s="32">
        <v>1</v>
      </c>
      <c r="AI193" s="32">
        <v>1</v>
      </c>
      <c r="AJ193" s="32">
        <v>1</v>
      </c>
      <c r="AK193" s="20" t="s">
        <v>165</v>
      </c>
      <c r="AL193" s="16" t="s">
        <v>61</v>
      </c>
      <c r="AM193" s="16" t="s">
        <v>61</v>
      </c>
      <c r="AN193" s="16" t="s">
        <v>61</v>
      </c>
    </row>
    <row r="194" spans="2:40" x14ac:dyDescent="0.25">
      <c r="B194" s="106">
        <f t="shared" si="37"/>
        <v>147</v>
      </c>
      <c r="C194" s="17">
        <v>20200513</v>
      </c>
      <c r="D194" s="16" t="s">
        <v>3</v>
      </c>
      <c r="E194" s="92" t="s">
        <v>770</v>
      </c>
      <c r="F194" s="80" t="s">
        <v>772</v>
      </c>
      <c r="G194" s="92">
        <v>1458169</v>
      </c>
      <c r="H194" s="57" t="s">
        <v>61</v>
      </c>
      <c r="I194" s="92" t="s">
        <v>181</v>
      </c>
      <c r="J194" s="57" t="s">
        <v>61</v>
      </c>
      <c r="K194" s="16" t="s">
        <v>161</v>
      </c>
      <c r="L194" s="92">
        <v>81175</v>
      </c>
      <c r="M194" s="16" t="s">
        <v>170</v>
      </c>
      <c r="N194" s="92" t="s">
        <v>348</v>
      </c>
      <c r="O194" s="18" t="s">
        <v>61</v>
      </c>
      <c r="P194" s="86" t="s">
        <v>773</v>
      </c>
      <c r="Q194" s="19"/>
      <c r="R194" s="57" t="s">
        <v>61</v>
      </c>
      <c r="S194" s="16" t="s">
        <v>69</v>
      </c>
      <c r="T194" s="16"/>
      <c r="U194" s="16"/>
      <c r="V194" s="92">
        <v>88</v>
      </c>
      <c r="W194" s="16">
        <f>V194</f>
        <v>88</v>
      </c>
      <c r="X194" s="16">
        <f t="shared" si="36"/>
        <v>88</v>
      </c>
      <c r="Y194" s="16">
        <f>ROUNDDOWN(W194/HLOOKUP(D194,Table!$C$3:$D$4,2,0)*8,2)</f>
        <v>1.56</v>
      </c>
      <c r="Z194" s="16">
        <v>1</v>
      </c>
      <c r="AA194" s="16" t="s">
        <v>74</v>
      </c>
      <c r="AB194" s="20">
        <v>43964</v>
      </c>
      <c r="AC194" s="20">
        <v>43964</v>
      </c>
      <c r="AD194" s="20">
        <v>43966</v>
      </c>
      <c r="AE194" s="20">
        <v>43964</v>
      </c>
      <c r="AF194" s="20">
        <v>43964</v>
      </c>
      <c r="AG194" s="20" t="s">
        <v>335</v>
      </c>
      <c r="AH194" s="32">
        <v>1</v>
      </c>
      <c r="AI194" s="32">
        <v>1</v>
      </c>
      <c r="AJ194" s="32">
        <v>1</v>
      </c>
      <c r="AK194" s="20" t="s">
        <v>165</v>
      </c>
      <c r="AL194" s="16" t="s">
        <v>61</v>
      </c>
      <c r="AM194" s="16" t="s">
        <v>61</v>
      </c>
      <c r="AN194" s="16" t="s">
        <v>61</v>
      </c>
    </row>
    <row r="195" spans="2:40" x14ac:dyDescent="0.25">
      <c r="B195" s="106">
        <f t="shared" si="37"/>
        <v>148</v>
      </c>
      <c r="C195" s="17">
        <v>20200513</v>
      </c>
      <c r="D195" s="16" t="s">
        <v>2</v>
      </c>
      <c r="E195" s="92" t="s">
        <v>746</v>
      </c>
      <c r="F195" s="18" t="s">
        <v>61</v>
      </c>
      <c r="G195" s="92">
        <v>1435036</v>
      </c>
      <c r="H195" s="57" t="s">
        <v>61</v>
      </c>
      <c r="I195" s="92" t="s">
        <v>774</v>
      </c>
      <c r="J195" s="57" t="s">
        <v>61</v>
      </c>
      <c r="K195" s="16" t="s">
        <v>161</v>
      </c>
      <c r="L195" s="16">
        <v>81377</v>
      </c>
      <c r="M195" s="16" t="s">
        <v>747</v>
      </c>
      <c r="N195" s="16" t="s">
        <v>775</v>
      </c>
      <c r="O195" s="86" t="s">
        <v>776</v>
      </c>
      <c r="P195" s="86" t="s">
        <v>777</v>
      </c>
      <c r="Q195" s="19"/>
      <c r="R195" s="57" t="s">
        <v>61</v>
      </c>
      <c r="S195" s="16" t="s">
        <v>67</v>
      </c>
      <c r="T195" s="16"/>
      <c r="U195" s="16"/>
      <c r="V195" s="16">
        <v>40</v>
      </c>
      <c r="W195" s="16">
        <f>V195</f>
        <v>40</v>
      </c>
      <c r="X195" s="16">
        <f t="shared" si="36"/>
        <v>40</v>
      </c>
      <c r="Y195" s="16">
        <f>ROUNDDOWN(W195/HLOOKUP(D195,Table!$C$3:$D$4,2,0)*8,2)</f>
        <v>2.46</v>
      </c>
      <c r="Z195" s="16">
        <v>2</v>
      </c>
      <c r="AA195" s="16" t="s">
        <v>74</v>
      </c>
      <c r="AB195" s="20">
        <v>43964</v>
      </c>
      <c r="AC195" s="20">
        <v>43964</v>
      </c>
      <c r="AD195" s="20">
        <v>43966</v>
      </c>
      <c r="AE195" s="20">
        <v>43964</v>
      </c>
      <c r="AF195" s="20">
        <v>43964</v>
      </c>
      <c r="AG195" s="20" t="s">
        <v>335</v>
      </c>
      <c r="AH195" s="32">
        <v>1</v>
      </c>
      <c r="AI195" s="32">
        <v>1</v>
      </c>
      <c r="AJ195" s="32">
        <v>1</v>
      </c>
      <c r="AK195" s="20" t="s">
        <v>165</v>
      </c>
      <c r="AL195" s="16" t="s">
        <v>61</v>
      </c>
      <c r="AM195" s="16" t="s">
        <v>61</v>
      </c>
      <c r="AN195" s="16" t="s">
        <v>61</v>
      </c>
    </row>
    <row r="196" spans="2:40" x14ac:dyDescent="0.25">
      <c r="B196" s="142">
        <f t="shared" si="37"/>
        <v>149</v>
      </c>
      <c r="C196" s="17">
        <v>20200514</v>
      </c>
      <c r="D196" s="16" t="s">
        <v>3</v>
      </c>
      <c r="E196" s="16" t="s">
        <v>784</v>
      </c>
      <c r="F196" s="129" t="s">
        <v>1038</v>
      </c>
      <c r="G196" s="18">
        <v>1433776</v>
      </c>
      <c r="H196" s="57" t="s">
        <v>61</v>
      </c>
      <c r="I196" s="16" t="s">
        <v>1039</v>
      </c>
      <c r="J196" s="57" t="s">
        <v>61</v>
      </c>
      <c r="K196" s="16" t="s">
        <v>161</v>
      </c>
      <c r="L196" s="16" t="s">
        <v>786</v>
      </c>
      <c r="M196" s="150" t="s">
        <v>1040</v>
      </c>
      <c r="N196" s="144" t="s">
        <v>823</v>
      </c>
      <c r="O196" s="18" t="s">
        <v>61</v>
      </c>
      <c r="P196" s="18" t="s">
        <v>816</v>
      </c>
      <c r="Q196" s="19"/>
      <c r="R196" s="57" t="s">
        <v>61</v>
      </c>
      <c r="S196" s="16" t="s">
        <v>65</v>
      </c>
      <c r="T196" s="16"/>
      <c r="U196" s="16"/>
      <c r="V196" s="16">
        <v>30</v>
      </c>
      <c r="W196" s="16">
        <f t="shared" ref="W196:W227" si="38">V196</f>
        <v>30</v>
      </c>
      <c r="X196" s="16">
        <f t="shared" ref="X196:X201" si="39">W196</f>
        <v>30</v>
      </c>
      <c r="Y196" s="16">
        <f>ROUNDDOWN(W196/HLOOKUP(D196,Table!$C$3:$D$4,2,0)*8,2)</f>
        <v>0.53</v>
      </c>
      <c r="Z196" s="16">
        <v>1</v>
      </c>
      <c r="AA196" s="16" t="s">
        <v>21</v>
      </c>
      <c r="AB196" s="20">
        <v>43970</v>
      </c>
      <c r="AC196" s="20">
        <v>43965</v>
      </c>
      <c r="AD196" s="20">
        <v>43970</v>
      </c>
      <c r="AE196" s="20">
        <v>43969</v>
      </c>
      <c r="AF196" s="20">
        <v>43969</v>
      </c>
      <c r="AG196" s="20" t="s">
        <v>335</v>
      </c>
      <c r="AH196" s="32">
        <v>1</v>
      </c>
      <c r="AI196" s="32">
        <v>1</v>
      </c>
      <c r="AJ196" s="32">
        <v>1</v>
      </c>
      <c r="AK196" s="20" t="s">
        <v>165</v>
      </c>
      <c r="AL196" s="16"/>
      <c r="AM196" s="16"/>
      <c r="AN196" s="113" t="s">
        <v>1041</v>
      </c>
    </row>
    <row r="197" spans="2:40" x14ac:dyDescent="0.25">
      <c r="B197" s="142">
        <f t="shared" si="37"/>
        <v>150</v>
      </c>
      <c r="C197" s="17">
        <v>20200514</v>
      </c>
      <c r="D197" s="16" t="s">
        <v>3</v>
      </c>
      <c r="E197" s="16" t="s">
        <v>784</v>
      </c>
      <c r="F197" s="80" t="s">
        <v>825</v>
      </c>
      <c r="G197" s="18">
        <v>1433776</v>
      </c>
      <c r="H197" s="57" t="s">
        <v>61</v>
      </c>
      <c r="I197" s="16" t="s">
        <v>790</v>
      </c>
      <c r="J197" s="57" t="s">
        <v>61</v>
      </c>
      <c r="K197" s="16" t="s">
        <v>161</v>
      </c>
      <c r="L197" s="16" t="s">
        <v>786</v>
      </c>
      <c r="M197" s="150" t="s">
        <v>1040</v>
      </c>
      <c r="N197" s="144" t="s">
        <v>823</v>
      </c>
      <c r="O197" s="18" t="s">
        <v>61</v>
      </c>
      <c r="P197" s="18" t="s">
        <v>816</v>
      </c>
      <c r="Q197" s="19"/>
      <c r="R197" s="57" t="s">
        <v>61</v>
      </c>
      <c r="S197" s="16" t="s">
        <v>65</v>
      </c>
      <c r="T197" s="16"/>
      <c r="U197" s="16"/>
      <c r="V197" s="16">
        <v>280</v>
      </c>
      <c r="W197" s="16">
        <f t="shared" si="38"/>
        <v>280</v>
      </c>
      <c r="X197" s="16">
        <f t="shared" si="39"/>
        <v>280</v>
      </c>
      <c r="Y197" s="16">
        <f>ROUNDDOWN(W197/HLOOKUP(D197,Table!$C$3:$D$4,2,0)*8,2)</f>
        <v>4.97</v>
      </c>
      <c r="Z197" s="16">
        <v>1</v>
      </c>
      <c r="AA197" s="16" t="s">
        <v>21</v>
      </c>
      <c r="AB197" s="20">
        <v>43970</v>
      </c>
      <c r="AC197" s="20">
        <v>43965</v>
      </c>
      <c r="AD197" s="20">
        <v>43970</v>
      </c>
      <c r="AE197" s="20">
        <v>43969</v>
      </c>
      <c r="AF197" s="20">
        <v>43969</v>
      </c>
      <c r="AG197" s="20" t="s">
        <v>335</v>
      </c>
      <c r="AH197" s="32">
        <v>1</v>
      </c>
      <c r="AI197" s="32">
        <v>1</v>
      </c>
      <c r="AJ197" s="32">
        <v>1</v>
      </c>
      <c r="AK197" s="20" t="s">
        <v>165</v>
      </c>
      <c r="AL197" s="16"/>
      <c r="AM197" s="16"/>
      <c r="AN197" s="16"/>
    </row>
    <row r="198" spans="2:40" x14ac:dyDescent="0.25">
      <c r="B198" s="142">
        <f t="shared" si="37"/>
        <v>151</v>
      </c>
      <c r="C198" s="17">
        <v>20200514</v>
      </c>
      <c r="D198" s="16" t="s">
        <v>3</v>
      </c>
      <c r="E198" s="16" t="s">
        <v>784</v>
      </c>
      <c r="F198" s="80" t="s">
        <v>826</v>
      </c>
      <c r="G198" s="18">
        <v>1433776</v>
      </c>
      <c r="H198" s="57" t="s">
        <v>61</v>
      </c>
      <c r="I198" s="16" t="s">
        <v>791</v>
      </c>
      <c r="J198" s="57" t="s">
        <v>61</v>
      </c>
      <c r="K198" s="16" t="s">
        <v>161</v>
      </c>
      <c r="L198" s="16" t="s">
        <v>786</v>
      </c>
      <c r="M198" s="150" t="s">
        <v>1040</v>
      </c>
      <c r="N198" s="144" t="s">
        <v>823</v>
      </c>
      <c r="O198" s="18" t="s">
        <v>61</v>
      </c>
      <c r="P198" s="18" t="s">
        <v>816</v>
      </c>
      <c r="Q198" s="19"/>
      <c r="R198" s="57" t="s">
        <v>61</v>
      </c>
      <c r="S198" s="16" t="s">
        <v>65</v>
      </c>
      <c r="T198" s="16"/>
      <c r="U198" s="16"/>
      <c r="V198" s="16">
        <v>239</v>
      </c>
      <c r="W198" s="16">
        <f t="shared" si="38"/>
        <v>239</v>
      </c>
      <c r="X198" s="16">
        <f t="shared" si="39"/>
        <v>239</v>
      </c>
      <c r="Y198" s="16">
        <f>ROUNDDOWN(W198/HLOOKUP(D198,Table!$C$3:$D$4,2,0)*8,2)</f>
        <v>4.24</v>
      </c>
      <c r="Z198" s="16">
        <v>1</v>
      </c>
      <c r="AA198" s="16" t="s">
        <v>21</v>
      </c>
      <c r="AB198" s="20">
        <v>43970</v>
      </c>
      <c r="AC198" s="20">
        <v>43965</v>
      </c>
      <c r="AD198" s="20">
        <v>43970</v>
      </c>
      <c r="AE198" s="20">
        <v>43969</v>
      </c>
      <c r="AF198" s="20">
        <v>43969</v>
      </c>
      <c r="AG198" s="20" t="s">
        <v>335</v>
      </c>
      <c r="AH198" s="32">
        <v>1</v>
      </c>
      <c r="AI198" s="32">
        <v>1</v>
      </c>
      <c r="AJ198" s="32">
        <v>1</v>
      </c>
      <c r="AK198" s="20" t="s">
        <v>165</v>
      </c>
      <c r="AL198" s="16"/>
      <c r="AM198" s="16"/>
      <c r="AN198" s="16"/>
    </row>
    <row r="199" spans="2:40" x14ac:dyDescent="0.25">
      <c r="B199" s="142">
        <f t="shared" si="37"/>
        <v>152</v>
      </c>
      <c r="C199" s="17">
        <v>20200514</v>
      </c>
      <c r="D199" s="16" t="s">
        <v>3</v>
      </c>
      <c r="E199" s="16" t="s">
        <v>784</v>
      </c>
      <c r="F199" s="80" t="s">
        <v>827</v>
      </c>
      <c r="G199" s="18">
        <v>1433776</v>
      </c>
      <c r="H199" s="57" t="s">
        <v>61</v>
      </c>
      <c r="I199" s="16" t="s">
        <v>491</v>
      </c>
      <c r="J199" s="57" t="s">
        <v>61</v>
      </c>
      <c r="K199" s="16" t="s">
        <v>161</v>
      </c>
      <c r="L199" s="16" t="s">
        <v>786</v>
      </c>
      <c r="M199" s="150" t="s">
        <v>1040</v>
      </c>
      <c r="N199" s="144" t="s">
        <v>823</v>
      </c>
      <c r="O199" s="18" t="s">
        <v>61</v>
      </c>
      <c r="P199" s="18" t="s">
        <v>816</v>
      </c>
      <c r="Q199" s="19"/>
      <c r="R199" s="57" t="s">
        <v>61</v>
      </c>
      <c r="S199" s="16" t="s">
        <v>65</v>
      </c>
      <c r="T199" s="16"/>
      <c r="U199" s="16"/>
      <c r="V199" s="16">
        <v>220</v>
      </c>
      <c r="W199" s="16">
        <f t="shared" si="38"/>
        <v>220</v>
      </c>
      <c r="X199" s="16">
        <f t="shared" si="39"/>
        <v>220</v>
      </c>
      <c r="Y199" s="16">
        <f>ROUNDDOWN(W199/HLOOKUP(D199,Table!$C$3:$D$4,2,0)*8,2)</f>
        <v>3.91</v>
      </c>
      <c r="Z199" s="16">
        <v>1</v>
      </c>
      <c r="AA199" s="16" t="s">
        <v>21</v>
      </c>
      <c r="AB199" s="20">
        <v>43970</v>
      </c>
      <c r="AC199" s="20">
        <v>43965</v>
      </c>
      <c r="AD199" s="20">
        <v>43970</v>
      </c>
      <c r="AE199" s="20">
        <v>43969</v>
      </c>
      <c r="AF199" s="20">
        <v>43969</v>
      </c>
      <c r="AG199" s="20" t="s">
        <v>335</v>
      </c>
      <c r="AH199" s="32">
        <v>1</v>
      </c>
      <c r="AI199" s="32">
        <v>1</v>
      </c>
      <c r="AJ199" s="32">
        <v>1</v>
      </c>
      <c r="AK199" s="20" t="s">
        <v>165</v>
      </c>
      <c r="AL199" s="16"/>
      <c r="AM199" s="16"/>
      <c r="AN199" s="16"/>
    </row>
    <row r="200" spans="2:40" x14ac:dyDescent="0.25">
      <c r="B200" s="142">
        <f t="shared" si="37"/>
        <v>153</v>
      </c>
      <c r="C200" s="17">
        <v>20200514</v>
      </c>
      <c r="D200" s="16" t="s">
        <v>3</v>
      </c>
      <c r="E200" s="16" t="s">
        <v>784</v>
      </c>
      <c r="F200" s="80" t="s">
        <v>828</v>
      </c>
      <c r="G200" s="18">
        <v>1433776</v>
      </c>
      <c r="H200" s="57" t="s">
        <v>61</v>
      </c>
      <c r="I200" s="16" t="s">
        <v>792</v>
      </c>
      <c r="J200" s="57" t="s">
        <v>61</v>
      </c>
      <c r="K200" s="16" t="s">
        <v>161</v>
      </c>
      <c r="L200" s="16" t="s">
        <v>786</v>
      </c>
      <c r="M200" s="150" t="s">
        <v>1040</v>
      </c>
      <c r="N200" s="144" t="s">
        <v>823</v>
      </c>
      <c r="O200" s="18" t="s">
        <v>61</v>
      </c>
      <c r="P200" s="18" t="s">
        <v>816</v>
      </c>
      <c r="Q200" s="19"/>
      <c r="R200" s="57" t="s">
        <v>61</v>
      </c>
      <c r="S200" s="16" t="s">
        <v>65</v>
      </c>
      <c r="T200" s="16"/>
      <c r="U200" s="16"/>
      <c r="V200" s="16">
        <v>42</v>
      </c>
      <c r="W200" s="16">
        <f t="shared" si="38"/>
        <v>42</v>
      </c>
      <c r="X200" s="16">
        <f t="shared" si="39"/>
        <v>42</v>
      </c>
      <c r="Y200" s="16">
        <f>ROUNDDOWN(W200/HLOOKUP(D200,Table!$C$3:$D$4,2,0)*8,2)</f>
        <v>0.74</v>
      </c>
      <c r="Z200" s="16">
        <v>1</v>
      </c>
      <c r="AA200" s="16" t="s">
        <v>21</v>
      </c>
      <c r="AB200" s="20">
        <v>43970</v>
      </c>
      <c r="AC200" s="20">
        <v>43965</v>
      </c>
      <c r="AD200" s="20">
        <v>43970</v>
      </c>
      <c r="AE200" s="20">
        <v>43969</v>
      </c>
      <c r="AF200" s="20">
        <v>43969</v>
      </c>
      <c r="AG200" s="20" t="s">
        <v>335</v>
      </c>
      <c r="AH200" s="32">
        <v>1</v>
      </c>
      <c r="AI200" s="32">
        <v>1</v>
      </c>
      <c r="AJ200" s="32">
        <v>1</v>
      </c>
      <c r="AK200" s="20" t="s">
        <v>165</v>
      </c>
      <c r="AL200" s="16"/>
      <c r="AM200" s="16"/>
      <c r="AN200" s="16"/>
    </row>
    <row r="201" spans="2:40" x14ac:dyDescent="0.25">
      <c r="B201" s="142">
        <f t="shared" si="37"/>
        <v>154</v>
      </c>
      <c r="C201" s="17">
        <v>20200514</v>
      </c>
      <c r="D201" s="16" t="s">
        <v>3</v>
      </c>
      <c r="E201" s="16" t="s">
        <v>784</v>
      </c>
      <c r="F201" s="80" t="s">
        <v>829</v>
      </c>
      <c r="G201" s="18">
        <v>1433776</v>
      </c>
      <c r="H201" s="57" t="s">
        <v>61</v>
      </c>
      <c r="I201" s="16" t="s">
        <v>793</v>
      </c>
      <c r="J201" s="57" t="s">
        <v>61</v>
      </c>
      <c r="K201" s="16" t="s">
        <v>161</v>
      </c>
      <c r="L201" s="16" t="s">
        <v>786</v>
      </c>
      <c r="M201" s="150" t="s">
        <v>1040</v>
      </c>
      <c r="N201" s="144" t="s">
        <v>823</v>
      </c>
      <c r="O201" s="18" t="s">
        <v>61</v>
      </c>
      <c r="P201" s="18" t="s">
        <v>816</v>
      </c>
      <c r="Q201" s="19"/>
      <c r="R201" s="57" t="s">
        <v>61</v>
      </c>
      <c r="S201" s="16" t="s">
        <v>65</v>
      </c>
      <c r="T201" s="16"/>
      <c r="U201" s="16"/>
      <c r="V201" s="16">
        <v>91</v>
      </c>
      <c r="W201" s="16">
        <f t="shared" si="38"/>
        <v>91</v>
      </c>
      <c r="X201" s="16">
        <f t="shared" si="39"/>
        <v>91</v>
      </c>
      <c r="Y201" s="16">
        <f>ROUNDDOWN(W201/HLOOKUP(D201,Table!$C$3:$D$4,2,0)*8,2)</f>
        <v>1.61</v>
      </c>
      <c r="Z201" s="16">
        <v>1</v>
      </c>
      <c r="AA201" s="16" t="s">
        <v>21</v>
      </c>
      <c r="AB201" s="20">
        <v>43970</v>
      </c>
      <c r="AC201" s="20">
        <v>43965</v>
      </c>
      <c r="AD201" s="20">
        <v>43970</v>
      </c>
      <c r="AE201" s="20">
        <v>43969</v>
      </c>
      <c r="AF201" s="20">
        <v>43969</v>
      </c>
      <c r="AG201" s="20" t="s">
        <v>335</v>
      </c>
      <c r="AH201" s="32">
        <v>1</v>
      </c>
      <c r="AI201" s="32">
        <v>1</v>
      </c>
      <c r="AJ201" s="32">
        <v>1</v>
      </c>
      <c r="AK201" s="20" t="s">
        <v>165</v>
      </c>
      <c r="AL201" s="16"/>
      <c r="AM201" s="16"/>
      <c r="AN201" s="16"/>
    </row>
    <row r="202" spans="2:40" x14ac:dyDescent="0.25">
      <c r="B202" s="142">
        <f t="shared" si="37"/>
        <v>155</v>
      </c>
      <c r="C202" s="17">
        <v>20200514</v>
      </c>
      <c r="D202" s="16" t="s">
        <v>3</v>
      </c>
      <c r="E202" s="16" t="s">
        <v>785</v>
      </c>
      <c r="F202" s="80" t="s">
        <v>830</v>
      </c>
      <c r="G202" s="18">
        <v>1468187</v>
      </c>
      <c r="H202" s="57" t="s">
        <v>61</v>
      </c>
      <c r="I202" s="16" t="s">
        <v>794</v>
      </c>
      <c r="J202" s="57" t="s">
        <v>61</v>
      </c>
      <c r="K202" s="16" t="s">
        <v>161</v>
      </c>
      <c r="L202" s="16" t="s">
        <v>787</v>
      </c>
      <c r="M202" s="16" t="s">
        <v>788</v>
      </c>
      <c r="N202" s="16" t="s">
        <v>815</v>
      </c>
      <c r="O202" s="18" t="s">
        <v>61</v>
      </c>
      <c r="P202" s="18" t="s">
        <v>817</v>
      </c>
      <c r="Q202" s="19"/>
      <c r="R202" s="57" t="s">
        <v>61</v>
      </c>
      <c r="S202" s="16" t="s">
        <v>65</v>
      </c>
      <c r="T202" s="16"/>
      <c r="U202" s="16"/>
      <c r="V202" s="16">
        <v>116</v>
      </c>
      <c r="W202" s="16">
        <f t="shared" si="38"/>
        <v>116</v>
      </c>
      <c r="X202" s="16">
        <f>W202</f>
        <v>116</v>
      </c>
      <c r="Y202" s="16">
        <f>ROUNDDOWN(W202/HLOOKUP(D202,Table!$C$3:$D$4,2,0)*8,2)</f>
        <v>2.06</v>
      </c>
      <c r="Z202" s="16">
        <v>1</v>
      </c>
      <c r="AA202" s="16" t="s">
        <v>21</v>
      </c>
      <c r="AB202" s="20">
        <v>43970</v>
      </c>
      <c r="AC202" s="20">
        <v>43965</v>
      </c>
      <c r="AD202" s="20">
        <v>43970</v>
      </c>
      <c r="AE202" s="20">
        <v>43969</v>
      </c>
      <c r="AF202" s="20">
        <v>43969</v>
      </c>
      <c r="AG202" s="20" t="s">
        <v>335</v>
      </c>
      <c r="AH202" s="32">
        <v>1</v>
      </c>
      <c r="AI202" s="32">
        <v>1</v>
      </c>
      <c r="AJ202" s="32">
        <v>1</v>
      </c>
      <c r="AK202" s="20" t="s">
        <v>165</v>
      </c>
      <c r="AL202" s="16"/>
      <c r="AM202" s="16"/>
      <c r="AN202" s="16"/>
    </row>
    <row r="203" spans="2:40" x14ac:dyDescent="0.25">
      <c r="B203" s="142">
        <f t="shared" si="37"/>
        <v>156</v>
      </c>
      <c r="C203" s="17">
        <v>20200514</v>
      </c>
      <c r="D203" s="16" t="s">
        <v>3</v>
      </c>
      <c r="E203" s="16" t="s">
        <v>785</v>
      </c>
      <c r="F203" s="80" t="s">
        <v>831</v>
      </c>
      <c r="G203" s="18">
        <v>1468187</v>
      </c>
      <c r="H203" s="57" t="s">
        <v>61</v>
      </c>
      <c r="I203" s="16" t="s">
        <v>795</v>
      </c>
      <c r="J203" s="57" t="s">
        <v>61</v>
      </c>
      <c r="K203" s="16" t="s">
        <v>161</v>
      </c>
      <c r="L203" s="16" t="s">
        <v>787</v>
      </c>
      <c r="M203" s="16" t="s">
        <v>788</v>
      </c>
      <c r="N203" s="16" t="s">
        <v>815</v>
      </c>
      <c r="O203" s="18" t="s">
        <v>61</v>
      </c>
      <c r="P203" s="18" t="s">
        <v>817</v>
      </c>
      <c r="Q203" s="19"/>
      <c r="R203" s="57" t="s">
        <v>61</v>
      </c>
      <c r="S203" s="16" t="s">
        <v>65</v>
      </c>
      <c r="T203" s="16"/>
      <c r="U203" s="16"/>
      <c r="V203" s="16">
        <v>132</v>
      </c>
      <c r="W203" s="16">
        <f t="shared" si="38"/>
        <v>132</v>
      </c>
      <c r="X203" s="16">
        <f>W203</f>
        <v>132</v>
      </c>
      <c r="Y203" s="16">
        <f>ROUNDDOWN(W203/HLOOKUP(D203,Table!$C$3:$D$4,2,0)*8,2)</f>
        <v>2.34</v>
      </c>
      <c r="Z203" s="16">
        <v>0.5</v>
      </c>
      <c r="AA203" s="16" t="s">
        <v>21</v>
      </c>
      <c r="AB203" s="20">
        <v>43970</v>
      </c>
      <c r="AC203" s="20">
        <v>43965</v>
      </c>
      <c r="AD203" s="20">
        <v>43970</v>
      </c>
      <c r="AE203" s="20">
        <v>43969</v>
      </c>
      <c r="AF203" s="20">
        <v>43969</v>
      </c>
      <c r="AG203" s="20" t="s">
        <v>335</v>
      </c>
      <c r="AH203" s="32">
        <v>1</v>
      </c>
      <c r="AI203" s="32">
        <v>1</v>
      </c>
      <c r="AJ203" s="32">
        <v>1</v>
      </c>
      <c r="AK203" s="20" t="s">
        <v>165</v>
      </c>
      <c r="AL203" s="16"/>
      <c r="AM203" s="16"/>
      <c r="AN203" s="16"/>
    </row>
    <row r="204" spans="2:40" x14ac:dyDescent="0.25">
      <c r="B204" s="142">
        <f t="shared" si="37"/>
        <v>157</v>
      </c>
      <c r="C204" s="17">
        <v>20200514</v>
      </c>
      <c r="D204" s="16" t="s">
        <v>3</v>
      </c>
      <c r="E204" s="16" t="s">
        <v>785</v>
      </c>
      <c r="F204" s="80" t="s">
        <v>832</v>
      </c>
      <c r="G204" s="18">
        <v>1468187</v>
      </c>
      <c r="H204" s="57" t="s">
        <v>61</v>
      </c>
      <c r="I204" s="16" t="s">
        <v>796</v>
      </c>
      <c r="J204" s="57" t="s">
        <v>61</v>
      </c>
      <c r="K204" s="16" t="s">
        <v>161</v>
      </c>
      <c r="L204" s="16" t="s">
        <v>787</v>
      </c>
      <c r="M204" s="16" t="s">
        <v>788</v>
      </c>
      <c r="N204" s="16" t="s">
        <v>815</v>
      </c>
      <c r="O204" s="18" t="s">
        <v>61</v>
      </c>
      <c r="P204" s="18" t="s">
        <v>817</v>
      </c>
      <c r="Q204" s="19"/>
      <c r="R204" s="57" t="s">
        <v>61</v>
      </c>
      <c r="S204" s="16" t="s">
        <v>65</v>
      </c>
      <c r="T204" s="16"/>
      <c r="U204" s="16"/>
      <c r="V204" s="16">
        <v>162</v>
      </c>
      <c r="W204" s="16">
        <f t="shared" si="38"/>
        <v>162</v>
      </c>
      <c r="X204" s="16">
        <f>W204</f>
        <v>162</v>
      </c>
      <c r="Y204" s="16">
        <f>ROUNDDOWN(W204/HLOOKUP(D204,Table!$C$3:$D$4,2,0)*8,2)</f>
        <v>2.88</v>
      </c>
      <c r="Z204" s="16">
        <v>0.5</v>
      </c>
      <c r="AA204" s="16" t="s">
        <v>21</v>
      </c>
      <c r="AB204" s="20">
        <v>43970</v>
      </c>
      <c r="AC204" s="20">
        <v>43965</v>
      </c>
      <c r="AD204" s="20">
        <v>43970</v>
      </c>
      <c r="AE204" s="20">
        <v>43969</v>
      </c>
      <c r="AF204" s="20">
        <v>43969</v>
      </c>
      <c r="AG204" s="20" t="s">
        <v>335</v>
      </c>
      <c r="AH204" s="32">
        <v>1</v>
      </c>
      <c r="AI204" s="32">
        <v>1</v>
      </c>
      <c r="AJ204" s="32">
        <v>1</v>
      </c>
      <c r="AK204" s="20" t="s">
        <v>165</v>
      </c>
      <c r="AL204" s="16"/>
      <c r="AM204" s="16"/>
      <c r="AN204" s="16"/>
    </row>
    <row r="205" spans="2:40" x14ac:dyDescent="0.25">
      <c r="B205" s="142">
        <f t="shared" si="37"/>
        <v>158</v>
      </c>
      <c r="C205" s="17">
        <v>20200514</v>
      </c>
      <c r="D205" s="16" t="s">
        <v>3</v>
      </c>
      <c r="E205" s="16" t="s">
        <v>785</v>
      </c>
      <c r="F205" s="80" t="s">
        <v>833</v>
      </c>
      <c r="G205" s="18">
        <v>1468187</v>
      </c>
      <c r="H205" s="57" t="s">
        <v>61</v>
      </c>
      <c r="I205" s="16" t="s">
        <v>797</v>
      </c>
      <c r="J205" s="57" t="s">
        <v>61</v>
      </c>
      <c r="K205" s="16" t="s">
        <v>161</v>
      </c>
      <c r="L205" s="16" t="s">
        <v>787</v>
      </c>
      <c r="M205" s="16" t="s">
        <v>788</v>
      </c>
      <c r="N205" s="16" t="s">
        <v>815</v>
      </c>
      <c r="O205" s="18" t="s">
        <v>61</v>
      </c>
      <c r="P205" s="18" t="s">
        <v>817</v>
      </c>
      <c r="Q205" s="19"/>
      <c r="R205" s="57" t="s">
        <v>61</v>
      </c>
      <c r="S205" s="16" t="s">
        <v>65</v>
      </c>
      <c r="T205" s="16"/>
      <c r="U205" s="16"/>
      <c r="V205" s="16">
        <v>72</v>
      </c>
      <c r="W205" s="16">
        <f t="shared" si="38"/>
        <v>72</v>
      </c>
      <c r="X205" s="16">
        <f>W205</f>
        <v>72</v>
      </c>
      <c r="Y205" s="16">
        <f>ROUNDDOWN(W205/HLOOKUP(D205,Table!$C$3:$D$4,2,0)*8,2)</f>
        <v>1.28</v>
      </c>
      <c r="Z205" s="16">
        <v>0.5</v>
      </c>
      <c r="AA205" s="16" t="s">
        <v>21</v>
      </c>
      <c r="AB205" s="20">
        <v>43970</v>
      </c>
      <c r="AC205" s="20">
        <v>43965</v>
      </c>
      <c r="AD205" s="20">
        <v>43970</v>
      </c>
      <c r="AE205" s="20">
        <v>43969</v>
      </c>
      <c r="AF205" s="20">
        <v>43969</v>
      </c>
      <c r="AG205" s="20" t="s">
        <v>335</v>
      </c>
      <c r="AH205" s="32">
        <v>1</v>
      </c>
      <c r="AI205" s="32">
        <v>1</v>
      </c>
      <c r="AJ205" s="32">
        <v>1</v>
      </c>
      <c r="AK205" s="20" t="s">
        <v>165</v>
      </c>
      <c r="AL205" s="16"/>
      <c r="AM205" s="16"/>
      <c r="AN205" s="16"/>
    </row>
    <row r="206" spans="2:40" x14ac:dyDescent="0.25">
      <c r="B206" s="142">
        <f t="shared" si="37"/>
        <v>159</v>
      </c>
      <c r="C206" s="17">
        <v>20200514</v>
      </c>
      <c r="D206" s="16" t="s">
        <v>3</v>
      </c>
      <c r="E206" s="16" t="s">
        <v>785</v>
      </c>
      <c r="F206" s="80" t="s">
        <v>834</v>
      </c>
      <c r="G206" s="18">
        <v>1468172</v>
      </c>
      <c r="H206" s="57" t="s">
        <v>61</v>
      </c>
      <c r="I206" s="16" t="s">
        <v>798</v>
      </c>
      <c r="J206" s="57" t="s">
        <v>61</v>
      </c>
      <c r="K206" s="16" t="s">
        <v>161</v>
      </c>
      <c r="L206" s="16" t="s">
        <v>165</v>
      </c>
      <c r="M206" s="16" t="s">
        <v>788</v>
      </c>
      <c r="N206" s="16" t="s">
        <v>815</v>
      </c>
      <c r="O206" s="18" t="s">
        <v>61</v>
      </c>
      <c r="P206" s="18" t="s">
        <v>818</v>
      </c>
      <c r="Q206" s="19"/>
      <c r="R206" s="57" t="s">
        <v>61</v>
      </c>
      <c r="S206" s="16" t="s">
        <v>70</v>
      </c>
      <c r="T206" s="16"/>
      <c r="U206" s="16"/>
      <c r="V206" s="16">
        <v>51</v>
      </c>
      <c r="W206" s="16">
        <f t="shared" si="38"/>
        <v>51</v>
      </c>
      <c r="X206" s="16">
        <f t="shared" ref="X206:X214" si="40">W206</f>
        <v>51</v>
      </c>
      <c r="Y206" s="16">
        <f>ROUNDDOWN(W206/HLOOKUP(D206,Table!$C$3:$D$4,2,0)*8,2)</f>
        <v>0.9</v>
      </c>
      <c r="Z206" s="16">
        <v>0.5</v>
      </c>
      <c r="AA206" s="16" t="s">
        <v>21</v>
      </c>
      <c r="AB206" s="20">
        <v>43970</v>
      </c>
      <c r="AC206" s="20">
        <v>43965</v>
      </c>
      <c r="AD206" s="20">
        <v>43970</v>
      </c>
      <c r="AE206" s="20">
        <v>43969</v>
      </c>
      <c r="AF206" s="20">
        <v>43969</v>
      </c>
      <c r="AG206" s="20" t="s">
        <v>335</v>
      </c>
      <c r="AH206" s="32">
        <v>1</v>
      </c>
      <c r="AI206" s="32">
        <v>1</v>
      </c>
      <c r="AJ206" s="32">
        <v>1</v>
      </c>
      <c r="AK206" s="20" t="s">
        <v>165</v>
      </c>
      <c r="AL206" s="16" t="s">
        <v>61</v>
      </c>
      <c r="AM206" s="16" t="s">
        <v>61</v>
      </c>
      <c r="AN206" s="16" t="s">
        <v>61</v>
      </c>
    </row>
    <row r="207" spans="2:40" x14ac:dyDescent="0.25">
      <c r="B207" s="142">
        <f t="shared" si="37"/>
        <v>160</v>
      </c>
      <c r="C207" s="17">
        <v>20200514</v>
      </c>
      <c r="D207" s="16" t="s">
        <v>3</v>
      </c>
      <c r="E207" s="16" t="s">
        <v>785</v>
      </c>
      <c r="F207" s="80" t="s">
        <v>835</v>
      </c>
      <c r="G207" s="18">
        <v>1468172</v>
      </c>
      <c r="H207" s="57" t="s">
        <v>61</v>
      </c>
      <c r="I207" s="16" t="s">
        <v>799</v>
      </c>
      <c r="J207" s="57" t="s">
        <v>61</v>
      </c>
      <c r="K207" s="16" t="s">
        <v>161</v>
      </c>
      <c r="L207" s="16" t="s">
        <v>165</v>
      </c>
      <c r="M207" s="16" t="s">
        <v>788</v>
      </c>
      <c r="N207" s="16" t="s">
        <v>815</v>
      </c>
      <c r="O207" s="18" t="s">
        <v>61</v>
      </c>
      <c r="P207" s="18" t="s">
        <v>818</v>
      </c>
      <c r="Q207" s="19"/>
      <c r="R207" s="57" t="s">
        <v>61</v>
      </c>
      <c r="S207" s="16" t="s">
        <v>70</v>
      </c>
      <c r="T207" s="16"/>
      <c r="U207" s="16"/>
      <c r="V207" s="16">
        <v>109</v>
      </c>
      <c r="W207" s="16">
        <f t="shared" si="38"/>
        <v>109</v>
      </c>
      <c r="X207" s="16">
        <f t="shared" si="40"/>
        <v>109</v>
      </c>
      <c r="Y207" s="16">
        <f>ROUNDDOWN(W207/HLOOKUP(D207,Table!$C$3:$D$4,2,0)*8,2)</f>
        <v>1.93</v>
      </c>
      <c r="Z207" s="16">
        <v>0.5</v>
      </c>
      <c r="AA207" s="16" t="s">
        <v>21</v>
      </c>
      <c r="AB207" s="20">
        <v>43970</v>
      </c>
      <c r="AC207" s="20">
        <v>43965</v>
      </c>
      <c r="AD207" s="20">
        <v>43970</v>
      </c>
      <c r="AE207" s="20">
        <v>43969</v>
      </c>
      <c r="AF207" s="20">
        <v>43969</v>
      </c>
      <c r="AG207" s="20" t="s">
        <v>335</v>
      </c>
      <c r="AH207" s="32">
        <v>1</v>
      </c>
      <c r="AI207" s="32">
        <v>1</v>
      </c>
      <c r="AJ207" s="32">
        <v>1</v>
      </c>
      <c r="AK207" s="20" t="s">
        <v>165</v>
      </c>
      <c r="AL207" s="16" t="s">
        <v>61</v>
      </c>
      <c r="AM207" s="16" t="s">
        <v>61</v>
      </c>
      <c r="AN207" s="16" t="s">
        <v>61</v>
      </c>
    </row>
    <row r="208" spans="2:40" x14ac:dyDescent="0.25">
      <c r="B208" s="142">
        <f t="shared" si="37"/>
        <v>161</v>
      </c>
      <c r="C208" s="17">
        <v>20200514</v>
      </c>
      <c r="D208" s="16" t="s">
        <v>3</v>
      </c>
      <c r="E208" s="16" t="s">
        <v>785</v>
      </c>
      <c r="F208" s="80" t="s">
        <v>836</v>
      </c>
      <c r="G208" s="18">
        <v>1468172</v>
      </c>
      <c r="H208" s="57" t="s">
        <v>61</v>
      </c>
      <c r="I208" s="16" t="s">
        <v>800</v>
      </c>
      <c r="J208" s="57" t="s">
        <v>61</v>
      </c>
      <c r="K208" s="16" t="s">
        <v>161</v>
      </c>
      <c r="L208" s="16" t="s">
        <v>165</v>
      </c>
      <c r="M208" s="16" t="s">
        <v>788</v>
      </c>
      <c r="N208" s="16" t="s">
        <v>815</v>
      </c>
      <c r="O208" s="18" t="s">
        <v>61</v>
      </c>
      <c r="P208" s="18" t="s">
        <v>818</v>
      </c>
      <c r="Q208" s="19"/>
      <c r="R208" s="57" t="s">
        <v>61</v>
      </c>
      <c r="S208" s="16" t="s">
        <v>70</v>
      </c>
      <c r="T208" s="16"/>
      <c r="U208" s="16"/>
      <c r="V208" s="16">
        <v>64</v>
      </c>
      <c r="W208" s="16">
        <f t="shared" si="38"/>
        <v>64</v>
      </c>
      <c r="X208" s="16">
        <f t="shared" si="40"/>
        <v>64</v>
      </c>
      <c r="Y208" s="16">
        <f>ROUNDDOWN(W208/HLOOKUP(D208,Table!$C$3:$D$4,2,0)*8,2)</f>
        <v>1.1299999999999999</v>
      </c>
      <c r="Z208" s="16">
        <v>0.5</v>
      </c>
      <c r="AA208" s="16" t="s">
        <v>21</v>
      </c>
      <c r="AB208" s="20">
        <v>43970</v>
      </c>
      <c r="AC208" s="20">
        <v>43965</v>
      </c>
      <c r="AD208" s="20">
        <v>43970</v>
      </c>
      <c r="AE208" s="20">
        <v>43969</v>
      </c>
      <c r="AF208" s="20">
        <v>43969</v>
      </c>
      <c r="AG208" s="20" t="s">
        <v>336</v>
      </c>
      <c r="AH208" s="32">
        <v>1</v>
      </c>
      <c r="AI208" s="32">
        <v>0.9</v>
      </c>
      <c r="AJ208" s="32">
        <v>1</v>
      </c>
      <c r="AK208" s="20" t="s">
        <v>149</v>
      </c>
      <c r="AL208" s="18" t="s">
        <v>891</v>
      </c>
      <c r="AM208" s="16" t="s">
        <v>61</v>
      </c>
      <c r="AN208" s="18" t="s">
        <v>448</v>
      </c>
    </row>
    <row r="209" spans="2:40" x14ac:dyDescent="0.25">
      <c r="B209" s="142">
        <f t="shared" si="37"/>
        <v>162</v>
      </c>
      <c r="C209" s="17">
        <v>20200514</v>
      </c>
      <c r="D209" s="16" t="s">
        <v>3</v>
      </c>
      <c r="E209" s="16" t="s">
        <v>785</v>
      </c>
      <c r="F209" s="80" t="s">
        <v>837</v>
      </c>
      <c r="G209" s="18">
        <v>1468172</v>
      </c>
      <c r="H209" s="57" t="s">
        <v>61</v>
      </c>
      <c r="I209" s="16" t="s">
        <v>485</v>
      </c>
      <c r="J209" s="57" t="s">
        <v>61</v>
      </c>
      <c r="K209" s="16" t="s">
        <v>161</v>
      </c>
      <c r="L209" s="16" t="s">
        <v>165</v>
      </c>
      <c r="M209" s="16" t="s">
        <v>788</v>
      </c>
      <c r="N209" s="16" t="s">
        <v>815</v>
      </c>
      <c r="O209" s="18" t="s">
        <v>61</v>
      </c>
      <c r="P209" s="18" t="s">
        <v>818</v>
      </c>
      <c r="Q209" s="19"/>
      <c r="R209" s="57" t="s">
        <v>61</v>
      </c>
      <c r="S209" s="16" t="s">
        <v>70</v>
      </c>
      <c r="T209" s="16"/>
      <c r="U209" s="16"/>
      <c r="V209" s="16">
        <v>87</v>
      </c>
      <c r="W209" s="16">
        <f t="shared" si="38"/>
        <v>87</v>
      </c>
      <c r="X209" s="16">
        <f t="shared" si="40"/>
        <v>87</v>
      </c>
      <c r="Y209" s="16">
        <f>ROUNDDOWN(W209/HLOOKUP(D209,Table!$C$3:$D$4,2,0)*8,2)</f>
        <v>1.54</v>
      </c>
      <c r="Z209" s="16">
        <v>0.5</v>
      </c>
      <c r="AA209" s="16" t="s">
        <v>21</v>
      </c>
      <c r="AB209" s="20">
        <v>43970</v>
      </c>
      <c r="AC209" s="20">
        <v>43965</v>
      </c>
      <c r="AD209" s="20">
        <v>43970</v>
      </c>
      <c r="AE209" s="20">
        <v>43969</v>
      </c>
      <c r="AF209" s="20">
        <v>43969</v>
      </c>
      <c r="AG209" s="20" t="s">
        <v>335</v>
      </c>
      <c r="AH209" s="32">
        <v>1</v>
      </c>
      <c r="AI209" s="32">
        <v>1</v>
      </c>
      <c r="AJ209" s="32">
        <v>1</v>
      </c>
      <c r="AK209" s="20" t="s">
        <v>165</v>
      </c>
      <c r="AL209" s="16" t="s">
        <v>61</v>
      </c>
      <c r="AM209" s="16" t="s">
        <v>61</v>
      </c>
      <c r="AN209" s="16" t="s">
        <v>61</v>
      </c>
    </row>
    <row r="210" spans="2:40" x14ac:dyDescent="0.25">
      <c r="B210" s="142">
        <f t="shared" si="37"/>
        <v>163</v>
      </c>
      <c r="C210" s="17">
        <v>20200514</v>
      </c>
      <c r="D210" s="16" t="s">
        <v>3</v>
      </c>
      <c r="E210" s="16" t="s">
        <v>785</v>
      </c>
      <c r="F210" s="80" t="s">
        <v>838</v>
      </c>
      <c r="G210" s="18">
        <v>1468172</v>
      </c>
      <c r="H210" s="57" t="s">
        <v>61</v>
      </c>
      <c r="I210" s="16" t="s">
        <v>801</v>
      </c>
      <c r="J210" s="57" t="s">
        <v>61</v>
      </c>
      <c r="K210" s="16" t="s">
        <v>161</v>
      </c>
      <c r="L210" s="16" t="s">
        <v>165</v>
      </c>
      <c r="M210" s="16" t="s">
        <v>788</v>
      </c>
      <c r="N210" s="16" t="s">
        <v>815</v>
      </c>
      <c r="O210" s="18" t="s">
        <v>61</v>
      </c>
      <c r="P210" s="18" t="s">
        <v>818</v>
      </c>
      <c r="Q210" s="19"/>
      <c r="R210" s="57" t="s">
        <v>61</v>
      </c>
      <c r="S210" s="16" t="s">
        <v>70</v>
      </c>
      <c r="T210" s="16"/>
      <c r="U210" s="16"/>
      <c r="V210" s="16">
        <v>55</v>
      </c>
      <c r="W210" s="16">
        <f t="shared" si="38"/>
        <v>55</v>
      </c>
      <c r="X210" s="16">
        <f t="shared" si="40"/>
        <v>55</v>
      </c>
      <c r="Y210" s="16">
        <f>ROUNDDOWN(W210/HLOOKUP(D210,Table!$C$3:$D$4,2,0)*8,2)</f>
        <v>0.97</v>
      </c>
      <c r="Z210" s="16">
        <v>0.5</v>
      </c>
      <c r="AA210" s="16" t="s">
        <v>21</v>
      </c>
      <c r="AB210" s="20">
        <v>43970</v>
      </c>
      <c r="AC210" s="20">
        <v>43965</v>
      </c>
      <c r="AD210" s="20">
        <v>43970</v>
      </c>
      <c r="AE210" s="20">
        <v>43969</v>
      </c>
      <c r="AF210" s="20">
        <v>43969</v>
      </c>
      <c r="AG210" s="20" t="s">
        <v>335</v>
      </c>
      <c r="AH210" s="32">
        <v>1</v>
      </c>
      <c r="AI210" s="32">
        <v>1</v>
      </c>
      <c r="AJ210" s="32">
        <v>1</v>
      </c>
      <c r="AK210" s="20" t="s">
        <v>165</v>
      </c>
      <c r="AL210" s="16" t="s">
        <v>61</v>
      </c>
      <c r="AM210" s="16" t="s">
        <v>61</v>
      </c>
      <c r="AN210" s="16" t="s">
        <v>61</v>
      </c>
    </row>
    <row r="211" spans="2:40" x14ac:dyDescent="0.25">
      <c r="B211" s="142">
        <f t="shared" si="37"/>
        <v>164</v>
      </c>
      <c r="C211" s="17">
        <v>20200514</v>
      </c>
      <c r="D211" s="16" t="s">
        <v>3</v>
      </c>
      <c r="E211" s="16" t="s">
        <v>785</v>
      </c>
      <c r="F211" s="80" t="s">
        <v>839</v>
      </c>
      <c r="G211" s="18">
        <v>1468172</v>
      </c>
      <c r="H211" s="57" t="s">
        <v>61</v>
      </c>
      <c r="I211" s="16" t="s">
        <v>802</v>
      </c>
      <c r="J211" s="57" t="s">
        <v>61</v>
      </c>
      <c r="K211" s="16" t="s">
        <v>161</v>
      </c>
      <c r="L211" s="16" t="s">
        <v>165</v>
      </c>
      <c r="M211" s="16" t="s">
        <v>788</v>
      </c>
      <c r="N211" s="16" t="s">
        <v>815</v>
      </c>
      <c r="O211" s="18" t="s">
        <v>61</v>
      </c>
      <c r="P211" s="18" t="s">
        <v>818</v>
      </c>
      <c r="Q211" s="19"/>
      <c r="R211" s="57" t="s">
        <v>61</v>
      </c>
      <c r="S211" s="16" t="s">
        <v>70</v>
      </c>
      <c r="T211" s="16"/>
      <c r="U211" s="16"/>
      <c r="V211" s="16">
        <v>125</v>
      </c>
      <c r="W211" s="16">
        <f t="shared" si="38"/>
        <v>125</v>
      </c>
      <c r="X211" s="16">
        <f t="shared" si="40"/>
        <v>125</v>
      </c>
      <c r="Y211" s="16">
        <f>ROUNDDOWN(W211/HLOOKUP(D211,Table!$C$3:$D$4,2,0)*8,2)</f>
        <v>2.2200000000000002</v>
      </c>
      <c r="Z211" s="16">
        <v>0.5</v>
      </c>
      <c r="AA211" s="16" t="s">
        <v>21</v>
      </c>
      <c r="AB211" s="20">
        <v>43970</v>
      </c>
      <c r="AC211" s="20">
        <v>43965</v>
      </c>
      <c r="AD211" s="20">
        <v>43970</v>
      </c>
      <c r="AE211" s="20">
        <v>43969</v>
      </c>
      <c r="AF211" s="20">
        <v>43969</v>
      </c>
      <c r="AG211" s="20" t="s">
        <v>335</v>
      </c>
      <c r="AH211" s="32">
        <v>1</v>
      </c>
      <c r="AI211" s="32">
        <v>1</v>
      </c>
      <c r="AJ211" s="32">
        <v>1</v>
      </c>
      <c r="AK211" s="20" t="s">
        <v>165</v>
      </c>
      <c r="AL211" s="16" t="s">
        <v>61</v>
      </c>
      <c r="AM211" s="16" t="s">
        <v>61</v>
      </c>
      <c r="AN211" s="16" t="s">
        <v>61</v>
      </c>
    </row>
    <row r="212" spans="2:40" x14ac:dyDescent="0.25">
      <c r="B212" s="142">
        <f t="shared" si="37"/>
        <v>165</v>
      </c>
      <c r="C212" s="17">
        <v>20200514</v>
      </c>
      <c r="D212" s="16" t="s">
        <v>3</v>
      </c>
      <c r="E212" s="16" t="s">
        <v>785</v>
      </c>
      <c r="F212" s="80" t="s">
        <v>840</v>
      </c>
      <c r="G212" s="18">
        <v>1468172</v>
      </c>
      <c r="H212" s="57" t="s">
        <v>61</v>
      </c>
      <c r="I212" s="16" t="s">
        <v>803</v>
      </c>
      <c r="J212" s="57" t="s">
        <v>61</v>
      </c>
      <c r="K212" s="16" t="s">
        <v>161</v>
      </c>
      <c r="L212" s="16" t="s">
        <v>165</v>
      </c>
      <c r="M212" s="16" t="s">
        <v>788</v>
      </c>
      <c r="N212" s="16" t="s">
        <v>815</v>
      </c>
      <c r="O212" s="18" t="s">
        <v>61</v>
      </c>
      <c r="P212" s="18" t="s">
        <v>818</v>
      </c>
      <c r="Q212" s="19"/>
      <c r="R212" s="57" t="s">
        <v>61</v>
      </c>
      <c r="S212" s="16" t="s">
        <v>70</v>
      </c>
      <c r="T212" s="16"/>
      <c r="U212" s="16"/>
      <c r="V212" s="16">
        <v>107</v>
      </c>
      <c r="W212" s="16">
        <f t="shared" si="38"/>
        <v>107</v>
      </c>
      <c r="X212" s="16">
        <f t="shared" si="40"/>
        <v>107</v>
      </c>
      <c r="Y212" s="16">
        <f>ROUNDDOWN(W212/HLOOKUP(D212,Table!$C$3:$D$4,2,0)*8,2)</f>
        <v>1.9</v>
      </c>
      <c r="Z212" s="16">
        <v>0.5</v>
      </c>
      <c r="AA212" s="16" t="s">
        <v>21</v>
      </c>
      <c r="AB212" s="20">
        <v>43970</v>
      </c>
      <c r="AC212" s="20">
        <v>43965</v>
      </c>
      <c r="AD212" s="20">
        <v>43970</v>
      </c>
      <c r="AE212" s="20">
        <v>43969</v>
      </c>
      <c r="AF212" s="20">
        <v>43969</v>
      </c>
      <c r="AG212" s="20" t="s">
        <v>335</v>
      </c>
      <c r="AH212" s="32">
        <v>1</v>
      </c>
      <c r="AI212" s="32">
        <v>1</v>
      </c>
      <c r="AJ212" s="32">
        <v>1</v>
      </c>
      <c r="AK212" s="20" t="s">
        <v>165</v>
      </c>
      <c r="AL212" s="16" t="s">
        <v>61</v>
      </c>
      <c r="AM212" s="16" t="s">
        <v>61</v>
      </c>
      <c r="AN212" s="16" t="s">
        <v>61</v>
      </c>
    </row>
    <row r="213" spans="2:40" x14ac:dyDescent="0.25">
      <c r="B213" s="142">
        <f t="shared" si="37"/>
        <v>166</v>
      </c>
      <c r="C213" s="17">
        <v>20200514</v>
      </c>
      <c r="D213" s="16" t="s">
        <v>3</v>
      </c>
      <c r="E213" s="16" t="s">
        <v>785</v>
      </c>
      <c r="F213" s="80" t="s">
        <v>841</v>
      </c>
      <c r="G213" s="18">
        <v>1468172</v>
      </c>
      <c r="H213" s="57" t="s">
        <v>61</v>
      </c>
      <c r="I213" s="16" t="s">
        <v>804</v>
      </c>
      <c r="J213" s="57" t="s">
        <v>61</v>
      </c>
      <c r="K213" s="16" t="s">
        <v>161</v>
      </c>
      <c r="L213" s="16" t="s">
        <v>165</v>
      </c>
      <c r="M213" s="16" t="s">
        <v>788</v>
      </c>
      <c r="N213" s="16" t="s">
        <v>815</v>
      </c>
      <c r="O213" s="18" t="s">
        <v>61</v>
      </c>
      <c r="P213" s="18" t="s">
        <v>818</v>
      </c>
      <c r="Q213" s="19"/>
      <c r="R213" s="57" t="s">
        <v>61</v>
      </c>
      <c r="S213" s="16" t="s">
        <v>70</v>
      </c>
      <c r="T213" s="16"/>
      <c r="U213" s="16"/>
      <c r="V213" s="16">
        <v>41</v>
      </c>
      <c r="W213" s="16">
        <f t="shared" si="38"/>
        <v>41</v>
      </c>
      <c r="X213" s="16">
        <f t="shared" si="40"/>
        <v>41</v>
      </c>
      <c r="Y213" s="16">
        <f>ROUNDDOWN(W213/HLOOKUP(D213,Table!$C$3:$D$4,2,0)*8,2)</f>
        <v>0.72</v>
      </c>
      <c r="Z213" s="16">
        <v>0.5</v>
      </c>
      <c r="AA213" s="16" t="s">
        <v>21</v>
      </c>
      <c r="AB213" s="20">
        <v>43970</v>
      </c>
      <c r="AC213" s="20">
        <v>43965</v>
      </c>
      <c r="AD213" s="20">
        <v>43970</v>
      </c>
      <c r="AE213" s="20">
        <v>43969</v>
      </c>
      <c r="AF213" s="20">
        <v>43969</v>
      </c>
      <c r="AG213" s="20" t="s">
        <v>335</v>
      </c>
      <c r="AH213" s="32">
        <v>1</v>
      </c>
      <c r="AI213" s="32">
        <v>1</v>
      </c>
      <c r="AJ213" s="32">
        <v>1</v>
      </c>
      <c r="AK213" s="20" t="s">
        <v>165</v>
      </c>
      <c r="AL213" s="16" t="s">
        <v>61</v>
      </c>
      <c r="AM213" s="16" t="s">
        <v>61</v>
      </c>
      <c r="AN213" s="16" t="s">
        <v>61</v>
      </c>
    </row>
    <row r="214" spans="2:40" x14ac:dyDescent="0.25">
      <c r="B214" s="142">
        <f t="shared" si="37"/>
        <v>167</v>
      </c>
      <c r="C214" s="17">
        <v>20200514</v>
      </c>
      <c r="D214" s="16" t="s">
        <v>3</v>
      </c>
      <c r="E214" s="16" t="s">
        <v>785</v>
      </c>
      <c r="F214" s="80" t="s">
        <v>842</v>
      </c>
      <c r="G214" s="18">
        <v>1468172</v>
      </c>
      <c r="H214" s="57" t="s">
        <v>61</v>
      </c>
      <c r="I214" s="16" t="s">
        <v>805</v>
      </c>
      <c r="J214" s="57" t="s">
        <v>61</v>
      </c>
      <c r="K214" s="16" t="s">
        <v>161</v>
      </c>
      <c r="L214" s="16" t="s">
        <v>165</v>
      </c>
      <c r="M214" s="16" t="s">
        <v>788</v>
      </c>
      <c r="N214" s="16" t="s">
        <v>815</v>
      </c>
      <c r="O214" s="18" t="s">
        <v>61</v>
      </c>
      <c r="P214" s="18" t="s">
        <v>818</v>
      </c>
      <c r="Q214" s="19"/>
      <c r="R214" s="57" t="s">
        <v>61</v>
      </c>
      <c r="S214" s="16" t="s">
        <v>70</v>
      </c>
      <c r="T214" s="16"/>
      <c r="U214" s="16"/>
      <c r="V214" s="16">
        <v>42</v>
      </c>
      <c r="W214" s="16">
        <f t="shared" si="38"/>
        <v>42</v>
      </c>
      <c r="X214" s="16">
        <f t="shared" si="40"/>
        <v>42</v>
      </c>
      <c r="Y214" s="16">
        <f>ROUNDDOWN(W214/HLOOKUP(D214,Table!$C$3:$D$4,2,0)*8,2)</f>
        <v>0.74</v>
      </c>
      <c r="Z214" s="16">
        <v>0.5</v>
      </c>
      <c r="AA214" s="16" t="s">
        <v>21</v>
      </c>
      <c r="AB214" s="20">
        <v>43970</v>
      </c>
      <c r="AC214" s="20">
        <v>43965</v>
      </c>
      <c r="AD214" s="20">
        <v>43970</v>
      </c>
      <c r="AE214" s="20">
        <v>43969</v>
      </c>
      <c r="AF214" s="20">
        <v>43969</v>
      </c>
      <c r="AG214" s="20" t="s">
        <v>335</v>
      </c>
      <c r="AH214" s="32">
        <v>1</v>
      </c>
      <c r="AI214" s="32">
        <v>1</v>
      </c>
      <c r="AJ214" s="32">
        <v>1</v>
      </c>
      <c r="AK214" s="20" t="s">
        <v>165</v>
      </c>
      <c r="AL214" s="16" t="s">
        <v>61</v>
      </c>
      <c r="AM214" s="16" t="s">
        <v>61</v>
      </c>
      <c r="AN214" s="16" t="s">
        <v>61</v>
      </c>
    </row>
    <row r="215" spans="2:40" x14ac:dyDescent="0.25">
      <c r="B215" s="142">
        <f t="shared" si="37"/>
        <v>168</v>
      </c>
      <c r="C215" s="17">
        <v>20200514</v>
      </c>
      <c r="D215" s="16" t="s">
        <v>3</v>
      </c>
      <c r="E215" s="16" t="s">
        <v>785</v>
      </c>
      <c r="F215" s="80" t="s">
        <v>843</v>
      </c>
      <c r="G215" s="18">
        <v>1468172</v>
      </c>
      <c r="H215" s="57" t="s">
        <v>61</v>
      </c>
      <c r="I215" s="16" t="s">
        <v>806</v>
      </c>
      <c r="J215" s="57" t="s">
        <v>61</v>
      </c>
      <c r="K215" s="16" t="s">
        <v>161</v>
      </c>
      <c r="L215" s="16" t="s">
        <v>165</v>
      </c>
      <c r="M215" s="16" t="s">
        <v>788</v>
      </c>
      <c r="N215" s="16" t="s">
        <v>815</v>
      </c>
      <c r="O215" s="18" t="s">
        <v>61</v>
      </c>
      <c r="P215" s="18" t="s">
        <v>818</v>
      </c>
      <c r="Q215" s="19"/>
      <c r="R215" s="57" t="s">
        <v>61</v>
      </c>
      <c r="S215" s="16" t="s">
        <v>64</v>
      </c>
      <c r="T215" s="16"/>
      <c r="U215" s="16"/>
      <c r="V215" s="16">
        <v>11</v>
      </c>
      <c r="W215" s="16">
        <f t="shared" si="38"/>
        <v>11</v>
      </c>
      <c r="X215" s="16">
        <f t="shared" ref="X215:X220" si="41">W215</f>
        <v>11</v>
      </c>
      <c r="Y215" s="16">
        <f>ROUNDDOWN(W215/HLOOKUP(D215,Table!$C$3:$D$4,2,0)*8,2)</f>
        <v>0.19</v>
      </c>
      <c r="Z215" s="16">
        <v>0.1</v>
      </c>
      <c r="AA215" s="16" t="s">
        <v>21</v>
      </c>
      <c r="AB215" s="20">
        <v>43970</v>
      </c>
      <c r="AC215" s="20">
        <v>43965</v>
      </c>
      <c r="AD215" s="20">
        <v>43970</v>
      </c>
      <c r="AE215" s="20">
        <v>43966</v>
      </c>
      <c r="AF215" s="20">
        <v>43966</v>
      </c>
      <c r="AG215" s="20" t="s">
        <v>335</v>
      </c>
      <c r="AH215" s="32">
        <v>1</v>
      </c>
      <c r="AI215" s="32">
        <v>1</v>
      </c>
      <c r="AJ215" s="32">
        <v>1</v>
      </c>
      <c r="AK215" s="20" t="s">
        <v>165</v>
      </c>
      <c r="AL215" s="16"/>
      <c r="AM215" s="16"/>
      <c r="AN215" s="16"/>
    </row>
    <row r="216" spans="2:40" x14ac:dyDescent="0.25">
      <c r="B216" s="142">
        <f t="shared" si="37"/>
        <v>169</v>
      </c>
      <c r="C216" s="17">
        <v>20200514</v>
      </c>
      <c r="D216" s="16" t="s">
        <v>3</v>
      </c>
      <c r="E216" s="16" t="s">
        <v>785</v>
      </c>
      <c r="F216" s="80" t="s">
        <v>844</v>
      </c>
      <c r="G216" s="18">
        <v>1468172</v>
      </c>
      <c r="H216" s="57" t="s">
        <v>61</v>
      </c>
      <c r="I216" s="16" t="s">
        <v>807</v>
      </c>
      <c r="J216" s="57" t="s">
        <v>61</v>
      </c>
      <c r="K216" s="16" t="s">
        <v>161</v>
      </c>
      <c r="L216" s="16" t="s">
        <v>165</v>
      </c>
      <c r="M216" s="16" t="s">
        <v>788</v>
      </c>
      <c r="N216" s="16" t="s">
        <v>815</v>
      </c>
      <c r="O216" s="18" t="s">
        <v>61</v>
      </c>
      <c r="P216" s="18" t="s">
        <v>818</v>
      </c>
      <c r="Q216" s="19"/>
      <c r="R216" s="57" t="s">
        <v>61</v>
      </c>
      <c r="S216" s="16" t="s">
        <v>64</v>
      </c>
      <c r="T216" s="16"/>
      <c r="U216" s="16"/>
      <c r="V216" s="16">
        <v>493</v>
      </c>
      <c r="W216" s="16">
        <f t="shared" si="38"/>
        <v>493</v>
      </c>
      <c r="X216" s="16">
        <f t="shared" si="41"/>
        <v>493</v>
      </c>
      <c r="Y216" s="16">
        <f>ROUNDDOWN(W216/HLOOKUP(D216,Table!$C$3:$D$4,2,0)*8,2)</f>
        <v>8.76</v>
      </c>
      <c r="Z216" s="16">
        <v>4</v>
      </c>
      <c r="AA216" s="16" t="s">
        <v>21</v>
      </c>
      <c r="AB216" s="20">
        <v>43970</v>
      </c>
      <c r="AC216" s="20">
        <v>43965</v>
      </c>
      <c r="AD216" s="20">
        <v>43970</v>
      </c>
      <c r="AE216" s="20">
        <v>43965</v>
      </c>
      <c r="AF216" s="20">
        <v>43965</v>
      </c>
      <c r="AG216" s="20" t="s">
        <v>335</v>
      </c>
      <c r="AH216" s="32">
        <v>1</v>
      </c>
      <c r="AI216" s="32">
        <v>1</v>
      </c>
      <c r="AJ216" s="32">
        <v>1</v>
      </c>
      <c r="AK216" s="20" t="s">
        <v>165</v>
      </c>
      <c r="AL216" s="16"/>
      <c r="AM216" s="16"/>
      <c r="AN216" s="16"/>
    </row>
    <row r="217" spans="2:40" x14ac:dyDescent="0.25">
      <c r="B217" s="142">
        <f t="shared" si="37"/>
        <v>170</v>
      </c>
      <c r="C217" s="17">
        <v>20200514</v>
      </c>
      <c r="D217" s="16" t="s">
        <v>3</v>
      </c>
      <c r="E217" s="16" t="s">
        <v>785</v>
      </c>
      <c r="F217" s="80" t="s">
        <v>845</v>
      </c>
      <c r="G217" s="18">
        <v>1468172</v>
      </c>
      <c r="H217" s="57" t="s">
        <v>61</v>
      </c>
      <c r="I217" s="16" t="s">
        <v>808</v>
      </c>
      <c r="J217" s="57" t="s">
        <v>61</v>
      </c>
      <c r="K217" s="16" t="s">
        <v>161</v>
      </c>
      <c r="L217" s="16" t="s">
        <v>165</v>
      </c>
      <c r="M217" s="16" t="s">
        <v>788</v>
      </c>
      <c r="N217" s="16" t="s">
        <v>815</v>
      </c>
      <c r="O217" s="18" t="s">
        <v>61</v>
      </c>
      <c r="P217" s="18" t="s">
        <v>818</v>
      </c>
      <c r="Q217" s="19"/>
      <c r="R217" s="57" t="s">
        <v>61</v>
      </c>
      <c r="S217" s="16" t="s">
        <v>64</v>
      </c>
      <c r="T217" s="16"/>
      <c r="U217" s="16"/>
      <c r="V217" s="16">
        <v>295</v>
      </c>
      <c r="W217" s="16">
        <f t="shared" si="38"/>
        <v>295</v>
      </c>
      <c r="X217" s="16">
        <f t="shared" si="41"/>
        <v>295</v>
      </c>
      <c r="Y217" s="16">
        <f>ROUNDDOWN(W217/HLOOKUP(D217,Table!$C$3:$D$4,2,0)*8,2)</f>
        <v>5.24</v>
      </c>
      <c r="Z217" s="16">
        <v>2</v>
      </c>
      <c r="AA217" s="16" t="s">
        <v>21</v>
      </c>
      <c r="AB217" s="20">
        <v>43970</v>
      </c>
      <c r="AC217" s="20">
        <v>43965</v>
      </c>
      <c r="AD217" s="20">
        <v>43970</v>
      </c>
      <c r="AE217" s="20">
        <v>43965</v>
      </c>
      <c r="AF217" s="20">
        <v>43965</v>
      </c>
      <c r="AG217" s="20" t="s">
        <v>335</v>
      </c>
      <c r="AH217" s="32">
        <v>1</v>
      </c>
      <c r="AI217" s="32">
        <v>1</v>
      </c>
      <c r="AJ217" s="32">
        <v>1</v>
      </c>
      <c r="AK217" s="20" t="s">
        <v>165</v>
      </c>
      <c r="AL217" s="16"/>
      <c r="AM217" s="16"/>
      <c r="AN217" s="16"/>
    </row>
    <row r="218" spans="2:40" x14ac:dyDescent="0.25">
      <c r="B218" s="142">
        <f t="shared" si="37"/>
        <v>171</v>
      </c>
      <c r="C218" s="17">
        <v>20200514</v>
      </c>
      <c r="D218" s="16" t="s">
        <v>3</v>
      </c>
      <c r="E218" s="16" t="s">
        <v>785</v>
      </c>
      <c r="F218" s="80" t="s">
        <v>846</v>
      </c>
      <c r="G218" s="18">
        <v>1468172</v>
      </c>
      <c r="H218" s="57" t="s">
        <v>61</v>
      </c>
      <c r="I218" s="16" t="s">
        <v>809</v>
      </c>
      <c r="J218" s="57" t="s">
        <v>61</v>
      </c>
      <c r="K218" s="16" t="s">
        <v>161</v>
      </c>
      <c r="L218" s="16" t="s">
        <v>165</v>
      </c>
      <c r="M218" s="16" t="s">
        <v>788</v>
      </c>
      <c r="N218" s="16" t="s">
        <v>815</v>
      </c>
      <c r="O218" s="18" t="s">
        <v>61</v>
      </c>
      <c r="P218" s="18" t="s">
        <v>818</v>
      </c>
      <c r="Q218" s="19"/>
      <c r="R218" s="57" t="s">
        <v>61</v>
      </c>
      <c r="S218" s="16" t="s">
        <v>64</v>
      </c>
      <c r="T218" s="16"/>
      <c r="U218" s="16"/>
      <c r="V218" s="16">
        <v>229</v>
      </c>
      <c r="W218" s="16">
        <f t="shared" si="38"/>
        <v>229</v>
      </c>
      <c r="X218" s="16">
        <f t="shared" si="41"/>
        <v>229</v>
      </c>
      <c r="Y218" s="16">
        <f>ROUNDDOWN(W218/HLOOKUP(D218,Table!$C$3:$D$4,2,0)*8,2)</f>
        <v>4.07</v>
      </c>
      <c r="Z218" s="16">
        <v>2</v>
      </c>
      <c r="AA218" s="16" t="s">
        <v>21</v>
      </c>
      <c r="AB218" s="20">
        <v>43970</v>
      </c>
      <c r="AC218" s="20">
        <v>43965</v>
      </c>
      <c r="AD218" s="20">
        <v>43970</v>
      </c>
      <c r="AE218" s="20">
        <v>43965</v>
      </c>
      <c r="AF218" s="20">
        <v>43965</v>
      </c>
      <c r="AG218" s="20" t="s">
        <v>335</v>
      </c>
      <c r="AH218" s="32">
        <v>1</v>
      </c>
      <c r="AI218" s="32">
        <v>1</v>
      </c>
      <c r="AJ218" s="32">
        <v>1</v>
      </c>
      <c r="AK218" s="20" t="s">
        <v>165</v>
      </c>
      <c r="AL218" s="16"/>
      <c r="AM218" s="16"/>
      <c r="AN218" s="16"/>
    </row>
    <row r="219" spans="2:40" x14ac:dyDescent="0.25">
      <c r="B219" s="142">
        <f t="shared" si="37"/>
        <v>172</v>
      </c>
      <c r="C219" s="17">
        <v>20200514</v>
      </c>
      <c r="D219" s="16" t="s">
        <v>3</v>
      </c>
      <c r="E219" s="16" t="s">
        <v>785</v>
      </c>
      <c r="F219" s="80" t="s">
        <v>847</v>
      </c>
      <c r="G219" s="18">
        <v>1468172</v>
      </c>
      <c r="H219" s="57" t="s">
        <v>61</v>
      </c>
      <c r="I219" s="16" t="s">
        <v>810</v>
      </c>
      <c r="J219" s="57" t="s">
        <v>61</v>
      </c>
      <c r="K219" s="16" t="s">
        <v>161</v>
      </c>
      <c r="L219" s="16" t="s">
        <v>165</v>
      </c>
      <c r="M219" s="16" t="s">
        <v>788</v>
      </c>
      <c r="N219" s="16" t="s">
        <v>815</v>
      </c>
      <c r="O219" s="18" t="s">
        <v>61</v>
      </c>
      <c r="P219" s="18" t="s">
        <v>818</v>
      </c>
      <c r="Q219" s="19"/>
      <c r="R219" s="57" t="s">
        <v>61</v>
      </c>
      <c r="S219" s="16" t="s">
        <v>64</v>
      </c>
      <c r="T219" s="16"/>
      <c r="U219" s="16"/>
      <c r="V219" s="16">
        <v>137</v>
      </c>
      <c r="W219" s="16">
        <f t="shared" si="38"/>
        <v>137</v>
      </c>
      <c r="X219" s="16">
        <f t="shared" si="41"/>
        <v>137</v>
      </c>
      <c r="Y219" s="16">
        <f>ROUNDDOWN(W219/HLOOKUP(D219,Table!$C$3:$D$4,2,0)*8,2)</f>
        <v>2.4300000000000002</v>
      </c>
      <c r="Z219" s="16">
        <v>2</v>
      </c>
      <c r="AA219" s="16" t="s">
        <v>21</v>
      </c>
      <c r="AB219" s="20">
        <v>43970</v>
      </c>
      <c r="AC219" s="20">
        <v>43965</v>
      </c>
      <c r="AD219" s="20">
        <v>43970</v>
      </c>
      <c r="AE219" s="20">
        <v>43966</v>
      </c>
      <c r="AF219" s="20">
        <v>43966</v>
      </c>
      <c r="AG219" s="20" t="s">
        <v>335</v>
      </c>
      <c r="AH219" s="32">
        <v>1</v>
      </c>
      <c r="AI219" s="32">
        <v>1</v>
      </c>
      <c r="AJ219" s="32">
        <v>1</v>
      </c>
      <c r="AK219" s="20" t="s">
        <v>165</v>
      </c>
      <c r="AL219" s="16"/>
      <c r="AM219" s="16"/>
      <c r="AN219" s="16"/>
    </row>
    <row r="220" spans="2:40" x14ac:dyDescent="0.25">
      <c r="B220" s="142">
        <f t="shared" si="37"/>
        <v>173</v>
      </c>
      <c r="C220" s="17">
        <v>20200514</v>
      </c>
      <c r="D220" s="16" t="s">
        <v>3</v>
      </c>
      <c r="E220" s="16" t="s">
        <v>785</v>
      </c>
      <c r="F220" s="80" t="s">
        <v>848</v>
      </c>
      <c r="G220" s="18">
        <v>1468172</v>
      </c>
      <c r="H220" s="57" t="s">
        <v>61</v>
      </c>
      <c r="I220" s="16" t="s">
        <v>811</v>
      </c>
      <c r="J220" s="57" t="s">
        <v>61</v>
      </c>
      <c r="K220" s="16" t="s">
        <v>161</v>
      </c>
      <c r="L220" s="16" t="s">
        <v>165</v>
      </c>
      <c r="M220" s="16" t="s">
        <v>788</v>
      </c>
      <c r="N220" s="16" t="s">
        <v>815</v>
      </c>
      <c r="O220" s="18" t="s">
        <v>61</v>
      </c>
      <c r="P220" s="18" t="s">
        <v>818</v>
      </c>
      <c r="Q220" s="19"/>
      <c r="R220" s="57" t="s">
        <v>61</v>
      </c>
      <c r="S220" s="16" t="s">
        <v>64</v>
      </c>
      <c r="T220" s="16"/>
      <c r="U220" s="16"/>
      <c r="V220" s="16">
        <v>6</v>
      </c>
      <c r="W220" s="16">
        <f t="shared" si="38"/>
        <v>6</v>
      </c>
      <c r="X220" s="16">
        <f t="shared" si="41"/>
        <v>6</v>
      </c>
      <c r="Y220" s="16">
        <f>ROUNDDOWN(W220/HLOOKUP(D220,Table!$C$3:$D$4,2,0)*8,2)</f>
        <v>0.1</v>
      </c>
      <c r="Z220" s="16">
        <v>0.1</v>
      </c>
      <c r="AA220" s="16" t="s">
        <v>21</v>
      </c>
      <c r="AB220" s="20">
        <v>43970</v>
      </c>
      <c r="AC220" s="20">
        <v>43965</v>
      </c>
      <c r="AD220" s="20">
        <v>43970</v>
      </c>
      <c r="AE220" s="20">
        <v>43966</v>
      </c>
      <c r="AF220" s="20">
        <v>43966</v>
      </c>
      <c r="AG220" s="20" t="s">
        <v>335</v>
      </c>
      <c r="AH220" s="32" t="s">
        <v>61</v>
      </c>
      <c r="AI220" s="32" t="s">
        <v>61</v>
      </c>
      <c r="AJ220" s="32" t="s">
        <v>61</v>
      </c>
      <c r="AK220" s="20" t="s">
        <v>165</v>
      </c>
      <c r="AL220" s="16"/>
      <c r="AM220" s="16"/>
      <c r="AN220" s="16" t="s">
        <v>418</v>
      </c>
    </row>
    <row r="221" spans="2:40" x14ac:dyDescent="0.25">
      <c r="B221" s="142">
        <f t="shared" ref="B221:B284" si="42">B220+1</f>
        <v>174</v>
      </c>
      <c r="C221" s="17">
        <v>20200514</v>
      </c>
      <c r="D221" s="16" t="s">
        <v>3</v>
      </c>
      <c r="E221" s="16" t="s">
        <v>785</v>
      </c>
      <c r="F221" s="80" t="s">
        <v>849</v>
      </c>
      <c r="G221" s="18">
        <v>1468219</v>
      </c>
      <c r="H221" s="57" t="s">
        <v>61</v>
      </c>
      <c r="I221" s="16" t="s">
        <v>812</v>
      </c>
      <c r="J221" s="57" t="s">
        <v>61</v>
      </c>
      <c r="K221" s="16" t="s">
        <v>161</v>
      </c>
      <c r="L221" s="16" t="s">
        <v>789</v>
      </c>
      <c r="M221" s="16" t="s">
        <v>788</v>
      </c>
      <c r="N221" s="16" t="s">
        <v>815</v>
      </c>
      <c r="O221" s="18" t="s">
        <v>61</v>
      </c>
      <c r="P221" s="18" t="s">
        <v>819</v>
      </c>
      <c r="Q221" s="19"/>
      <c r="R221" s="57" t="s">
        <v>61</v>
      </c>
      <c r="S221" s="16" t="s">
        <v>64</v>
      </c>
      <c r="T221" s="16"/>
      <c r="U221" s="16"/>
      <c r="V221" s="16">
        <v>40</v>
      </c>
      <c r="W221" s="16">
        <f t="shared" si="38"/>
        <v>40</v>
      </c>
      <c r="X221" s="16">
        <f>W221</f>
        <v>40</v>
      </c>
      <c r="Y221" s="16">
        <f>ROUNDDOWN(W221/HLOOKUP(D221,Table!$C$3:$D$4,2,0)*8,2)</f>
        <v>0.71</v>
      </c>
      <c r="Z221" s="16">
        <v>1</v>
      </c>
      <c r="AA221" s="16" t="s">
        <v>21</v>
      </c>
      <c r="AB221" s="20">
        <v>43970</v>
      </c>
      <c r="AC221" s="20">
        <v>43965</v>
      </c>
      <c r="AD221" s="20">
        <v>43970</v>
      </c>
      <c r="AE221" s="20">
        <v>43969</v>
      </c>
      <c r="AF221" s="20">
        <v>43969</v>
      </c>
      <c r="AG221" s="20" t="s">
        <v>335</v>
      </c>
      <c r="AH221" s="32">
        <v>1</v>
      </c>
      <c r="AI221" s="32">
        <v>1</v>
      </c>
      <c r="AJ221" s="32">
        <v>1</v>
      </c>
      <c r="AK221" s="20" t="s">
        <v>165</v>
      </c>
      <c r="AL221" s="16"/>
      <c r="AM221" s="16"/>
      <c r="AN221" s="16"/>
    </row>
    <row r="222" spans="2:40" x14ac:dyDescent="0.25">
      <c r="B222" s="142">
        <f t="shared" si="42"/>
        <v>175</v>
      </c>
      <c r="C222" s="17">
        <v>20200514</v>
      </c>
      <c r="D222" s="16" t="s">
        <v>3</v>
      </c>
      <c r="E222" s="16" t="s">
        <v>785</v>
      </c>
      <c r="F222" s="80" t="s">
        <v>850</v>
      </c>
      <c r="G222" s="18">
        <v>1468219</v>
      </c>
      <c r="H222" s="57" t="s">
        <v>61</v>
      </c>
      <c r="I222" s="16" t="s">
        <v>813</v>
      </c>
      <c r="J222" s="57" t="s">
        <v>61</v>
      </c>
      <c r="K222" s="16" t="s">
        <v>161</v>
      </c>
      <c r="L222" s="16" t="s">
        <v>789</v>
      </c>
      <c r="M222" s="16" t="s">
        <v>788</v>
      </c>
      <c r="N222" s="16" t="s">
        <v>815</v>
      </c>
      <c r="O222" s="18" t="s">
        <v>61</v>
      </c>
      <c r="P222" s="18" t="s">
        <v>819</v>
      </c>
      <c r="Q222" s="19"/>
      <c r="R222" s="57" t="s">
        <v>61</v>
      </c>
      <c r="S222" s="16" t="s">
        <v>6</v>
      </c>
      <c r="T222" s="16"/>
      <c r="U222" s="16"/>
      <c r="V222" s="16">
        <v>805</v>
      </c>
      <c r="W222" s="16">
        <f t="shared" si="38"/>
        <v>805</v>
      </c>
      <c r="X222" s="16">
        <f t="shared" ref="X222:X227" si="43">W222</f>
        <v>805</v>
      </c>
      <c r="Y222" s="16">
        <f>ROUNDDOWN(W222/HLOOKUP(D222,Table!$C$3:$D$4,2,0)*8,2)</f>
        <v>14.31</v>
      </c>
      <c r="Z222" s="16">
        <v>8</v>
      </c>
      <c r="AA222" s="16" t="s">
        <v>21</v>
      </c>
      <c r="AB222" s="20">
        <v>43970</v>
      </c>
      <c r="AC222" s="20">
        <v>43965</v>
      </c>
      <c r="AD222" s="20">
        <v>43970</v>
      </c>
      <c r="AE222" s="20">
        <v>43966</v>
      </c>
      <c r="AF222" s="20">
        <v>43966</v>
      </c>
      <c r="AG222" s="20" t="s">
        <v>335</v>
      </c>
      <c r="AH222" s="32">
        <v>1</v>
      </c>
      <c r="AI222" s="32">
        <v>1</v>
      </c>
      <c r="AJ222" s="32">
        <v>1</v>
      </c>
      <c r="AK222" s="20" t="s">
        <v>165</v>
      </c>
      <c r="AL222" s="16"/>
      <c r="AM222" s="16"/>
      <c r="AN222" s="16"/>
    </row>
    <row r="223" spans="2:40" x14ac:dyDescent="0.25">
      <c r="B223" s="142">
        <f t="shared" si="42"/>
        <v>176</v>
      </c>
      <c r="C223" s="17">
        <v>20200514</v>
      </c>
      <c r="D223" s="16" t="s">
        <v>3</v>
      </c>
      <c r="E223" s="16" t="s">
        <v>785</v>
      </c>
      <c r="F223" s="80" t="s">
        <v>851</v>
      </c>
      <c r="G223" s="18">
        <v>1468219</v>
      </c>
      <c r="H223" s="57" t="s">
        <v>61</v>
      </c>
      <c r="I223" s="16" t="s">
        <v>814</v>
      </c>
      <c r="J223" s="57" t="s">
        <v>61</v>
      </c>
      <c r="K223" s="16" t="s">
        <v>161</v>
      </c>
      <c r="L223" s="16" t="s">
        <v>789</v>
      </c>
      <c r="M223" s="16" t="s">
        <v>788</v>
      </c>
      <c r="N223" s="16" t="s">
        <v>815</v>
      </c>
      <c r="O223" s="18" t="s">
        <v>61</v>
      </c>
      <c r="P223" s="18" t="s">
        <v>819</v>
      </c>
      <c r="Q223" s="19"/>
      <c r="R223" s="57" t="s">
        <v>61</v>
      </c>
      <c r="S223" s="16" t="s">
        <v>64</v>
      </c>
      <c r="T223" s="16"/>
      <c r="U223" s="16"/>
      <c r="V223" s="16">
        <v>73</v>
      </c>
      <c r="W223" s="16">
        <f t="shared" si="38"/>
        <v>73</v>
      </c>
      <c r="X223" s="16">
        <f t="shared" si="43"/>
        <v>73</v>
      </c>
      <c r="Y223" s="16">
        <f>ROUNDDOWN(W223/HLOOKUP(D223,Table!$C$3:$D$4,2,0)*8,2)</f>
        <v>1.29</v>
      </c>
      <c r="Z223" s="16">
        <v>1</v>
      </c>
      <c r="AA223" s="16" t="s">
        <v>21</v>
      </c>
      <c r="AB223" s="20">
        <v>43970</v>
      </c>
      <c r="AC223" s="20">
        <v>43965</v>
      </c>
      <c r="AD223" s="20">
        <v>43970</v>
      </c>
      <c r="AE223" s="20">
        <v>43966</v>
      </c>
      <c r="AF223" s="20">
        <v>43966</v>
      </c>
      <c r="AG223" s="20" t="s">
        <v>335</v>
      </c>
      <c r="AH223" s="32">
        <v>1</v>
      </c>
      <c r="AI223" s="32">
        <v>1</v>
      </c>
      <c r="AJ223" s="32">
        <v>1</v>
      </c>
      <c r="AK223" s="20" t="s">
        <v>165</v>
      </c>
      <c r="AL223" s="16"/>
      <c r="AM223" s="16"/>
      <c r="AN223" s="16"/>
    </row>
    <row r="224" spans="2:40" x14ac:dyDescent="0.25">
      <c r="B224" s="142">
        <f t="shared" si="42"/>
        <v>177</v>
      </c>
      <c r="C224" s="17">
        <v>20200514</v>
      </c>
      <c r="D224" s="16" t="s">
        <v>3</v>
      </c>
      <c r="E224" s="16" t="s">
        <v>785</v>
      </c>
      <c r="F224" s="80" t="s">
        <v>852</v>
      </c>
      <c r="G224" s="18">
        <v>1468219</v>
      </c>
      <c r="H224" s="57" t="s">
        <v>61</v>
      </c>
      <c r="I224" s="16" t="s">
        <v>168</v>
      </c>
      <c r="J224" s="57" t="s">
        <v>61</v>
      </c>
      <c r="K224" s="16" t="s">
        <v>161</v>
      </c>
      <c r="L224" s="16" t="s">
        <v>789</v>
      </c>
      <c r="M224" s="16" t="s">
        <v>788</v>
      </c>
      <c r="N224" s="16" t="s">
        <v>815</v>
      </c>
      <c r="O224" s="18" t="s">
        <v>61</v>
      </c>
      <c r="P224" s="18" t="s">
        <v>819</v>
      </c>
      <c r="Q224" s="19"/>
      <c r="R224" s="57" t="s">
        <v>61</v>
      </c>
      <c r="S224" s="16" t="s">
        <v>64</v>
      </c>
      <c r="T224" s="16"/>
      <c r="U224" s="16"/>
      <c r="V224" s="16">
        <v>175</v>
      </c>
      <c r="W224" s="16">
        <f t="shared" si="38"/>
        <v>175</v>
      </c>
      <c r="X224" s="16">
        <f t="shared" si="43"/>
        <v>175</v>
      </c>
      <c r="Y224" s="16">
        <f>ROUNDDOWN(W224/HLOOKUP(D224,Table!$C$3:$D$4,2,0)*8,2)</f>
        <v>3.11</v>
      </c>
      <c r="Z224" s="16">
        <v>3</v>
      </c>
      <c r="AA224" s="16" t="s">
        <v>21</v>
      </c>
      <c r="AB224" s="20">
        <v>43970</v>
      </c>
      <c r="AC224" s="20">
        <v>43965</v>
      </c>
      <c r="AD224" s="20">
        <v>43970</v>
      </c>
      <c r="AE224" s="20">
        <v>43966</v>
      </c>
      <c r="AF224" s="20">
        <v>43966</v>
      </c>
      <c r="AG224" s="20" t="s">
        <v>335</v>
      </c>
      <c r="AH224" s="32">
        <v>1</v>
      </c>
      <c r="AI224" s="32">
        <v>1</v>
      </c>
      <c r="AJ224" s="32">
        <v>1</v>
      </c>
      <c r="AK224" s="20" t="s">
        <v>165</v>
      </c>
      <c r="AL224" s="16"/>
      <c r="AM224" s="16"/>
      <c r="AN224" s="16"/>
    </row>
    <row r="225" spans="2:40" x14ac:dyDescent="0.25">
      <c r="B225" s="142">
        <f t="shared" si="42"/>
        <v>178</v>
      </c>
      <c r="C225" s="17">
        <v>20200514</v>
      </c>
      <c r="D225" s="16" t="s">
        <v>3</v>
      </c>
      <c r="E225" s="16" t="s">
        <v>785</v>
      </c>
      <c r="F225" s="80" t="s">
        <v>853</v>
      </c>
      <c r="G225" s="18">
        <v>1468219</v>
      </c>
      <c r="H225" s="57" t="s">
        <v>61</v>
      </c>
      <c r="I225" s="16" t="s">
        <v>168</v>
      </c>
      <c r="J225" s="57" t="s">
        <v>61</v>
      </c>
      <c r="K225" s="16" t="s">
        <v>161</v>
      </c>
      <c r="L225" s="16" t="s">
        <v>789</v>
      </c>
      <c r="M225" s="16" t="s">
        <v>788</v>
      </c>
      <c r="N225" s="16" t="s">
        <v>815</v>
      </c>
      <c r="O225" s="18" t="s">
        <v>61</v>
      </c>
      <c r="P225" s="18" t="s">
        <v>819</v>
      </c>
      <c r="Q225" s="19"/>
      <c r="R225" s="57" t="s">
        <v>61</v>
      </c>
      <c r="S225" s="16" t="s">
        <v>64</v>
      </c>
      <c r="T225" s="16"/>
      <c r="U225" s="16"/>
      <c r="V225" s="16">
        <v>175</v>
      </c>
      <c r="W225" s="16">
        <f t="shared" si="38"/>
        <v>175</v>
      </c>
      <c r="X225" s="16">
        <f t="shared" si="43"/>
        <v>175</v>
      </c>
      <c r="Y225" s="16">
        <f>ROUNDDOWN(W225/HLOOKUP(D225,Table!$C$3:$D$4,2,0)*8,2)</f>
        <v>3.11</v>
      </c>
      <c r="Z225" s="16">
        <v>3</v>
      </c>
      <c r="AA225" s="16" t="s">
        <v>21</v>
      </c>
      <c r="AB225" s="20">
        <v>43970</v>
      </c>
      <c r="AC225" s="20">
        <v>43965</v>
      </c>
      <c r="AD225" s="20">
        <v>43970</v>
      </c>
      <c r="AE225" s="20">
        <v>43966</v>
      </c>
      <c r="AF225" s="20">
        <v>43966</v>
      </c>
      <c r="AG225" s="20" t="s">
        <v>335</v>
      </c>
      <c r="AH225" s="32">
        <v>1</v>
      </c>
      <c r="AI225" s="32">
        <v>1</v>
      </c>
      <c r="AJ225" s="32">
        <v>1</v>
      </c>
      <c r="AK225" s="20" t="s">
        <v>165</v>
      </c>
      <c r="AL225" s="16"/>
      <c r="AM225" s="16"/>
      <c r="AN225" s="16"/>
    </row>
    <row r="226" spans="2:40" x14ac:dyDescent="0.25">
      <c r="B226" s="142">
        <f t="shared" si="42"/>
        <v>179</v>
      </c>
      <c r="C226" s="17">
        <v>20200514</v>
      </c>
      <c r="D226" s="16" t="s">
        <v>3</v>
      </c>
      <c r="E226" s="16" t="s">
        <v>785</v>
      </c>
      <c r="F226" s="80" t="s">
        <v>854</v>
      </c>
      <c r="G226" s="18">
        <v>1468219</v>
      </c>
      <c r="H226" s="57" t="s">
        <v>61</v>
      </c>
      <c r="I226" s="16" t="s">
        <v>168</v>
      </c>
      <c r="J226" s="57" t="s">
        <v>61</v>
      </c>
      <c r="K226" s="16" t="s">
        <v>161</v>
      </c>
      <c r="L226" s="16" t="s">
        <v>789</v>
      </c>
      <c r="M226" s="16" t="s">
        <v>788</v>
      </c>
      <c r="N226" s="16" t="s">
        <v>815</v>
      </c>
      <c r="O226" s="18" t="s">
        <v>61</v>
      </c>
      <c r="P226" s="18" t="s">
        <v>819</v>
      </c>
      <c r="Q226" s="19"/>
      <c r="R226" s="57" t="s">
        <v>61</v>
      </c>
      <c r="S226" s="16" t="s">
        <v>64</v>
      </c>
      <c r="T226" s="16"/>
      <c r="U226" s="16"/>
      <c r="V226" s="16">
        <v>175</v>
      </c>
      <c r="W226" s="16">
        <f t="shared" si="38"/>
        <v>175</v>
      </c>
      <c r="X226" s="16">
        <f t="shared" si="43"/>
        <v>175</v>
      </c>
      <c r="Y226" s="16">
        <f>ROUNDDOWN(W226/HLOOKUP(D226,Table!$C$3:$D$4,2,0)*8,2)</f>
        <v>3.11</v>
      </c>
      <c r="Z226" s="16">
        <v>3</v>
      </c>
      <c r="AA226" s="16" t="s">
        <v>21</v>
      </c>
      <c r="AB226" s="20">
        <v>43970</v>
      </c>
      <c r="AC226" s="20">
        <v>43965</v>
      </c>
      <c r="AD226" s="20">
        <v>43970</v>
      </c>
      <c r="AE226" s="20">
        <v>43966</v>
      </c>
      <c r="AF226" s="20">
        <v>43966</v>
      </c>
      <c r="AG226" s="20" t="s">
        <v>335</v>
      </c>
      <c r="AH226" s="32">
        <v>1</v>
      </c>
      <c r="AI226" s="32">
        <v>1</v>
      </c>
      <c r="AJ226" s="32">
        <v>1</v>
      </c>
      <c r="AK226" s="20" t="s">
        <v>165</v>
      </c>
      <c r="AL226" s="16"/>
      <c r="AM226" s="16"/>
      <c r="AN226" s="16"/>
    </row>
    <row r="227" spans="2:40" x14ac:dyDescent="0.25">
      <c r="B227" s="142">
        <f t="shared" si="42"/>
        <v>180</v>
      </c>
      <c r="C227" s="17">
        <v>20200514</v>
      </c>
      <c r="D227" s="16" t="s">
        <v>3</v>
      </c>
      <c r="E227" s="16" t="s">
        <v>785</v>
      </c>
      <c r="F227" s="80" t="s">
        <v>855</v>
      </c>
      <c r="G227" s="18">
        <v>1468219</v>
      </c>
      <c r="H227" s="57" t="s">
        <v>61</v>
      </c>
      <c r="I227" s="16" t="s">
        <v>168</v>
      </c>
      <c r="J227" s="57" t="s">
        <v>61</v>
      </c>
      <c r="K227" s="16" t="s">
        <v>161</v>
      </c>
      <c r="L227" s="16" t="s">
        <v>789</v>
      </c>
      <c r="M227" s="16" t="s">
        <v>788</v>
      </c>
      <c r="N227" s="16" t="s">
        <v>815</v>
      </c>
      <c r="O227" s="18" t="s">
        <v>61</v>
      </c>
      <c r="P227" s="18" t="s">
        <v>819</v>
      </c>
      <c r="Q227" s="19"/>
      <c r="R227" s="57" t="s">
        <v>61</v>
      </c>
      <c r="S227" s="16" t="s">
        <v>64</v>
      </c>
      <c r="T227" s="16"/>
      <c r="U227" s="16"/>
      <c r="V227" s="16">
        <v>175</v>
      </c>
      <c r="W227" s="16">
        <f t="shared" si="38"/>
        <v>175</v>
      </c>
      <c r="X227" s="16">
        <f t="shared" si="43"/>
        <v>175</v>
      </c>
      <c r="Y227" s="16">
        <f>ROUNDDOWN(W227/HLOOKUP(D227,Table!$C$3:$D$4,2,0)*8,2)</f>
        <v>3.11</v>
      </c>
      <c r="Z227" s="16">
        <v>3</v>
      </c>
      <c r="AA227" s="16" t="s">
        <v>21</v>
      </c>
      <c r="AB227" s="20">
        <v>43970</v>
      </c>
      <c r="AC227" s="20">
        <v>43965</v>
      </c>
      <c r="AD227" s="20">
        <v>43970</v>
      </c>
      <c r="AE227" s="20">
        <v>43966</v>
      </c>
      <c r="AF227" s="20">
        <v>43966</v>
      </c>
      <c r="AG227" s="20" t="s">
        <v>335</v>
      </c>
      <c r="AH227" s="32">
        <v>1</v>
      </c>
      <c r="AI227" s="32">
        <v>1</v>
      </c>
      <c r="AJ227" s="32">
        <v>1</v>
      </c>
      <c r="AK227" s="20" t="s">
        <v>165</v>
      </c>
      <c r="AL227" s="16"/>
      <c r="AM227" s="16"/>
      <c r="AN227" s="16"/>
    </row>
    <row r="228" spans="2:40" x14ac:dyDescent="0.25">
      <c r="B228" s="143">
        <f t="shared" si="42"/>
        <v>181</v>
      </c>
      <c r="C228" s="17">
        <v>20200514</v>
      </c>
      <c r="D228" s="16" t="s">
        <v>3</v>
      </c>
      <c r="E228" s="92" t="s">
        <v>169</v>
      </c>
      <c r="F228" s="80" t="s">
        <v>1069</v>
      </c>
      <c r="G228" s="92">
        <v>1465749</v>
      </c>
      <c r="H228" s="57" t="s">
        <v>61</v>
      </c>
      <c r="I228" s="92" t="s">
        <v>172</v>
      </c>
      <c r="J228" s="57" t="s">
        <v>61</v>
      </c>
      <c r="K228" s="16" t="s">
        <v>161</v>
      </c>
      <c r="L228" s="92" t="s">
        <v>324</v>
      </c>
      <c r="M228" s="92" t="s">
        <v>334</v>
      </c>
      <c r="N228" s="92" t="s">
        <v>326</v>
      </c>
      <c r="O228" s="18" t="s">
        <v>61</v>
      </c>
      <c r="P228" s="86" t="s">
        <v>822</v>
      </c>
      <c r="Q228" s="19"/>
      <c r="R228" s="57" t="s">
        <v>61</v>
      </c>
      <c r="S228" s="16" t="s">
        <v>70</v>
      </c>
      <c r="T228" s="16"/>
      <c r="U228" s="16"/>
      <c r="V228" s="92">
        <v>101</v>
      </c>
      <c r="W228" s="16">
        <f t="shared" ref="W228:X230" si="44">V228</f>
        <v>101</v>
      </c>
      <c r="X228" s="16">
        <f t="shared" si="44"/>
        <v>101</v>
      </c>
      <c r="Y228" s="16">
        <f>ROUNDDOWN(W228/HLOOKUP(D228,Table!$C$3:$D$4,2,0)*8,2)</f>
        <v>1.79</v>
      </c>
      <c r="Z228" s="16">
        <v>1</v>
      </c>
      <c r="AA228" s="16" t="s">
        <v>74</v>
      </c>
      <c r="AB228" s="20">
        <v>43965</v>
      </c>
      <c r="AC228" s="20">
        <v>43964</v>
      </c>
      <c r="AD228" s="20">
        <v>43965</v>
      </c>
      <c r="AE228" s="20">
        <v>43965</v>
      </c>
      <c r="AF228" s="20">
        <v>43965</v>
      </c>
      <c r="AG228" s="20" t="s">
        <v>336</v>
      </c>
      <c r="AH228" s="32">
        <v>0.97</v>
      </c>
      <c r="AI228" s="32">
        <v>0.97</v>
      </c>
      <c r="AJ228" s="32">
        <v>0.5</v>
      </c>
      <c r="AK228" s="20" t="s">
        <v>149</v>
      </c>
      <c r="AL228" s="18" t="s">
        <v>856</v>
      </c>
      <c r="AM228" s="18" t="s">
        <v>61</v>
      </c>
      <c r="AN228" s="18" t="s">
        <v>448</v>
      </c>
    </row>
    <row r="229" spans="2:40" x14ac:dyDescent="0.25">
      <c r="B229" s="143">
        <f t="shared" si="42"/>
        <v>182</v>
      </c>
      <c r="C229" s="17">
        <v>20200514</v>
      </c>
      <c r="D229" s="16" t="s">
        <v>3</v>
      </c>
      <c r="E229" s="92" t="s">
        <v>169</v>
      </c>
      <c r="F229" s="80" t="s">
        <v>1070</v>
      </c>
      <c r="G229" s="92">
        <v>1465749</v>
      </c>
      <c r="H229" s="57" t="s">
        <v>61</v>
      </c>
      <c r="I229" s="92" t="s">
        <v>481</v>
      </c>
      <c r="J229" s="57" t="s">
        <v>61</v>
      </c>
      <c r="K229" s="16" t="s">
        <v>161</v>
      </c>
      <c r="L229" s="92" t="s">
        <v>324</v>
      </c>
      <c r="M229" s="16" t="s">
        <v>334</v>
      </c>
      <c r="N229" s="92" t="s">
        <v>326</v>
      </c>
      <c r="O229" s="18" t="s">
        <v>61</v>
      </c>
      <c r="P229" s="86" t="s">
        <v>822</v>
      </c>
      <c r="Q229" s="19"/>
      <c r="R229" s="57" t="s">
        <v>61</v>
      </c>
      <c r="S229" s="16" t="s">
        <v>69</v>
      </c>
      <c r="T229" s="16"/>
      <c r="U229" s="16"/>
      <c r="V229" s="92">
        <v>62</v>
      </c>
      <c r="W229" s="16">
        <f t="shared" si="44"/>
        <v>62</v>
      </c>
      <c r="X229" s="16">
        <f t="shared" si="44"/>
        <v>62</v>
      </c>
      <c r="Y229" s="16">
        <f>ROUNDDOWN(W229/HLOOKUP(D229,Table!$C$3:$D$4,2,0)*8,2)</f>
        <v>1.1000000000000001</v>
      </c>
      <c r="Z229" s="16">
        <v>1</v>
      </c>
      <c r="AA229" s="16" t="s">
        <v>74</v>
      </c>
      <c r="AB229" s="20">
        <v>43965</v>
      </c>
      <c r="AC229" s="20">
        <v>43964</v>
      </c>
      <c r="AD229" s="20">
        <v>43965</v>
      </c>
      <c r="AE229" s="20">
        <v>43965</v>
      </c>
      <c r="AF229" s="20">
        <v>43965</v>
      </c>
      <c r="AG229" s="20" t="s">
        <v>335</v>
      </c>
      <c r="AH229" s="32">
        <v>1</v>
      </c>
      <c r="AI229" s="32">
        <v>1</v>
      </c>
      <c r="AJ229" s="32">
        <v>1</v>
      </c>
      <c r="AK229" s="20" t="s">
        <v>165</v>
      </c>
      <c r="AL229" s="18" t="s">
        <v>61</v>
      </c>
      <c r="AM229" s="18" t="s">
        <v>61</v>
      </c>
      <c r="AN229" s="18" t="s">
        <v>61</v>
      </c>
    </row>
    <row r="230" spans="2:40" x14ac:dyDescent="0.25">
      <c r="B230" s="143">
        <f t="shared" si="42"/>
        <v>183</v>
      </c>
      <c r="C230" s="17">
        <v>20200514</v>
      </c>
      <c r="D230" s="16" t="s">
        <v>3</v>
      </c>
      <c r="E230" s="92" t="s">
        <v>821</v>
      </c>
      <c r="F230" s="80" t="s">
        <v>1071</v>
      </c>
      <c r="G230" s="92">
        <v>1466100</v>
      </c>
      <c r="H230" s="57" t="s">
        <v>61</v>
      </c>
      <c r="I230" s="92" t="s">
        <v>696</v>
      </c>
      <c r="J230" s="57" t="s">
        <v>61</v>
      </c>
      <c r="K230" s="16" t="s">
        <v>161</v>
      </c>
      <c r="L230" s="16" t="s">
        <v>590</v>
      </c>
      <c r="M230" s="92" t="s">
        <v>574</v>
      </c>
      <c r="N230" s="16" t="s">
        <v>591</v>
      </c>
      <c r="O230" s="18" t="s">
        <v>61</v>
      </c>
      <c r="P230" s="86" t="s">
        <v>586</v>
      </c>
      <c r="Q230" s="19"/>
      <c r="R230" s="57" t="s">
        <v>61</v>
      </c>
      <c r="S230" s="16" t="s">
        <v>69</v>
      </c>
      <c r="T230" s="16"/>
      <c r="U230" s="16"/>
      <c r="V230" s="92">
        <v>63</v>
      </c>
      <c r="W230" s="16">
        <f t="shared" si="44"/>
        <v>63</v>
      </c>
      <c r="X230" s="16">
        <f t="shared" si="44"/>
        <v>63</v>
      </c>
      <c r="Y230" s="16">
        <f>ROUNDDOWN(W230/HLOOKUP(D230,Table!$C$3:$D$4,2,0)*8,2)</f>
        <v>1.1200000000000001</v>
      </c>
      <c r="Z230" s="16">
        <v>1</v>
      </c>
      <c r="AA230" s="16" t="s">
        <v>74</v>
      </c>
      <c r="AB230" s="20">
        <v>43965</v>
      </c>
      <c r="AC230" s="20">
        <v>43964</v>
      </c>
      <c r="AD230" s="20">
        <v>43965</v>
      </c>
      <c r="AE230" s="20">
        <v>43965</v>
      </c>
      <c r="AF230" s="20">
        <v>43965</v>
      </c>
      <c r="AG230" s="20" t="s">
        <v>336</v>
      </c>
      <c r="AH230" s="32">
        <v>1</v>
      </c>
      <c r="AI230" s="32">
        <v>1</v>
      </c>
      <c r="AJ230" s="32">
        <v>0.9</v>
      </c>
      <c r="AK230" s="20" t="s">
        <v>165</v>
      </c>
      <c r="AL230" s="18" t="s">
        <v>824</v>
      </c>
      <c r="AM230" s="18" t="s">
        <v>61</v>
      </c>
      <c r="AN230" s="18" t="s">
        <v>824</v>
      </c>
    </row>
    <row r="231" spans="2:40" x14ac:dyDescent="0.25">
      <c r="B231" s="78">
        <f t="shared" si="42"/>
        <v>184</v>
      </c>
      <c r="C231" s="17">
        <v>20200515</v>
      </c>
      <c r="D231" s="16" t="s">
        <v>3</v>
      </c>
      <c r="E231" s="16" t="s">
        <v>858</v>
      </c>
      <c r="F231" s="80" t="s">
        <v>1072</v>
      </c>
      <c r="G231" s="18">
        <v>1460288</v>
      </c>
      <c r="H231" s="57" t="s">
        <v>61</v>
      </c>
      <c r="I231" s="16" t="s">
        <v>862</v>
      </c>
      <c r="J231" s="57" t="s">
        <v>61</v>
      </c>
      <c r="K231" s="16" t="s">
        <v>161</v>
      </c>
      <c r="L231" s="16" t="s">
        <v>876</v>
      </c>
      <c r="M231" s="16" t="s">
        <v>165</v>
      </c>
      <c r="N231" s="16" t="s">
        <v>327</v>
      </c>
      <c r="O231" s="18" t="s">
        <v>61</v>
      </c>
      <c r="P231" s="86" t="s">
        <v>880</v>
      </c>
      <c r="Q231" s="19"/>
      <c r="R231" s="57" t="s">
        <v>61</v>
      </c>
      <c r="S231" s="16" t="s">
        <v>67</v>
      </c>
      <c r="T231" s="16"/>
      <c r="U231" s="16"/>
      <c r="V231" s="16">
        <v>417</v>
      </c>
      <c r="W231" s="16">
        <f>V231</f>
        <v>417</v>
      </c>
      <c r="X231" s="16">
        <f>W231</f>
        <v>417</v>
      </c>
      <c r="Y231" s="16">
        <f>ROUNDDOWN(W231/HLOOKUP(D231,Table!$C$3:$D$4,2,0)*8,2)</f>
        <v>7.41</v>
      </c>
      <c r="Z231" s="16">
        <v>7</v>
      </c>
      <c r="AA231" s="16" t="s">
        <v>74</v>
      </c>
      <c r="AB231" s="20">
        <v>43969</v>
      </c>
      <c r="AC231" s="20">
        <v>43966</v>
      </c>
      <c r="AD231" s="20">
        <v>43971</v>
      </c>
      <c r="AE231" s="20">
        <v>43966</v>
      </c>
      <c r="AF231" s="20">
        <v>43966</v>
      </c>
      <c r="AG231" s="20" t="s">
        <v>336</v>
      </c>
      <c r="AH231" s="32">
        <v>1</v>
      </c>
      <c r="AI231" s="32">
        <v>0.98</v>
      </c>
      <c r="AJ231" s="32">
        <v>0.87</v>
      </c>
      <c r="AK231" s="20" t="s">
        <v>149</v>
      </c>
      <c r="AL231" s="18" t="s">
        <v>889</v>
      </c>
      <c r="AM231" s="18" t="s">
        <v>61</v>
      </c>
      <c r="AN231" s="18" t="s">
        <v>890</v>
      </c>
    </row>
    <row r="232" spans="2:40" x14ac:dyDescent="0.25">
      <c r="B232" s="78">
        <f t="shared" si="42"/>
        <v>185</v>
      </c>
      <c r="C232" s="17">
        <v>20200515</v>
      </c>
      <c r="D232" s="16" t="s">
        <v>3</v>
      </c>
      <c r="E232" s="16" t="s">
        <v>858</v>
      </c>
      <c r="F232" s="80" t="s">
        <v>1073</v>
      </c>
      <c r="G232" s="18">
        <v>1460288</v>
      </c>
      <c r="H232" s="57" t="s">
        <v>61</v>
      </c>
      <c r="I232" s="16" t="s">
        <v>863</v>
      </c>
      <c r="J232" s="57" t="s">
        <v>61</v>
      </c>
      <c r="K232" s="16" t="s">
        <v>161</v>
      </c>
      <c r="L232" s="16" t="s">
        <v>876</v>
      </c>
      <c r="M232" s="16" t="s">
        <v>165</v>
      </c>
      <c r="N232" s="16" t="s">
        <v>327</v>
      </c>
      <c r="O232" s="18" t="s">
        <v>61</v>
      </c>
      <c r="P232" s="86" t="s">
        <v>880</v>
      </c>
      <c r="Q232" s="19"/>
      <c r="R232" s="57" t="s">
        <v>61</v>
      </c>
      <c r="S232" s="16" t="s">
        <v>68</v>
      </c>
      <c r="T232" s="16"/>
      <c r="U232" s="16"/>
      <c r="V232" s="16">
        <v>400</v>
      </c>
      <c r="W232" s="16">
        <f t="shared" ref="W232:W243" si="45">V232</f>
        <v>400</v>
      </c>
      <c r="X232" s="16">
        <f t="shared" ref="X232:X237" si="46">W232</f>
        <v>400</v>
      </c>
      <c r="Y232" s="16">
        <f>ROUNDDOWN(W232/HLOOKUP(D232,Table!$C$3:$D$4,2,0)*8,2)</f>
        <v>7.11</v>
      </c>
      <c r="Z232" s="16">
        <f>Y232</f>
        <v>7.11</v>
      </c>
      <c r="AA232" s="16" t="s">
        <v>74</v>
      </c>
      <c r="AB232" s="20">
        <v>43969</v>
      </c>
      <c r="AC232" s="20">
        <v>43966</v>
      </c>
      <c r="AD232" s="20">
        <v>43971</v>
      </c>
      <c r="AE232" s="20">
        <v>43969</v>
      </c>
      <c r="AF232" s="20">
        <v>43969</v>
      </c>
      <c r="AG232" s="20" t="s">
        <v>336</v>
      </c>
      <c r="AH232" s="32">
        <v>1</v>
      </c>
      <c r="AI232" s="32">
        <v>0.97</v>
      </c>
      <c r="AJ232" s="32">
        <v>0.5</v>
      </c>
      <c r="AK232" s="20" t="s">
        <v>149</v>
      </c>
      <c r="AL232" s="18" t="s">
        <v>887</v>
      </c>
      <c r="AM232" s="18" t="s">
        <v>61</v>
      </c>
      <c r="AN232" s="18" t="s">
        <v>448</v>
      </c>
    </row>
    <row r="233" spans="2:40" x14ac:dyDescent="0.25">
      <c r="B233" s="78">
        <f t="shared" si="42"/>
        <v>186</v>
      </c>
      <c r="C233" s="17">
        <v>20200515</v>
      </c>
      <c r="D233" s="16" t="s">
        <v>3</v>
      </c>
      <c r="E233" s="16" t="s">
        <v>859</v>
      </c>
      <c r="F233" s="80" t="s">
        <v>1074</v>
      </c>
      <c r="G233" s="18">
        <v>1435414</v>
      </c>
      <c r="H233" s="57" t="s">
        <v>61</v>
      </c>
      <c r="I233" s="16" t="s">
        <v>864</v>
      </c>
      <c r="J233" s="57" t="s">
        <v>61</v>
      </c>
      <c r="K233" s="16" t="s">
        <v>161</v>
      </c>
      <c r="L233" s="16" t="s">
        <v>789</v>
      </c>
      <c r="M233" s="16" t="s">
        <v>788</v>
      </c>
      <c r="N233" s="16" t="s">
        <v>815</v>
      </c>
      <c r="O233" s="18" t="s">
        <v>61</v>
      </c>
      <c r="P233" s="86" t="s">
        <v>881</v>
      </c>
      <c r="Q233" s="19"/>
      <c r="R233" s="57" t="s">
        <v>61</v>
      </c>
      <c r="S233" s="16" t="s">
        <v>69</v>
      </c>
      <c r="T233" s="16"/>
      <c r="U233" s="16"/>
      <c r="V233" s="16">
        <v>62</v>
      </c>
      <c r="W233" s="16">
        <f t="shared" si="45"/>
        <v>62</v>
      </c>
      <c r="X233" s="16">
        <f t="shared" si="46"/>
        <v>62</v>
      </c>
      <c r="Y233" s="16">
        <f>ROUNDDOWN(W233/HLOOKUP(D233,Table!$C$3:$D$4,2,0)*8,2)</f>
        <v>1.1000000000000001</v>
      </c>
      <c r="Z233" s="16">
        <v>1</v>
      </c>
      <c r="AA233" s="16" t="s">
        <v>74</v>
      </c>
      <c r="AB233" s="20">
        <v>43969</v>
      </c>
      <c r="AC233" s="20">
        <v>43966</v>
      </c>
      <c r="AD233" s="20">
        <v>43971</v>
      </c>
      <c r="AE233" s="20">
        <v>43969</v>
      </c>
      <c r="AF233" s="20">
        <v>43969</v>
      </c>
      <c r="AG233" s="20" t="s">
        <v>335</v>
      </c>
      <c r="AH233" s="32">
        <v>1</v>
      </c>
      <c r="AI233" s="32">
        <v>1</v>
      </c>
      <c r="AJ233" s="32">
        <v>1</v>
      </c>
      <c r="AK233" s="20" t="s">
        <v>165</v>
      </c>
      <c r="AL233" s="18" t="s">
        <v>61</v>
      </c>
      <c r="AM233" s="18" t="s">
        <v>61</v>
      </c>
      <c r="AN233" s="18" t="s">
        <v>61</v>
      </c>
    </row>
    <row r="234" spans="2:40" x14ac:dyDescent="0.25">
      <c r="B234" s="78">
        <f t="shared" si="42"/>
        <v>187</v>
      </c>
      <c r="C234" s="17">
        <v>20200515</v>
      </c>
      <c r="D234" s="16" t="s">
        <v>3</v>
      </c>
      <c r="E234" s="16" t="s">
        <v>859</v>
      </c>
      <c r="F234" s="80" t="s">
        <v>1074</v>
      </c>
      <c r="G234" s="18">
        <v>1435414</v>
      </c>
      <c r="H234" s="57" t="s">
        <v>61</v>
      </c>
      <c r="I234" s="16" t="s">
        <v>865</v>
      </c>
      <c r="J234" s="57" t="s">
        <v>61</v>
      </c>
      <c r="K234" s="16" t="s">
        <v>161</v>
      </c>
      <c r="L234" s="16" t="s">
        <v>789</v>
      </c>
      <c r="M234" s="16" t="s">
        <v>788</v>
      </c>
      <c r="N234" s="16" t="s">
        <v>815</v>
      </c>
      <c r="O234" s="18" t="s">
        <v>61</v>
      </c>
      <c r="P234" s="86" t="s">
        <v>881</v>
      </c>
      <c r="Q234" s="19"/>
      <c r="R234" s="57" t="s">
        <v>61</v>
      </c>
      <c r="S234" s="16" t="s">
        <v>67</v>
      </c>
      <c r="T234" s="16"/>
      <c r="U234" s="16"/>
      <c r="V234" s="16">
        <v>3</v>
      </c>
      <c r="W234" s="16">
        <f t="shared" si="45"/>
        <v>3</v>
      </c>
      <c r="X234" s="16">
        <f t="shared" si="46"/>
        <v>3</v>
      </c>
      <c r="Y234" s="16">
        <f>ROUNDDOWN(W234/HLOOKUP(D234,Table!$C$3:$D$4,2,0)*8,2)</f>
        <v>0.05</v>
      </c>
      <c r="Z234" s="16">
        <f>Y234</f>
        <v>0.05</v>
      </c>
      <c r="AA234" s="16" t="s">
        <v>74</v>
      </c>
      <c r="AB234" s="20">
        <v>43969</v>
      </c>
      <c r="AC234" s="20">
        <v>43966</v>
      </c>
      <c r="AD234" s="20">
        <v>43971</v>
      </c>
      <c r="AE234" s="20">
        <v>43969</v>
      </c>
      <c r="AF234" s="20">
        <v>43969</v>
      </c>
      <c r="AG234" s="20" t="s">
        <v>335</v>
      </c>
      <c r="AH234" s="91" t="s">
        <v>61</v>
      </c>
      <c r="AI234" s="91" t="s">
        <v>61</v>
      </c>
      <c r="AJ234" s="91" t="s">
        <v>61</v>
      </c>
      <c r="AK234" s="91" t="s">
        <v>165</v>
      </c>
      <c r="AL234" s="91" t="s">
        <v>61</v>
      </c>
      <c r="AM234" s="18" t="s">
        <v>61</v>
      </c>
      <c r="AN234" s="16" t="s">
        <v>418</v>
      </c>
    </row>
    <row r="235" spans="2:40" x14ac:dyDescent="0.25">
      <c r="B235" s="78">
        <f t="shared" si="42"/>
        <v>188</v>
      </c>
      <c r="C235" s="17">
        <v>20200515</v>
      </c>
      <c r="D235" s="16" t="s">
        <v>3</v>
      </c>
      <c r="E235" s="16" t="s">
        <v>859</v>
      </c>
      <c r="F235" s="80" t="s">
        <v>1075</v>
      </c>
      <c r="G235" s="18">
        <v>1435414</v>
      </c>
      <c r="H235" s="57" t="s">
        <v>61</v>
      </c>
      <c r="I235" s="16" t="s">
        <v>866</v>
      </c>
      <c r="J235" s="57" t="s">
        <v>61</v>
      </c>
      <c r="K235" s="16" t="s">
        <v>161</v>
      </c>
      <c r="L235" s="16" t="s">
        <v>789</v>
      </c>
      <c r="M235" s="16" t="s">
        <v>788</v>
      </c>
      <c r="N235" s="16" t="s">
        <v>815</v>
      </c>
      <c r="O235" s="18" t="s">
        <v>61</v>
      </c>
      <c r="P235" s="86" t="s">
        <v>881</v>
      </c>
      <c r="Q235" s="19"/>
      <c r="R235" s="57" t="s">
        <v>61</v>
      </c>
      <c r="S235" s="16" t="s">
        <v>67</v>
      </c>
      <c r="T235" s="16"/>
      <c r="U235" s="16"/>
      <c r="V235" s="16">
        <v>12</v>
      </c>
      <c r="W235" s="16">
        <f t="shared" si="45"/>
        <v>12</v>
      </c>
      <c r="X235" s="16">
        <f t="shared" si="46"/>
        <v>12</v>
      </c>
      <c r="Y235" s="16">
        <f>ROUNDDOWN(W235/HLOOKUP(D235,Table!$C$3:$D$4,2,0)*8,2)</f>
        <v>0.21</v>
      </c>
      <c r="Z235" s="16">
        <f>Y235</f>
        <v>0.21</v>
      </c>
      <c r="AA235" s="16" t="s">
        <v>74</v>
      </c>
      <c r="AB235" s="20">
        <v>43969</v>
      </c>
      <c r="AC235" s="20">
        <v>43966</v>
      </c>
      <c r="AD235" s="20">
        <v>43971</v>
      </c>
      <c r="AE235" s="20">
        <v>43969</v>
      </c>
      <c r="AF235" s="20">
        <v>43969</v>
      </c>
      <c r="AG235" s="20" t="s">
        <v>335</v>
      </c>
      <c r="AH235" s="91" t="s">
        <v>61</v>
      </c>
      <c r="AI235" s="91" t="s">
        <v>61</v>
      </c>
      <c r="AJ235" s="91" t="s">
        <v>61</v>
      </c>
      <c r="AK235" s="91" t="s">
        <v>165</v>
      </c>
      <c r="AL235" s="91" t="s">
        <v>61</v>
      </c>
      <c r="AM235" s="18" t="s">
        <v>61</v>
      </c>
      <c r="AN235" s="16" t="s">
        <v>418</v>
      </c>
    </row>
    <row r="236" spans="2:40" x14ac:dyDescent="0.25">
      <c r="B236" s="78">
        <f t="shared" si="42"/>
        <v>189</v>
      </c>
      <c r="C236" s="17">
        <v>20200515</v>
      </c>
      <c r="D236" s="16" t="s">
        <v>3</v>
      </c>
      <c r="E236" s="16" t="s">
        <v>859</v>
      </c>
      <c r="F236" s="80" t="s">
        <v>1076</v>
      </c>
      <c r="G236" s="18">
        <v>1435414</v>
      </c>
      <c r="H236" s="57" t="s">
        <v>61</v>
      </c>
      <c r="I236" s="16" t="s">
        <v>867</v>
      </c>
      <c r="J236" s="57" t="s">
        <v>61</v>
      </c>
      <c r="K236" s="16" t="s">
        <v>161</v>
      </c>
      <c r="L236" s="16" t="s">
        <v>789</v>
      </c>
      <c r="M236" s="16" t="s">
        <v>788</v>
      </c>
      <c r="N236" s="16" t="s">
        <v>815</v>
      </c>
      <c r="O236" s="18" t="s">
        <v>61</v>
      </c>
      <c r="P236" s="86" t="s">
        <v>881</v>
      </c>
      <c r="Q236" s="19"/>
      <c r="R236" s="57" t="s">
        <v>61</v>
      </c>
      <c r="S236" s="16" t="s">
        <v>67</v>
      </c>
      <c r="T236" s="16"/>
      <c r="U236" s="16"/>
      <c r="V236" s="16">
        <v>3</v>
      </c>
      <c r="W236" s="16">
        <f t="shared" si="45"/>
        <v>3</v>
      </c>
      <c r="X236" s="16">
        <f t="shared" si="46"/>
        <v>3</v>
      </c>
      <c r="Y236" s="16">
        <f>ROUNDDOWN(W236/HLOOKUP(D236,Table!$C$3:$D$4,2,0)*8,2)</f>
        <v>0.05</v>
      </c>
      <c r="Z236" s="16">
        <f>Y236</f>
        <v>0.05</v>
      </c>
      <c r="AA236" s="16" t="s">
        <v>74</v>
      </c>
      <c r="AB236" s="20">
        <v>43969</v>
      </c>
      <c r="AC236" s="20">
        <v>43966</v>
      </c>
      <c r="AD236" s="20">
        <v>43971</v>
      </c>
      <c r="AE236" s="20">
        <v>43969</v>
      </c>
      <c r="AF236" s="20">
        <v>43969</v>
      </c>
      <c r="AG236" s="20" t="s">
        <v>335</v>
      </c>
      <c r="AH236" s="91" t="s">
        <v>61</v>
      </c>
      <c r="AI236" s="91" t="s">
        <v>61</v>
      </c>
      <c r="AJ236" s="91" t="s">
        <v>61</v>
      </c>
      <c r="AK236" s="91" t="s">
        <v>165</v>
      </c>
      <c r="AL236" s="91" t="s">
        <v>61</v>
      </c>
      <c r="AM236" s="18" t="s">
        <v>61</v>
      </c>
      <c r="AN236" s="16" t="s">
        <v>418</v>
      </c>
    </row>
    <row r="237" spans="2:40" x14ac:dyDescent="0.25">
      <c r="B237" s="78">
        <f t="shared" si="42"/>
        <v>190</v>
      </c>
      <c r="C237" s="17">
        <v>20200515</v>
      </c>
      <c r="D237" s="16" t="s">
        <v>3</v>
      </c>
      <c r="E237" s="16" t="s">
        <v>859</v>
      </c>
      <c r="F237" s="145" t="s">
        <v>1076</v>
      </c>
      <c r="G237" s="18">
        <v>1435414</v>
      </c>
      <c r="H237" s="57" t="s">
        <v>61</v>
      </c>
      <c r="I237" s="16" t="s">
        <v>868</v>
      </c>
      <c r="J237" s="57" t="s">
        <v>61</v>
      </c>
      <c r="K237" s="16" t="s">
        <v>161</v>
      </c>
      <c r="L237" s="16" t="s">
        <v>789</v>
      </c>
      <c r="M237" s="16" t="s">
        <v>788</v>
      </c>
      <c r="N237" s="16" t="s">
        <v>815</v>
      </c>
      <c r="O237" s="18" t="s">
        <v>61</v>
      </c>
      <c r="P237" s="86" t="s">
        <v>881</v>
      </c>
      <c r="Q237" s="19"/>
      <c r="R237" s="57" t="s">
        <v>61</v>
      </c>
      <c r="S237" s="16" t="s">
        <v>68</v>
      </c>
      <c r="T237" s="16"/>
      <c r="U237" s="16"/>
      <c r="V237" s="16">
        <v>20</v>
      </c>
      <c r="W237" s="16">
        <f t="shared" si="45"/>
        <v>20</v>
      </c>
      <c r="X237" s="16">
        <f t="shared" si="46"/>
        <v>20</v>
      </c>
      <c r="Y237" s="16">
        <f>ROUNDDOWN(W237/HLOOKUP(D237,Table!$C$3:$D$4,2,0)*8,2)</f>
        <v>0.35</v>
      </c>
      <c r="Z237" s="16">
        <f>Y237</f>
        <v>0.35</v>
      </c>
      <c r="AA237" s="16" t="s">
        <v>74</v>
      </c>
      <c r="AB237" s="20">
        <v>43969</v>
      </c>
      <c r="AC237" s="20">
        <v>43966</v>
      </c>
      <c r="AD237" s="20">
        <v>43971</v>
      </c>
      <c r="AE237" s="20">
        <v>43969</v>
      </c>
      <c r="AF237" s="20">
        <v>43969</v>
      </c>
      <c r="AG237" s="20" t="s">
        <v>335</v>
      </c>
      <c r="AH237" s="91" t="s">
        <v>61</v>
      </c>
      <c r="AI237" s="91" t="s">
        <v>61</v>
      </c>
      <c r="AJ237" s="91" t="s">
        <v>61</v>
      </c>
      <c r="AK237" s="20" t="s">
        <v>165</v>
      </c>
      <c r="AL237" s="18" t="s">
        <v>61</v>
      </c>
      <c r="AM237" s="18" t="s">
        <v>61</v>
      </c>
      <c r="AN237" s="16" t="s">
        <v>418</v>
      </c>
    </row>
    <row r="238" spans="2:40" x14ac:dyDescent="0.25">
      <c r="B238" s="78">
        <f t="shared" si="42"/>
        <v>191</v>
      </c>
      <c r="C238" s="17">
        <v>20200515</v>
      </c>
      <c r="D238" s="16" t="s">
        <v>3</v>
      </c>
      <c r="E238" s="16" t="s">
        <v>859</v>
      </c>
      <c r="F238" s="80" t="s">
        <v>1044</v>
      </c>
      <c r="G238" s="18">
        <v>1435414</v>
      </c>
      <c r="H238" s="57" t="s">
        <v>61</v>
      </c>
      <c r="I238" s="16" t="s">
        <v>869</v>
      </c>
      <c r="J238" s="57" t="s">
        <v>61</v>
      </c>
      <c r="K238" s="16" t="s">
        <v>161</v>
      </c>
      <c r="L238" s="16" t="s">
        <v>789</v>
      </c>
      <c r="M238" s="16" t="s">
        <v>788</v>
      </c>
      <c r="N238" s="16" t="s">
        <v>815</v>
      </c>
      <c r="O238" s="18" t="s">
        <v>61</v>
      </c>
      <c r="P238" s="86" t="s">
        <v>881</v>
      </c>
      <c r="Q238" s="19"/>
      <c r="R238" s="57" t="s">
        <v>61</v>
      </c>
      <c r="S238" s="16" t="s">
        <v>69</v>
      </c>
      <c r="T238" s="16"/>
      <c r="U238" s="16"/>
      <c r="V238" s="16">
        <v>111</v>
      </c>
      <c r="W238" s="16">
        <f t="shared" si="45"/>
        <v>111</v>
      </c>
      <c r="X238" s="16">
        <f t="shared" ref="X238:X243" si="47">W238</f>
        <v>111</v>
      </c>
      <c r="Y238" s="16">
        <f>ROUNDDOWN(W238/HLOOKUP(D238,Table!$C$3:$D$4,2,0)*8,2)</f>
        <v>1.97</v>
      </c>
      <c r="Z238" s="16">
        <v>2</v>
      </c>
      <c r="AA238" s="16" t="s">
        <v>74</v>
      </c>
      <c r="AB238" s="20">
        <v>43969</v>
      </c>
      <c r="AC238" s="20">
        <v>43966</v>
      </c>
      <c r="AD238" s="20">
        <v>43971</v>
      </c>
      <c r="AE238" s="20">
        <v>43969</v>
      </c>
      <c r="AF238" s="20">
        <v>43969</v>
      </c>
      <c r="AG238" s="20" t="s">
        <v>335</v>
      </c>
      <c r="AH238" s="32">
        <v>1</v>
      </c>
      <c r="AI238" s="32">
        <v>1</v>
      </c>
      <c r="AJ238" s="32">
        <v>1</v>
      </c>
      <c r="AK238" s="20" t="s">
        <v>165</v>
      </c>
      <c r="AL238" s="18" t="s">
        <v>61</v>
      </c>
      <c r="AM238" s="18" t="s">
        <v>61</v>
      </c>
      <c r="AN238" s="18" t="s">
        <v>61</v>
      </c>
    </row>
    <row r="239" spans="2:40" x14ac:dyDescent="0.25">
      <c r="B239" s="78">
        <f t="shared" si="42"/>
        <v>192</v>
      </c>
      <c r="C239" s="17">
        <v>20200515</v>
      </c>
      <c r="D239" s="16" t="s">
        <v>3</v>
      </c>
      <c r="E239" s="16" t="s">
        <v>859</v>
      </c>
      <c r="F239" s="80" t="s">
        <v>1044</v>
      </c>
      <c r="G239" s="18">
        <v>1435414</v>
      </c>
      <c r="H239" s="57" t="s">
        <v>61</v>
      </c>
      <c r="I239" s="16" t="s">
        <v>870</v>
      </c>
      <c r="J239" s="57" t="s">
        <v>61</v>
      </c>
      <c r="K239" s="16" t="s">
        <v>161</v>
      </c>
      <c r="L239" s="16" t="s">
        <v>789</v>
      </c>
      <c r="M239" s="16" t="s">
        <v>788</v>
      </c>
      <c r="N239" s="16" t="s">
        <v>815</v>
      </c>
      <c r="O239" s="18" t="s">
        <v>61</v>
      </c>
      <c r="P239" s="86" t="s">
        <v>881</v>
      </c>
      <c r="Q239" s="19"/>
      <c r="R239" s="57" t="s">
        <v>61</v>
      </c>
      <c r="S239" s="16" t="s">
        <v>68</v>
      </c>
      <c r="T239" s="16"/>
      <c r="U239" s="16"/>
      <c r="V239" s="16">
        <v>28</v>
      </c>
      <c r="W239" s="16">
        <f t="shared" si="45"/>
        <v>28</v>
      </c>
      <c r="X239" s="16">
        <f t="shared" si="47"/>
        <v>28</v>
      </c>
      <c r="Y239" s="16">
        <f>ROUNDDOWN(W239/HLOOKUP(D239,Table!$C$3:$D$4,2,0)*8,2)</f>
        <v>0.49</v>
      </c>
      <c r="Z239" s="16">
        <f>Y239</f>
        <v>0.49</v>
      </c>
      <c r="AA239" s="16" t="s">
        <v>74</v>
      </c>
      <c r="AB239" s="20">
        <v>43969</v>
      </c>
      <c r="AC239" s="20">
        <v>43966</v>
      </c>
      <c r="AD239" s="20">
        <v>43971</v>
      </c>
      <c r="AE239" s="20">
        <v>43969</v>
      </c>
      <c r="AF239" s="20">
        <v>43969</v>
      </c>
      <c r="AG239" s="20" t="s">
        <v>335</v>
      </c>
      <c r="AH239" s="32">
        <v>1</v>
      </c>
      <c r="AI239" s="32">
        <v>1</v>
      </c>
      <c r="AJ239" s="32">
        <v>1</v>
      </c>
      <c r="AK239" s="20" t="s">
        <v>165</v>
      </c>
      <c r="AL239" s="18" t="s">
        <v>61</v>
      </c>
      <c r="AM239" s="18" t="s">
        <v>61</v>
      </c>
      <c r="AN239" s="18" t="s">
        <v>61</v>
      </c>
    </row>
    <row r="240" spans="2:40" x14ac:dyDescent="0.25">
      <c r="B240" s="78">
        <f t="shared" si="42"/>
        <v>193</v>
      </c>
      <c r="C240" s="17">
        <v>20200515</v>
      </c>
      <c r="D240" s="16" t="s">
        <v>3</v>
      </c>
      <c r="E240" s="16" t="s">
        <v>859</v>
      </c>
      <c r="F240" s="80" t="s">
        <v>1044</v>
      </c>
      <c r="G240" s="18">
        <v>1435414</v>
      </c>
      <c r="H240" s="57" t="s">
        <v>61</v>
      </c>
      <c r="I240" s="16" t="s">
        <v>871</v>
      </c>
      <c r="J240" s="57" t="s">
        <v>61</v>
      </c>
      <c r="K240" s="16" t="s">
        <v>161</v>
      </c>
      <c r="L240" s="16" t="s">
        <v>789</v>
      </c>
      <c r="M240" s="16" t="s">
        <v>788</v>
      </c>
      <c r="N240" s="16" t="s">
        <v>815</v>
      </c>
      <c r="O240" s="18" t="s">
        <v>61</v>
      </c>
      <c r="P240" s="86" t="s">
        <v>881</v>
      </c>
      <c r="Q240" s="19"/>
      <c r="R240" s="57" t="s">
        <v>61</v>
      </c>
      <c r="S240" s="16" t="s">
        <v>69</v>
      </c>
      <c r="T240" s="16"/>
      <c r="U240" s="16"/>
      <c r="V240" s="16">
        <v>23</v>
      </c>
      <c r="W240" s="16">
        <f t="shared" si="45"/>
        <v>23</v>
      </c>
      <c r="X240" s="16">
        <f t="shared" si="47"/>
        <v>23</v>
      </c>
      <c r="Y240" s="16">
        <f>ROUNDDOWN(W240/HLOOKUP(D240,Table!$C$3:$D$4,2,0)*8,2)</f>
        <v>0.4</v>
      </c>
      <c r="Z240" s="16">
        <v>0.5</v>
      </c>
      <c r="AA240" s="16" t="s">
        <v>74</v>
      </c>
      <c r="AB240" s="20">
        <v>43969</v>
      </c>
      <c r="AC240" s="20">
        <v>43966</v>
      </c>
      <c r="AD240" s="20">
        <v>43971</v>
      </c>
      <c r="AE240" s="20">
        <v>43969</v>
      </c>
      <c r="AF240" s="20">
        <v>43969</v>
      </c>
      <c r="AG240" s="20" t="s">
        <v>335</v>
      </c>
      <c r="AH240" s="32">
        <v>1</v>
      </c>
      <c r="AI240" s="32">
        <v>1</v>
      </c>
      <c r="AJ240" s="32">
        <v>1</v>
      </c>
      <c r="AK240" s="20" t="s">
        <v>165</v>
      </c>
      <c r="AL240" s="18" t="s">
        <v>61</v>
      </c>
      <c r="AM240" s="18" t="s">
        <v>61</v>
      </c>
      <c r="AN240" s="18" t="s">
        <v>61</v>
      </c>
    </row>
    <row r="241" spans="2:40" x14ac:dyDescent="0.25">
      <c r="B241" s="78">
        <f t="shared" si="42"/>
        <v>194</v>
      </c>
      <c r="C241" s="17">
        <v>20200515</v>
      </c>
      <c r="D241" s="16" t="s">
        <v>3</v>
      </c>
      <c r="E241" s="16" t="s">
        <v>859</v>
      </c>
      <c r="F241" s="80" t="s">
        <v>1077</v>
      </c>
      <c r="G241" s="18">
        <v>1435414</v>
      </c>
      <c r="H241" s="57" t="s">
        <v>61</v>
      </c>
      <c r="I241" s="16" t="s">
        <v>872</v>
      </c>
      <c r="J241" s="57" t="s">
        <v>61</v>
      </c>
      <c r="K241" s="16" t="s">
        <v>161</v>
      </c>
      <c r="L241" s="16" t="s">
        <v>789</v>
      </c>
      <c r="M241" s="16" t="s">
        <v>788</v>
      </c>
      <c r="N241" s="16" t="s">
        <v>815</v>
      </c>
      <c r="O241" s="18" t="s">
        <v>61</v>
      </c>
      <c r="P241" s="86" t="s">
        <v>881</v>
      </c>
      <c r="Q241" s="19"/>
      <c r="R241" s="57" t="s">
        <v>61</v>
      </c>
      <c r="S241" s="16" t="s">
        <v>67</v>
      </c>
      <c r="T241" s="16"/>
      <c r="U241" s="16"/>
      <c r="V241" s="16">
        <v>5</v>
      </c>
      <c r="W241" s="16">
        <f t="shared" si="45"/>
        <v>5</v>
      </c>
      <c r="X241" s="16">
        <f t="shared" si="47"/>
        <v>5</v>
      </c>
      <c r="Y241" s="16">
        <f>ROUNDDOWN(W241/HLOOKUP(D241,Table!$C$3:$D$4,2,0)*8,2)</f>
        <v>0.08</v>
      </c>
      <c r="Z241" s="16">
        <f>Y241</f>
        <v>0.08</v>
      </c>
      <c r="AA241" s="16" t="s">
        <v>74</v>
      </c>
      <c r="AB241" s="20">
        <v>43969</v>
      </c>
      <c r="AC241" s="20">
        <v>43966</v>
      </c>
      <c r="AD241" s="20">
        <v>43971</v>
      </c>
      <c r="AE241" s="20">
        <v>43969</v>
      </c>
      <c r="AF241" s="20">
        <v>43969</v>
      </c>
      <c r="AG241" s="20" t="s">
        <v>335</v>
      </c>
      <c r="AH241" s="91" t="s">
        <v>61</v>
      </c>
      <c r="AI241" s="91" t="s">
        <v>61</v>
      </c>
      <c r="AJ241" s="91" t="s">
        <v>61</v>
      </c>
      <c r="AK241" s="20" t="s">
        <v>165</v>
      </c>
      <c r="AL241" s="18" t="s">
        <v>61</v>
      </c>
      <c r="AM241" s="18" t="s">
        <v>61</v>
      </c>
      <c r="AN241" s="16" t="s">
        <v>418</v>
      </c>
    </row>
    <row r="242" spans="2:40" x14ac:dyDescent="0.25">
      <c r="B242" s="78">
        <f t="shared" si="42"/>
        <v>195</v>
      </c>
      <c r="C242" s="17">
        <v>20200515</v>
      </c>
      <c r="D242" s="16" t="s">
        <v>3</v>
      </c>
      <c r="E242" s="16" t="s">
        <v>860</v>
      </c>
      <c r="F242" s="80" t="s">
        <v>1078</v>
      </c>
      <c r="G242" s="18">
        <v>1468235</v>
      </c>
      <c r="H242" s="57" t="s">
        <v>61</v>
      </c>
      <c r="I242" s="16" t="s">
        <v>873</v>
      </c>
      <c r="J242" s="57" t="s">
        <v>61</v>
      </c>
      <c r="K242" s="16" t="s">
        <v>161</v>
      </c>
      <c r="L242" s="16" t="s">
        <v>875</v>
      </c>
      <c r="M242" s="16" t="s">
        <v>684</v>
      </c>
      <c r="N242" s="16" t="s">
        <v>175</v>
      </c>
      <c r="O242" s="18" t="s">
        <v>61</v>
      </c>
      <c r="P242" s="18" t="s">
        <v>879</v>
      </c>
      <c r="Q242" s="19"/>
      <c r="R242" s="57" t="s">
        <v>61</v>
      </c>
      <c r="S242" s="16" t="s">
        <v>70</v>
      </c>
      <c r="T242" s="16"/>
      <c r="U242" s="16"/>
      <c r="V242" s="16">
        <v>857</v>
      </c>
      <c r="W242" s="16">
        <f t="shared" si="45"/>
        <v>857</v>
      </c>
      <c r="X242" s="16">
        <f t="shared" si="47"/>
        <v>857</v>
      </c>
      <c r="Y242" s="16">
        <f>ROUNDDOWN(W242/HLOOKUP(D242,Table!$C$3:$D$4,2,0)*8,2)</f>
        <v>15.23</v>
      </c>
      <c r="Z242" s="16">
        <v>0.5</v>
      </c>
      <c r="AA242" s="16" t="s">
        <v>74</v>
      </c>
      <c r="AB242" s="20">
        <v>43969</v>
      </c>
      <c r="AC242" s="20">
        <v>43966</v>
      </c>
      <c r="AD242" s="20">
        <v>43971</v>
      </c>
      <c r="AE242" s="20">
        <v>43969</v>
      </c>
      <c r="AF242" s="20">
        <v>43969</v>
      </c>
      <c r="AG242" s="20" t="s">
        <v>335</v>
      </c>
      <c r="AH242" s="32">
        <v>1</v>
      </c>
      <c r="AI242" s="32">
        <v>1</v>
      </c>
      <c r="AJ242" s="32">
        <v>1</v>
      </c>
      <c r="AK242" s="20" t="s">
        <v>165</v>
      </c>
      <c r="AL242" s="18" t="s">
        <v>61</v>
      </c>
      <c r="AM242" s="18" t="s">
        <v>61</v>
      </c>
      <c r="AN242" s="18" t="s">
        <v>61</v>
      </c>
    </row>
    <row r="243" spans="2:40" x14ac:dyDescent="0.25">
      <c r="B243" s="78">
        <f t="shared" si="42"/>
        <v>196</v>
      </c>
      <c r="C243" s="17">
        <v>20200515</v>
      </c>
      <c r="D243" s="16" t="s">
        <v>3</v>
      </c>
      <c r="E243" s="16" t="s">
        <v>861</v>
      </c>
      <c r="F243" s="80" t="s">
        <v>892</v>
      </c>
      <c r="G243" s="18">
        <v>1469754</v>
      </c>
      <c r="H243" s="57" t="s">
        <v>61</v>
      </c>
      <c r="I243" s="16" t="s">
        <v>874</v>
      </c>
      <c r="J243" s="57" t="s">
        <v>61</v>
      </c>
      <c r="K243" s="16" t="s">
        <v>161</v>
      </c>
      <c r="L243" s="16" t="s">
        <v>165</v>
      </c>
      <c r="M243" s="16" t="s">
        <v>341</v>
      </c>
      <c r="N243" s="16" t="s">
        <v>877</v>
      </c>
      <c r="O243" s="18" t="s">
        <v>61</v>
      </c>
      <c r="P243" s="18" t="s">
        <v>878</v>
      </c>
      <c r="Q243" s="19"/>
      <c r="R243" s="57" t="s">
        <v>61</v>
      </c>
      <c r="S243" s="16" t="s">
        <v>69</v>
      </c>
      <c r="T243" s="16"/>
      <c r="U243" s="16"/>
      <c r="V243" s="16">
        <v>220</v>
      </c>
      <c r="W243" s="16">
        <f t="shared" si="45"/>
        <v>220</v>
      </c>
      <c r="X243" s="16">
        <f t="shared" si="47"/>
        <v>220</v>
      </c>
      <c r="Y243" s="16">
        <f>ROUNDDOWN(W243/HLOOKUP(D243,Table!$C$3:$D$4,2,0)*8,2)</f>
        <v>3.91</v>
      </c>
      <c r="Z243" s="16">
        <v>3</v>
      </c>
      <c r="AA243" s="16" t="s">
        <v>74</v>
      </c>
      <c r="AB243" s="20">
        <v>43969</v>
      </c>
      <c r="AC243" s="20">
        <v>43966</v>
      </c>
      <c r="AD243" s="20">
        <v>43971</v>
      </c>
      <c r="AE243" s="20">
        <v>43966</v>
      </c>
      <c r="AF243" s="20">
        <v>43966</v>
      </c>
      <c r="AG243" s="20" t="s">
        <v>335</v>
      </c>
      <c r="AH243" s="32">
        <v>1</v>
      </c>
      <c r="AI243" s="32">
        <v>1</v>
      </c>
      <c r="AJ243" s="32">
        <v>1</v>
      </c>
      <c r="AK243" s="20" t="s">
        <v>165</v>
      </c>
      <c r="AL243" s="18" t="s">
        <v>61</v>
      </c>
      <c r="AM243" s="18" t="s">
        <v>61</v>
      </c>
      <c r="AN243" s="18" t="s">
        <v>61</v>
      </c>
    </row>
    <row r="244" spans="2:40" x14ac:dyDescent="0.25">
      <c r="B244" s="146">
        <f t="shared" si="42"/>
        <v>197</v>
      </c>
      <c r="C244" s="17">
        <v>20200518</v>
      </c>
      <c r="D244" s="16" t="s">
        <v>3</v>
      </c>
      <c r="E244" s="16" t="s">
        <v>893</v>
      </c>
      <c r="F244" s="145" t="s">
        <v>1079</v>
      </c>
      <c r="G244" s="18">
        <v>1453440</v>
      </c>
      <c r="H244" s="57" t="s">
        <v>61</v>
      </c>
      <c r="I244" s="16" t="s">
        <v>799</v>
      </c>
      <c r="J244" s="57" t="s">
        <v>61</v>
      </c>
      <c r="K244" s="16" t="s">
        <v>161</v>
      </c>
      <c r="L244" s="16" t="s">
        <v>928</v>
      </c>
      <c r="M244" s="16" t="s">
        <v>927</v>
      </c>
      <c r="N244" s="16" t="s">
        <v>929</v>
      </c>
      <c r="O244" s="18" t="s">
        <v>61</v>
      </c>
      <c r="P244" s="18" t="s">
        <v>930</v>
      </c>
      <c r="Q244" s="19"/>
      <c r="R244" s="57" t="s">
        <v>61</v>
      </c>
      <c r="S244" s="16" t="s">
        <v>69</v>
      </c>
      <c r="T244" s="16"/>
      <c r="U244" s="16"/>
      <c r="V244" s="16">
        <v>109</v>
      </c>
      <c r="W244" s="16">
        <f>V244</f>
        <v>109</v>
      </c>
      <c r="X244" s="16">
        <f>W244</f>
        <v>109</v>
      </c>
      <c r="Y244" s="16">
        <f>ROUNDDOWN(W244/HLOOKUP(D244,Table!$C$3:$D$4,2,0)*8,2)</f>
        <v>1.93</v>
      </c>
      <c r="Z244" s="16">
        <v>1</v>
      </c>
      <c r="AA244" s="16" t="s">
        <v>21</v>
      </c>
      <c r="AB244" s="20">
        <v>43971</v>
      </c>
      <c r="AC244" s="20">
        <v>43969</v>
      </c>
      <c r="AD244" s="20">
        <v>43973</v>
      </c>
      <c r="AE244" s="20">
        <v>43969</v>
      </c>
      <c r="AF244" s="20">
        <v>43969</v>
      </c>
      <c r="AG244" s="20" t="s">
        <v>335</v>
      </c>
      <c r="AH244" s="32">
        <v>1</v>
      </c>
      <c r="AI244" s="32">
        <v>1</v>
      </c>
      <c r="AJ244" s="32">
        <v>1</v>
      </c>
      <c r="AK244" s="20" t="s">
        <v>165</v>
      </c>
      <c r="AL244" s="18" t="s">
        <v>61</v>
      </c>
      <c r="AM244" s="18" t="s">
        <v>61</v>
      </c>
      <c r="AN244" s="18" t="s">
        <v>61</v>
      </c>
    </row>
    <row r="245" spans="2:40" x14ac:dyDescent="0.25">
      <c r="B245" s="146">
        <f t="shared" si="42"/>
        <v>198</v>
      </c>
      <c r="C245" s="17">
        <v>20200518</v>
      </c>
      <c r="D245" s="16" t="s">
        <v>3</v>
      </c>
      <c r="E245" s="16" t="s">
        <v>893</v>
      </c>
      <c r="F245" s="145" t="s">
        <v>1080</v>
      </c>
      <c r="G245" s="18">
        <v>1453440</v>
      </c>
      <c r="H245" s="57" t="s">
        <v>61</v>
      </c>
      <c r="I245" s="16" t="s">
        <v>894</v>
      </c>
      <c r="J245" s="57" t="s">
        <v>61</v>
      </c>
      <c r="K245" s="16" t="s">
        <v>161</v>
      </c>
      <c r="L245" s="16" t="s">
        <v>928</v>
      </c>
      <c r="M245" s="16" t="s">
        <v>927</v>
      </c>
      <c r="N245" s="16" t="s">
        <v>929</v>
      </c>
      <c r="O245" s="18" t="s">
        <v>61</v>
      </c>
      <c r="P245" s="18" t="s">
        <v>930</v>
      </c>
      <c r="Q245" s="19"/>
      <c r="R245" s="57" t="s">
        <v>61</v>
      </c>
      <c r="S245" s="16" t="s">
        <v>68</v>
      </c>
      <c r="T245" s="16"/>
      <c r="U245" s="16"/>
      <c r="V245" s="16">
        <v>59</v>
      </c>
      <c r="W245" s="16">
        <f t="shared" ref="W245:W293" si="48">V245</f>
        <v>59</v>
      </c>
      <c r="X245" s="16">
        <f t="shared" ref="X245:X259" si="49">W245</f>
        <v>59</v>
      </c>
      <c r="Y245" s="16">
        <f>ROUNDDOWN(W245/HLOOKUP(D245,Table!$C$3:$D$4,2,0)*8,2)</f>
        <v>1.04</v>
      </c>
      <c r="Z245" s="16">
        <f>Y245</f>
        <v>1.04</v>
      </c>
      <c r="AA245" s="16" t="s">
        <v>21</v>
      </c>
      <c r="AB245" s="20">
        <v>43971</v>
      </c>
      <c r="AC245" s="20">
        <v>43969</v>
      </c>
      <c r="AD245" s="20">
        <v>43973</v>
      </c>
      <c r="AE245" s="20">
        <v>43969</v>
      </c>
      <c r="AF245" s="20">
        <v>43969</v>
      </c>
      <c r="AG245" s="20" t="s">
        <v>335</v>
      </c>
      <c r="AH245" s="32">
        <v>1</v>
      </c>
      <c r="AI245" s="32">
        <v>1</v>
      </c>
      <c r="AJ245" s="32">
        <v>1</v>
      </c>
      <c r="AK245" s="20" t="s">
        <v>165</v>
      </c>
      <c r="AL245" s="18" t="s">
        <v>61</v>
      </c>
      <c r="AM245" s="18" t="s">
        <v>61</v>
      </c>
      <c r="AN245" s="18" t="s">
        <v>61</v>
      </c>
    </row>
    <row r="246" spans="2:40" x14ac:dyDescent="0.25">
      <c r="B246" s="146">
        <f t="shared" si="42"/>
        <v>199</v>
      </c>
      <c r="C246" s="17">
        <v>20200518</v>
      </c>
      <c r="D246" s="16" t="s">
        <v>3</v>
      </c>
      <c r="E246" s="16" t="s">
        <v>893</v>
      </c>
      <c r="F246" s="145" t="s">
        <v>1080</v>
      </c>
      <c r="G246" s="18">
        <v>1453440</v>
      </c>
      <c r="H246" s="57" t="s">
        <v>61</v>
      </c>
      <c r="I246" s="16" t="s">
        <v>486</v>
      </c>
      <c r="J246" s="57" t="s">
        <v>61</v>
      </c>
      <c r="K246" s="16" t="s">
        <v>161</v>
      </c>
      <c r="L246" s="16" t="s">
        <v>928</v>
      </c>
      <c r="M246" s="16" t="s">
        <v>927</v>
      </c>
      <c r="N246" s="16" t="s">
        <v>929</v>
      </c>
      <c r="O246" s="18" t="s">
        <v>61</v>
      </c>
      <c r="P246" s="18" t="s">
        <v>930</v>
      </c>
      <c r="Q246" s="19"/>
      <c r="R246" s="57" t="s">
        <v>61</v>
      </c>
      <c r="S246" s="16" t="s">
        <v>68</v>
      </c>
      <c r="T246" s="16"/>
      <c r="U246" s="16"/>
      <c r="V246" s="16">
        <v>18</v>
      </c>
      <c r="W246" s="16">
        <f t="shared" si="48"/>
        <v>18</v>
      </c>
      <c r="X246" s="16">
        <f t="shared" si="49"/>
        <v>18</v>
      </c>
      <c r="Y246" s="16">
        <f>ROUNDDOWN(W246/HLOOKUP(D246,Table!$C$3:$D$4,2,0)*8,2)</f>
        <v>0.32</v>
      </c>
      <c r="Z246" s="16">
        <f>Y246</f>
        <v>0.32</v>
      </c>
      <c r="AA246" s="16" t="s">
        <v>21</v>
      </c>
      <c r="AB246" s="20">
        <v>43971</v>
      </c>
      <c r="AC246" s="20">
        <v>43969</v>
      </c>
      <c r="AD246" s="20">
        <v>43973</v>
      </c>
      <c r="AE246" s="20">
        <v>43969</v>
      </c>
      <c r="AF246" s="20">
        <v>43969</v>
      </c>
      <c r="AG246" s="20" t="s">
        <v>335</v>
      </c>
      <c r="AH246" s="32">
        <v>1</v>
      </c>
      <c r="AI246" s="32">
        <v>1</v>
      </c>
      <c r="AJ246" s="32">
        <v>1</v>
      </c>
      <c r="AK246" s="20" t="s">
        <v>165</v>
      </c>
      <c r="AL246" s="18" t="s">
        <v>61</v>
      </c>
      <c r="AM246" s="18" t="s">
        <v>61</v>
      </c>
      <c r="AN246" s="18" t="s">
        <v>61</v>
      </c>
    </row>
    <row r="247" spans="2:40" x14ac:dyDescent="0.25">
      <c r="B247" s="146">
        <f t="shared" si="42"/>
        <v>200</v>
      </c>
      <c r="C247" s="17">
        <v>20200518</v>
      </c>
      <c r="D247" s="16" t="s">
        <v>3</v>
      </c>
      <c r="E247" s="16" t="s">
        <v>893</v>
      </c>
      <c r="F247" s="145" t="s">
        <v>1079</v>
      </c>
      <c r="G247" s="18">
        <v>1453440</v>
      </c>
      <c r="H247" s="57" t="s">
        <v>61</v>
      </c>
      <c r="I247" s="16" t="s">
        <v>895</v>
      </c>
      <c r="J247" s="57" t="s">
        <v>61</v>
      </c>
      <c r="K247" s="16" t="s">
        <v>161</v>
      </c>
      <c r="L247" s="16" t="s">
        <v>928</v>
      </c>
      <c r="M247" s="16" t="s">
        <v>927</v>
      </c>
      <c r="N247" s="16" t="s">
        <v>929</v>
      </c>
      <c r="O247" s="18" t="s">
        <v>61</v>
      </c>
      <c r="P247" s="18" t="s">
        <v>930</v>
      </c>
      <c r="Q247" s="19"/>
      <c r="R247" s="57" t="s">
        <v>61</v>
      </c>
      <c r="S247" s="16" t="s">
        <v>69</v>
      </c>
      <c r="T247" s="16"/>
      <c r="U247" s="16"/>
      <c r="V247" s="16">
        <v>27</v>
      </c>
      <c r="W247" s="16">
        <f t="shared" si="48"/>
        <v>27</v>
      </c>
      <c r="X247" s="16">
        <f t="shared" si="49"/>
        <v>27</v>
      </c>
      <c r="Y247" s="16">
        <f>ROUNDDOWN(W247/HLOOKUP(D247,Table!$C$3:$D$4,2,0)*8,2)</f>
        <v>0.48</v>
      </c>
      <c r="Z247" s="16">
        <v>0.4</v>
      </c>
      <c r="AA247" s="16" t="s">
        <v>21</v>
      </c>
      <c r="AB247" s="20">
        <v>43971</v>
      </c>
      <c r="AC247" s="20">
        <v>43969</v>
      </c>
      <c r="AD247" s="20">
        <v>43973</v>
      </c>
      <c r="AE247" s="20">
        <v>43969</v>
      </c>
      <c r="AF247" s="20">
        <v>43969</v>
      </c>
      <c r="AG247" s="20" t="s">
        <v>335</v>
      </c>
      <c r="AH247" s="32">
        <v>1</v>
      </c>
      <c r="AI247" s="32">
        <v>1</v>
      </c>
      <c r="AJ247" s="32">
        <v>1</v>
      </c>
      <c r="AK247" s="20" t="s">
        <v>165</v>
      </c>
      <c r="AL247" s="18" t="s">
        <v>61</v>
      </c>
      <c r="AM247" s="18" t="s">
        <v>61</v>
      </c>
      <c r="AN247" s="18" t="s">
        <v>61</v>
      </c>
    </row>
    <row r="248" spans="2:40" x14ac:dyDescent="0.25">
      <c r="B248" s="146">
        <f t="shared" si="42"/>
        <v>201</v>
      </c>
      <c r="C248" s="17">
        <v>20200518</v>
      </c>
      <c r="D248" s="16" t="s">
        <v>3</v>
      </c>
      <c r="E248" s="16" t="s">
        <v>893</v>
      </c>
      <c r="F248" s="80" t="s">
        <v>1081</v>
      </c>
      <c r="G248" s="18">
        <v>1453440</v>
      </c>
      <c r="H248" s="57" t="s">
        <v>61</v>
      </c>
      <c r="I248" s="16" t="s">
        <v>491</v>
      </c>
      <c r="J248" s="57" t="s">
        <v>61</v>
      </c>
      <c r="K248" s="16" t="s">
        <v>161</v>
      </c>
      <c r="L248" s="16" t="s">
        <v>928</v>
      </c>
      <c r="M248" s="16" t="s">
        <v>927</v>
      </c>
      <c r="N248" s="16" t="s">
        <v>929</v>
      </c>
      <c r="O248" s="18" t="s">
        <v>61</v>
      </c>
      <c r="P248" s="18" t="s">
        <v>930</v>
      </c>
      <c r="Q248" s="19"/>
      <c r="R248" s="57" t="s">
        <v>61</v>
      </c>
      <c r="S248" s="16" t="s">
        <v>67</v>
      </c>
      <c r="T248" s="16"/>
      <c r="U248" s="16"/>
      <c r="V248" s="16">
        <v>220</v>
      </c>
      <c r="W248" s="16">
        <f t="shared" si="48"/>
        <v>220</v>
      </c>
      <c r="X248" s="16">
        <f t="shared" si="49"/>
        <v>220</v>
      </c>
      <c r="Y248" s="16">
        <f>ROUNDDOWN(W248/HLOOKUP(D248,Table!$C$3:$D$4,2,0)*8,2)</f>
        <v>3.91</v>
      </c>
      <c r="Z248" s="16">
        <v>3</v>
      </c>
      <c r="AA248" s="16" t="s">
        <v>21</v>
      </c>
      <c r="AB248" s="20">
        <v>43971</v>
      </c>
      <c r="AC248" s="20">
        <v>43969</v>
      </c>
      <c r="AD248" s="20">
        <v>43973</v>
      </c>
      <c r="AE248" s="20">
        <v>43969</v>
      </c>
      <c r="AF248" s="20">
        <v>43969</v>
      </c>
      <c r="AG248" s="20" t="s">
        <v>335</v>
      </c>
      <c r="AH248" s="32">
        <v>1</v>
      </c>
      <c r="AI248" s="32">
        <v>1</v>
      </c>
      <c r="AJ248" s="32">
        <v>1</v>
      </c>
      <c r="AK248" s="20" t="s">
        <v>165</v>
      </c>
      <c r="AL248" s="18" t="s">
        <v>61</v>
      </c>
      <c r="AM248" s="18" t="s">
        <v>61</v>
      </c>
      <c r="AN248" s="18" t="s">
        <v>61</v>
      </c>
    </row>
    <row r="249" spans="2:40" x14ac:dyDescent="0.25">
      <c r="B249" s="146">
        <f t="shared" si="42"/>
        <v>202</v>
      </c>
      <c r="C249" s="17">
        <v>20200518</v>
      </c>
      <c r="D249" s="16" t="s">
        <v>3</v>
      </c>
      <c r="E249" s="16" t="s">
        <v>701</v>
      </c>
      <c r="F249" s="145" t="s">
        <v>1082</v>
      </c>
      <c r="G249" s="18">
        <v>1452946</v>
      </c>
      <c r="H249" s="57" t="s">
        <v>61</v>
      </c>
      <c r="I249" s="16" t="s">
        <v>799</v>
      </c>
      <c r="J249" s="57" t="s">
        <v>61</v>
      </c>
      <c r="K249" s="16" t="s">
        <v>161</v>
      </c>
      <c r="L249" s="16" t="s">
        <v>935</v>
      </c>
      <c r="M249" s="16" t="s">
        <v>702</v>
      </c>
      <c r="N249" s="16" t="s">
        <v>711</v>
      </c>
      <c r="O249" s="18" t="s">
        <v>61</v>
      </c>
      <c r="P249" s="18" t="s">
        <v>930</v>
      </c>
      <c r="Q249" s="19"/>
      <c r="R249" s="57" t="s">
        <v>61</v>
      </c>
      <c r="S249" s="16" t="s">
        <v>68</v>
      </c>
      <c r="T249" s="16"/>
      <c r="U249" s="16"/>
      <c r="V249" s="16">
        <v>109</v>
      </c>
      <c r="W249" s="16">
        <f t="shared" si="48"/>
        <v>109</v>
      </c>
      <c r="X249" s="16">
        <f t="shared" si="49"/>
        <v>109</v>
      </c>
      <c r="Y249" s="16">
        <f>ROUNDDOWN(W249/HLOOKUP(D249,Table!$C$3:$D$4,2,0)*8,2)</f>
        <v>1.93</v>
      </c>
      <c r="Z249" s="16">
        <f>Y249</f>
        <v>1.93</v>
      </c>
      <c r="AA249" s="16" t="s">
        <v>18</v>
      </c>
      <c r="AB249" s="20"/>
      <c r="AC249" s="20">
        <v>43969</v>
      </c>
      <c r="AD249" s="20">
        <v>43973</v>
      </c>
      <c r="AE249" s="20">
        <v>43971</v>
      </c>
      <c r="AF249" s="20">
        <v>43971</v>
      </c>
      <c r="AG249" s="20" t="s">
        <v>335</v>
      </c>
      <c r="AH249" s="32">
        <v>1</v>
      </c>
      <c r="AI249" s="32">
        <v>1</v>
      </c>
      <c r="AJ249" s="32">
        <v>1</v>
      </c>
      <c r="AK249" s="20" t="s">
        <v>165</v>
      </c>
      <c r="AL249" s="18" t="s">
        <v>61</v>
      </c>
      <c r="AM249" s="18" t="s">
        <v>61</v>
      </c>
      <c r="AN249" s="18" t="s">
        <v>61</v>
      </c>
    </row>
    <row r="250" spans="2:40" x14ac:dyDescent="0.25">
      <c r="B250" s="146">
        <f t="shared" si="42"/>
        <v>203</v>
      </c>
      <c r="C250" s="17">
        <v>20200518</v>
      </c>
      <c r="D250" s="16" t="s">
        <v>3</v>
      </c>
      <c r="E250" s="16" t="s">
        <v>701</v>
      </c>
      <c r="F250" s="145" t="s">
        <v>1083</v>
      </c>
      <c r="G250" s="18">
        <v>1452946</v>
      </c>
      <c r="H250" s="57" t="s">
        <v>61</v>
      </c>
      <c r="I250" s="16" t="s">
        <v>894</v>
      </c>
      <c r="J250" s="57" t="s">
        <v>61</v>
      </c>
      <c r="K250" s="16" t="s">
        <v>161</v>
      </c>
      <c r="L250" s="16" t="s">
        <v>935</v>
      </c>
      <c r="M250" s="16" t="s">
        <v>702</v>
      </c>
      <c r="N250" s="16" t="s">
        <v>711</v>
      </c>
      <c r="O250" s="18" t="s">
        <v>61</v>
      </c>
      <c r="P250" s="18" t="s">
        <v>930</v>
      </c>
      <c r="Q250" s="19"/>
      <c r="R250" s="57" t="s">
        <v>61</v>
      </c>
      <c r="S250" s="16" t="s">
        <v>68</v>
      </c>
      <c r="T250" s="16"/>
      <c r="U250" s="16"/>
      <c r="V250" s="16">
        <v>59</v>
      </c>
      <c r="W250" s="16">
        <f t="shared" si="48"/>
        <v>59</v>
      </c>
      <c r="X250" s="16">
        <f t="shared" si="49"/>
        <v>59</v>
      </c>
      <c r="Y250" s="16">
        <f>ROUNDDOWN(W250/HLOOKUP(D250,Table!$C$3:$D$4,2,0)*8,2)</f>
        <v>1.04</v>
      </c>
      <c r="Z250" s="16">
        <f>Y250</f>
        <v>1.04</v>
      </c>
      <c r="AA250" s="16" t="s">
        <v>18</v>
      </c>
      <c r="AB250" s="20"/>
      <c r="AC250" s="20">
        <v>43969</v>
      </c>
      <c r="AD250" s="20">
        <v>43973</v>
      </c>
      <c r="AE250" s="20">
        <v>43971</v>
      </c>
      <c r="AF250" s="20">
        <v>43971</v>
      </c>
      <c r="AG250" s="20" t="s">
        <v>335</v>
      </c>
      <c r="AH250" s="32">
        <v>1</v>
      </c>
      <c r="AI250" s="32">
        <v>1</v>
      </c>
      <c r="AJ250" s="32">
        <v>1</v>
      </c>
      <c r="AK250" s="20" t="s">
        <v>165</v>
      </c>
      <c r="AL250" s="18" t="s">
        <v>61</v>
      </c>
      <c r="AM250" s="18" t="s">
        <v>61</v>
      </c>
      <c r="AN250" s="18" t="s">
        <v>61</v>
      </c>
    </row>
    <row r="251" spans="2:40" x14ac:dyDescent="0.25">
      <c r="B251" s="146">
        <f t="shared" ref="B251:B258" si="50">B250+1</f>
        <v>204</v>
      </c>
      <c r="C251" s="17">
        <v>20200518</v>
      </c>
      <c r="D251" s="16" t="s">
        <v>3</v>
      </c>
      <c r="E251" s="16" t="s">
        <v>701</v>
      </c>
      <c r="F251" s="145" t="s">
        <v>1082</v>
      </c>
      <c r="G251" s="18">
        <v>1452946</v>
      </c>
      <c r="H251" s="57" t="s">
        <v>61</v>
      </c>
      <c r="I251" s="16" t="s">
        <v>802</v>
      </c>
      <c r="J251" s="57" t="s">
        <v>61</v>
      </c>
      <c r="K251" s="16" t="s">
        <v>161</v>
      </c>
      <c r="L251" s="16" t="s">
        <v>935</v>
      </c>
      <c r="M251" s="16" t="s">
        <v>702</v>
      </c>
      <c r="N251" s="16" t="s">
        <v>711</v>
      </c>
      <c r="O251" s="18" t="s">
        <v>61</v>
      </c>
      <c r="P251" s="18" t="s">
        <v>930</v>
      </c>
      <c r="Q251" s="19"/>
      <c r="R251" s="57" t="s">
        <v>61</v>
      </c>
      <c r="S251" s="16" t="s">
        <v>69</v>
      </c>
      <c r="T251" s="16"/>
      <c r="U251" s="16"/>
      <c r="V251" s="16">
        <v>125</v>
      </c>
      <c r="W251" s="16">
        <f t="shared" si="48"/>
        <v>125</v>
      </c>
      <c r="X251" s="16">
        <f t="shared" si="49"/>
        <v>125</v>
      </c>
      <c r="Y251" s="16">
        <f>ROUNDDOWN(W251/HLOOKUP(D251,Table!$C$3:$D$4,2,0)*8,2)</f>
        <v>2.2200000000000002</v>
      </c>
      <c r="Z251" s="16">
        <v>2</v>
      </c>
      <c r="AA251" s="16" t="s">
        <v>18</v>
      </c>
      <c r="AB251" s="20"/>
      <c r="AC251" s="20">
        <v>43969</v>
      </c>
      <c r="AD251" s="20">
        <v>43973</v>
      </c>
      <c r="AE251" s="20">
        <v>43969</v>
      </c>
      <c r="AF251" s="20">
        <v>43969</v>
      </c>
      <c r="AG251" s="20" t="s">
        <v>335</v>
      </c>
      <c r="AH251" s="32">
        <v>1</v>
      </c>
      <c r="AI251" s="32">
        <v>1</v>
      </c>
      <c r="AJ251" s="32">
        <v>1</v>
      </c>
      <c r="AK251" s="20" t="s">
        <v>165</v>
      </c>
      <c r="AL251" s="18" t="s">
        <v>61</v>
      </c>
      <c r="AM251" s="18" t="s">
        <v>61</v>
      </c>
      <c r="AN251" s="18" t="s">
        <v>61</v>
      </c>
    </row>
    <row r="252" spans="2:40" s="176" customFormat="1" x14ac:dyDescent="0.25">
      <c r="B252" s="146">
        <f t="shared" si="50"/>
        <v>205</v>
      </c>
      <c r="C252" s="177">
        <v>20200518</v>
      </c>
      <c r="D252" s="177" t="s">
        <v>3</v>
      </c>
      <c r="E252" s="177" t="s">
        <v>701</v>
      </c>
      <c r="F252" s="179" t="s">
        <v>1083</v>
      </c>
      <c r="G252" s="178">
        <v>1452946</v>
      </c>
      <c r="H252" s="191" t="s">
        <v>61</v>
      </c>
      <c r="I252" s="177" t="s">
        <v>486</v>
      </c>
      <c r="J252" s="191" t="s">
        <v>61</v>
      </c>
      <c r="K252" s="177" t="s">
        <v>161</v>
      </c>
      <c r="L252" s="177" t="s">
        <v>935</v>
      </c>
      <c r="M252" s="177" t="s">
        <v>702</v>
      </c>
      <c r="N252" s="177" t="s">
        <v>711</v>
      </c>
      <c r="O252" s="178" t="s">
        <v>61</v>
      </c>
      <c r="P252" s="178" t="s">
        <v>930</v>
      </c>
      <c r="Q252" s="19"/>
      <c r="R252" s="57" t="s">
        <v>61</v>
      </c>
      <c r="S252" s="177" t="s">
        <v>68</v>
      </c>
      <c r="T252" s="177"/>
      <c r="U252" s="177"/>
      <c r="V252" s="177">
        <v>18</v>
      </c>
      <c r="W252" s="177">
        <f>V252</f>
        <v>18</v>
      </c>
      <c r="X252" s="177">
        <f t="shared" si="49"/>
        <v>18</v>
      </c>
      <c r="Y252" s="177">
        <f>ROUNDDOWN(W252/HLOOKUP(D252,Table!$C$3:$D$4,2,0)*8,2)</f>
        <v>0.32</v>
      </c>
      <c r="Z252" s="177">
        <f>Y252</f>
        <v>0.32</v>
      </c>
      <c r="AA252" s="177" t="s">
        <v>18</v>
      </c>
      <c r="AB252" s="174"/>
      <c r="AC252" s="174">
        <v>43969</v>
      </c>
      <c r="AD252" s="174">
        <v>43973</v>
      </c>
      <c r="AE252" s="174">
        <v>43971</v>
      </c>
      <c r="AF252" s="174">
        <v>43971</v>
      </c>
      <c r="AG252" s="174" t="s">
        <v>335</v>
      </c>
      <c r="AH252" s="175">
        <v>1</v>
      </c>
      <c r="AI252" s="175">
        <v>1</v>
      </c>
      <c r="AJ252" s="175">
        <v>1</v>
      </c>
      <c r="AK252" s="174" t="s">
        <v>165</v>
      </c>
      <c r="AL252" s="178" t="s">
        <v>61</v>
      </c>
      <c r="AM252" s="178" t="s">
        <v>61</v>
      </c>
      <c r="AN252" s="178" t="s">
        <v>61</v>
      </c>
    </row>
    <row r="253" spans="2:40" x14ac:dyDescent="0.25">
      <c r="B253" s="146">
        <f t="shared" si="50"/>
        <v>206</v>
      </c>
      <c r="C253" s="17">
        <v>20200518</v>
      </c>
      <c r="D253" s="16" t="s">
        <v>3</v>
      </c>
      <c r="E253" s="16" t="s">
        <v>701</v>
      </c>
      <c r="F253" s="145" t="s">
        <v>1084</v>
      </c>
      <c r="G253" s="18">
        <v>1452946</v>
      </c>
      <c r="H253" s="57" t="s">
        <v>61</v>
      </c>
      <c r="I253" s="16" t="s">
        <v>491</v>
      </c>
      <c r="J253" s="57" t="s">
        <v>61</v>
      </c>
      <c r="K253" s="16" t="s">
        <v>161</v>
      </c>
      <c r="L253" s="16" t="s">
        <v>935</v>
      </c>
      <c r="M253" s="16" t="s">
        <v>702</v>
      </c>
      <c r="N253" s="16" t="s">
        <v>711</v>
      </c>
      <c r="O253" s="18" t="s">
        <v>61</v>
      </c>
      <c r="P253" s="18" t="s">
        <v>930</v>
      </c>
      <c r="Q253" s="19"/>
      <c r="R253" s="57" t="s">
        <v>61</v>
      </c>
      <c r="S253" s="16" t="s">
        <v>67</v>
      </c>
      <c r="T253" s="16"/>
      <c r="U253" s="16"/>
      <c r="V253" s="16">
        <v>220</v>
      </c>
      <c r="W253" s="16">
        <f t="shared" si="48"/>
        <v>220</v>
      </c>
      <c r="X253" s="16">
        <f t="shared" si="49"/>
        <v>220</v>
      </c>
      <c r="Y253" s="16">
        <f>ROUNDDOWN(W253/HLOOKUP(D253,Table!$C$3:$D$4,2,0)*8,2)</f>
        <v>3.91</v>
      </c>
      <c r="Z253" s="16">
        <v>3</v>
      </c>
      <c r="AA253" s="16" t="s">
        <v>18</v>
      </c>
      <c r="AB253" s="20"/>
      <c r="AC253" s="20">
        <v>43969</v>
      </c>
      <c r="AD253" s="20">
        <v>43973</v>
      </c>
      <c r="AE253" s="20">
        <v>43971</v>
      </c>
      <c r="AF253" s="20">
        <v>43971</v>
      </c>
      <c r="AG253" s="20" t="s">
        <v>335</v>
      </c>
      <c r="AH253" s="32">
        <v>1</v>
      </c>
      <c r="AI253" s="32">
        <v>1</v>
      </c>
      <c r="AJ253" s="32">
        <v>1</v>
      </c>
      <c r="AK253" s="20" t="s">
        <v>165</v>
      </c>
      <c r="AL253" s="18" t="s">
        <v>61</v>
      </c>
      <c r="AM253" s="18" t="s">
        <v>61</v>
      </c>
      <c r="AN253" s="18" t="s">
        <v>61</v>
      </c>
    </row>
    <row r="254" spans="2:40" s="176" customFormat="1" x14ac:dyDescent="0.25">
      <c r="B254" s="146">
        <f t="shared" si="50"/>
        <v>207</v>
      </c>
      <c r="C254" s="177">
        <v>20200518</v>
      </c>
      <c r="D254" s="177" t="s">
        <v>3</v>
      </c>
      <c r="E254" s="177" t="s">
        <v>701</v>
      </c>
      <c r="F254" s="179" t="s">
        <v>1085</v>
      </c>
      <c r="G254" s="178">
        <v>1452946</v>
      </c>
      <c r="H254" s="191" t="s">
        <v>61</v>
      </c>
      <c r="I254" s="177" t="s">
        <v>896</v>
      </c>
      <c r="J254" s="191" t="s">
        <v>61</v>
      </c>
      <c r="K254" s="177" t="s">
        <v>161</v>
      </c>
      <c r="L254" s="177" t="s">
        <v>935</v>
      </c>
      <c r="M254" s="177" t="s">
        <v>702</v>
      </c>
      <c r="N254" s="177" t="s">
        <v>711</v>
      </c>
      <c r="O254" s="178" t="s">
        <v>61</v>
      </c>
      <c r="P254" s="178" t="s">
        <v>930</v>
      </c>
      <c r="Q254" s="19"/>
      <c r="R254" s="57" t="s">
        <v>61</v>
      </c>
      <c r="S254" s="177" t="s">
        <v>68</v>
      </c>
      <c r="T254" s="177"/>
      <c r="U254" s="177"/>
      <c r="V254" s="177">
        <v>117</v>
      </c>
      <c r="W254" s="177">
        <f>V254</f>
        <v>117</v>
      </c>
      <c r="X254" s="177">
        <f t="shared" si="49"/>
        <v>117</v>
      </c>
      <c r="Y254" s="177">
        <f>ROUNDDOWN(W254/HLOOKUP(D254,Table!$C$3:$D$4,2,0)*8,2)</f>
        <v>2.08</v>
      </c>
      <c r="Z254" s="177">
        <f>Y254</f>
        <v>2.08</v>
      </c>
      <c r="AA254" s="177" t="s">
        <v>18</v>
      </c>
      <c r="AB254" s="174"/>
      <c r="AC254" s="174">
        <v>43969</v>
      </c>
      <c r="AD254" s="174">
        <v>43973</v>
      </c>
      <c r="AE254" s="174">
        <v>43971</v>
      </c>
      <c r="AF254" s="174">
        <v>43971</v>
      </c>
      <c r="AG254" s="174" t="s">
        <v>335</v>
      </c>
      <c r="AH254" s="175">
        <v>1</v>
      </c>
      <c r="AI254" s="175">
        <v>1</v>
      </c>
      <c r="AJ254" s="175">
        <v>1</v>
      </c>
      <c r="AK254" s="174" t="s">
        <v>149</v>
      </c>
      <c r="AL254" s="178" t="s">
        <v>61</v>
      </c>
      <c r="AM254" s="178" t="s">
        <v>61</v>
      </c>
      <c r="AN254" s="178" t="s">
        <v>1129</v>
      </c>
    </row>
    <row r="255" spans="2:40" x14ac:dyDescent="0.25">
      <c r="B255" s="146">
        <f t="shared" si="50"/>
        <v>208</v>
      </c>
      <c r="C255" s="17">
        <v>20200518</v>
      </c>
      <c r="D255" s="16" t="s">
        <v>3</v>
      </c>
      <c r="E255" s="16" t="s">
        <v>701</v>
      </c>
      <c r="F255" s="145" t="s">
        <v>1085</v>
      </c>
      <c r="G255" s="18">
        <v>1452946</v>
      </c>
      <c r="H255" s="57" t="s">
        <v>61</v>
      </c>
      <c r="I255" s="16" t="s">
        <v>897</v>
      </c>
      <c r="J255" s="57" t="s">
        <v>61</v>
      </c>
      <c r="K255" s="16" t="s">
        <v>161</v>
      </c>
      <c r="L255" s="16" t="s">
        <v>935</v>
      </c>
      <c r="M255" s="16" t="s">
        <v>702</v>
      </c>
      <c r="N255" s="16" t="s">
        <v>711</v>
      </c>
      <c r="O255" s="18" t="s">
        <v>61</v>
      </c>
      <c r="P255" s="18" t="s">
        <v>930</v>
      </c>
      <c r="Q255" s="19"/>
      <c r="R255" s="57" t="s">
        <v>61</v>
      </c>
      <c r="S255" s="16" t="s">
        <v>69</v>
      </c>
      <c r="T255" s="16"/>
      <c r="U255" s="16"/>
      <c r="V255" s="16">
        <v>18</v>
      </c>
      <c r="W255" s="16">
        <f t="shared" si="48"/>
        <v>18</v>
      </c>
      <c r="X255" s="16">
        <f t="shared" si="49"/>
        <v>18</v>
      </c>
      <c r="Y255" s="16">
        <f>ROUNDDOWN(W255/HLOOKUP(D255,Table!$C$3:$D$4,2,0)*8,2)</f>
        <v>0.32</v>
      </c>
      <c r="Z255" s="16">
        <v>0.3</v>
      </c>
      <c r="AA255" s="16" t="s">
        <v>18</v>
      </c>
      <c r="AB255" s="20"/>
      <c r="AC255" s="20">
        <v>43969</v>
      </c>
      <c r="AD255" s="20">
        <v>43973</v>
      </c>
      <c r="AE255" s="20">
        <v>43969</v>
      </c>
      <c r="AF255" s="20">
        <v>43969</v>
      </c>
      <c r="AG255" s="20" t="s">
        <v>335</v>
      </c>
      <c r="AH255" s="32">
        <v>1</v>
      </c>
      <c r="AI255" s="32">
        <v>1</v>
      </c>
      <c r="AJ255" s="32">
        <v>1</v>
      </c>
      <c r="AK255" s="20" t="s">
        <v>165</v>
      </c>
      <c r="AL255" s="18" t="s">
        <v>61</v>
      </c>
      <c r="AM255" s="18" t="s">
        <v>61</v>
      </c>
      <c r="AN255" s="18" t="s">
        <v>61</v>
      </c>
    </row>
    <row r="256" spans="2:40" s="172" customFormat="1" x14ac:dyDescent="0.25">
      <c r="B256" s="190">
        <f t="shared" si="50"/>
        <v>209</v>
      </c>
      <c r="C256" s="17">
        <v>20200518</v>
      </c>
      <c r="D256" s="17" t="s">
        <v>3</v>
      </c>
      <c r="E256" s="17" t="s">
        <v>701</v>
      </c>
      <c r="F256" s="173" t="s">
        <v>1085</v>
      </c>
      <c r="G256" s="152">
        <v>1452946</v>
      </c>
      <c r="H256" s="57" t="s">
        <v>61</v>
      </c>
      <c r="I256" s="17" t="s">
        <v>898</v>
      </c>
      <c r="J256" s="57" t="s">
        <v>61</v>
      </c>
      <c r="K256" s="17" t="s">
        <v>161</v>
      </c>
      <c r="L256" s="17" t="s">
        <v>935</v>
      </c>
      <c r="M256" s="17" t="s">
        <v>702</v>
      </c>
      <c r="N256" s="17" t="s">
        <v>711</v>
      </c>
      <c r="O256" s="152" t="s">
        <v>61</v>
      </c>
      <c r="P256" s="152" t="s">
        <v>930</v>
      </c>
      <c r="Q256" s="19"/>
      <c r="R256" s="57" t="s">
        <v>61</v>
      </c>
      <c r="S256" s="17" t="s">
        <v>68</v>
      </c>
      <c r="T256" s="17"/>
      <c r="U256" s="17"/>
      <c r="V256" s="17">
        <v>49</v>
      </c>
      <c r="W256" s="17">
        <f>V256</f>
        <v>49</v>
      </c>
      <c r="X256" s="17">
        <f t="shared" si="49"/>
        <v>49</v>
      </c>
      <c r="Y256" s="17">
        <f>ROUNDDOWN(W256/HLOOKUP(D256,Table!$C$3:$D$4,2,0)*8,2)</f>
        <v>0.87</v>
      </c>
      <c r="Z256" s="17">
        <f>Y256</f>
        <v>0.87</v>
      </c>
      <c r="AA256" s="17" t="s">
        <v>18</v>
      </c>
      <c r="AB256" s="153"/>
      <c r="AC256" s="153">
        <v>43969</v>
      </c>
      <c r="AD256" s="153">
        <v>43973</v>
      </c>
      <c r="AE256" s="153">
        <v>43971</v>
      </c>
      <c r="AF256" s="153">
        <v>43971</v>
      </c>
      <c r="AG256" s="153" t="s">
        <v>335</v>
      </c>
      <c r="AH256" s="154">
        <v>1</v>
      </c>
      <c r="AI256" s="154">
        <v>1</v>
      </c>
      <c r="AJ256" s="154">
        <v>1</v>
      </c>
      <c r="AK256" s="153" t="s">
        <v>165</v>
      </c>
      <c r="AL256" s="152" t="s">
        <v>61</v>
      </c>
      <c r="AM256" s="152" t="s">
        <v>61</v>
      </c>
      <c r="AN256" s="152" t="s">
        <v>61</v>
      </c>
    </row>
    <row r="257" spans="2:40" x14ac:dyDescent="0.25">
      <c r="B257" s="146">
        <f t="shared" si="50"/>
        <v>210</v>
      </c>
      <c r="C257" s="17">
        <v>20200518</v>
      </c>
      <c r="D257" s="16" t="s">
        <v>3</v>
      </c>
      <c r="E257" s="16" t="s">
        <v>701</v>
      </c>
      <c r="F257" s="145" t="s">
        <v>1085</v>
      </c>
      <c r="G257" s="18">
        <v>1452946</v>
      </c>
      <c r="H257" s="57" t="s">
        <v>61</v>
      </c>
      <c r="I257" s="16" t="s">
        <v>899</v>
      </c>
      <c r="J257" s="57" t="s">
        <v>61</v>
      </c>
      <c r="K257" s="16" t="s">
        <v>161</v>
      </c>
      <c r="L257" s="16" t="s">
        <v>935</v>
      </c>
      <c r="M257" s="16" t="s">
        <v>702</v>
      </c>
      <c r="N257" s="16" t="s">
        <v>711</v>
      </c>
      <c r="O257" s="18" t="s">
        <v>61</v>
      </c>
      <c r="P257" s="18" t="s">
        <v>930</v>
      </c>
      <c r="Q257" s="19"/>
      <c r="R257" s="57" t="s">
        <v>61</v>
      </c>
      <c r="S257" s="16" t="s">
        <v>69</v>
      </c>
      <c r="T257" s="16"/>
      <c r="U257" s="16"/>
      <c r="V257" s="16">
        <v>175</v>
      </c>
      <c r="W257" s="16">
        <f t="shared" si="48"/>
        <v>175</v>
      </c>
      <c r="X257" s="16">
        <f t="shared" si="49"/>
        <v>175</v>
      </c>
      <c r="Y257" s="16">
        <f>ROUNDDOWN(W257/HLOOKUP(D257,Table!$C$3:$D$4,2,0)*8,2)</f>
        <v>3.11</v>
      </c>
      <c r="Z257" s="16">
        <v>3</v>
      </c>
      <c r="AA257" s="16" t="s">
        <v>18</v>
      </c>
      <c r="AB257" s="20"/>
      <c r="AC257" s="20">
        <v>43969</v>
      </c>
      <c r="AD257" s="20">
        <v>43973</v>
      </c>
      <c r="AE257" s="20">
        <v>43969</v>
      </c>
      <c r="AF257" s="20">
        <v>43969</v>
      </c>
      <c r="AG257" s="20" t="s">
        <v>335</v>
      </c>
      <c r="AH257" s="32">
        <v>1</v>
      </c>
      <c r="AI257" s="32">
        <v>1</v>
      </c>
      <c r="AJ257" s="32">
        <v>1</v>
      </c>
      <c r="AK257" s="20" t="s">
        <v>165</v>
      </c>
      <c r="AL257" s="18" t="s">
        <v>61</v>
      </c>
      <c r="AM257" s="18" t="s">
        <v>61</v>
      </c>
      <c r="AN257" s="18" t="s">
        <v>61</v>
      </c>
    </row>
    <row r="258" spans="2:40" x14ac:dyDescent="0.25">
      <c r="B258" s="146">
        <f t="shared" si="50"/>
        <v>211</v>
      </c>
      <c r="C258" s="17">
        <v>20200518</v>
      </c>
      <c r="D258" s="16" t="s">
        <v>3</v>
      </c>
      <c r="E258" s="16" t="s">
        <v>701</v>
      </c>
      <c r="F258" s="145" t="s">
        <v>1085</v>
      </c>
      <c r="G258" s="18">
        <v>1452946</v>
      </c>
      <c r="H258" s="57" t="s">
        <v>61</v>
      </c>
      <c r="I258" s="16" t="s">
        <v>900</v>
      </c>
      <c r="J258" s="57" t="s">
        <v>61</v>
      </c>
      <c r="K258" s="16" t="s">
        <v>161</v>
      </c>
      <c r="L258" s="16" t="s">
        <v>935</v>
      </c>
      <c r="M258" s="16" t="s">
        <v>702</v>
      </c>
      <c r="N258" s="16" t="s">
        <v>711</v>
      </c>
      <c r="O258" s="18" t="s">
        <v>61</v>
      </c>
      <c r="P258" s="18" t="s">
        <v>930</v>
      </c>
      <c r="Q258" s="19"/>
      <c r="R258" s="57" t="s">
        <v>61</v>
      </c>
      <c r="S258" s="16" t="s">
        <v>69</v>
      </c>
      <c r="T258" s="16"/>
      <c r="U258" s="16"/>
      <c r="V258" s="16">
        <v>76</v>
      </c>
      <c r="W258" s="16">
        <f t="shared" si="48"/>
        <v>76</v>
      </c>
      <c r="X258" s="16">
        <f t="shared" si="49"/>
        <v>76</v>
      </c>
      <c r="Y258" s="16">
        <f>ROUNDDOWN(W258/HLOOKUP(D258,Table!$C$3:$D$4,2,0)*8,2)</f>
        <v>1.35</v>
      </c>
      <c r="Z258" s="16">
        <v>1</v>
      </c>
      <c r="AA258" s="16" t="s">
        <v>18</v>
      </c>
      <c r="AB258" s="20"/>
      <c r="AC258" s="20">
        <v>43969</v>
      </c>
      <c r="AD258" s="20">
        <v>43973</v>
      </c>
      <c r="AE258" s="20">
        <v>43969</v>
      </c>
      <c r="AF258" s="20">
        <v>43969</v>
      </c>
      <c r="AG258" s="20" t="s">
        <v>335</v>
      </c>
      <c r="AH258" s="32">
        <v>1</v>
      </c>
      <c r="AI258" s="32">
        <v>1</v>
      </c>
      <c r="AJ258" s="32">
        <v>1</v>
      </c>
      <c r="AK258" s="20" t="s">
        <v>165</v>
      </c>
      <c r="AL258" s="18" t="s">
        <v>61</v>
      </c>
      <c r="AM258" s="18" t="s">
        <v>61</v>
      </c>
      <c r="AN258" s="18" t="s">
        <v>61</v>
      </c>
    </row>
    <row r="259" spans="2:40" x14ac:dyDescent="0.25">
      <c r="B259" s="146">
        <f t="shared" si="42"/>
        <v>212</v>
      </c>
      <c r="C259" s="17">
        <v>20200518</v>
      </c>
      <c r="D259" s="16" t="s">
        <v>3</v>
      </c>
      <c r="E259" s="16" t="s">
        <v>701</v>
      </c>
      <c r="F259" s="163" t="s">
        <v>1085</v>
      </c>
      <c r="G259" s="164">
        <v>1452946</v>
      </c>
      <c r="H259" s="192" t="s">
        <v>61</v>
      </c>
      <c r="I259" s="161" t="s">
        <v>901</v>
      </c>
      <c r="J259" s="57" t="s">
        <v>61</v>
      </c>
      <c r="K259" s="16" t="s">
        <v>161</v>
      </c>
      <c r="L259" s="16" t="s">
        <v>935</v>
      </c>
      <c r="M259" s="16" t="s">
        <v>702</v>
      </c>
      <c r="N259" s="16" t="s">
        <v>711</v>
      </c>
      <c r="O259" s="18" t="s">
        <v>61</v>
      </c>
      <c r="P259" s="18" t="s">
        <v>930</v>
      </c>
      <c r="Q259" s="19"/>
      <c r="R259" s="57" t="s">
        <v>61</v>
      </c>
      <c r="S259" s="16" t="s">
        <v>68</v>
      </c>
      <c r="T259" s="16"/>
      <c r="U259" s="16"/>
      <c r="V259" s="16">
        <v>124</v>
      </c>
      <c r="W259" s="16">
        <f t="shared" si="48"/>
        <v>124</v>
      </c>
      <c r="X259" s="16">
        <f t="shared" si="49"/>
        <v>124</v>
      </c>
      <c r="Y259" s="16">
        <f>ROUNDDOWN(W259/HLOOKUP(D259,Table!$C$3:$D$4,2,0)*8,2)</f>
        <v>2.2000000000000002</v>
      </c>
      <c r="Z259" s="16">
        <f>Y259</f>
        <v>2.2000000000000002</v>
      </c>
      <c r="AA259" s="16" t="s">
        <v>18</v>
      </c>
      <c r="AB259" s="20"/>
      <c r="AC259" s="20">
        <v>43969</v>
      </c>
      <c r="AD259" s="20">
        <v>43973</v>
      </c>
      <c r="AE259" s="20">
        <v>43971</v>
      </c>
      <c r="AF259" s="20">
        <v>43971</v>
      </c>
      <c r="AG259" s="20" t="s">
        <v>335</v>
      </c>
      <c r="AH259" s="32">
        <v>1</v>
      </c>
      <c r="AI259" s="32">
        <v>1</v>
      </c>
      <c r="AJ259" s="32">
        <v>1</v>
      </c>
      <c r="AK259" s="20" t="s">
        <v>165</v>
      </c>
      <c r="AL259" s="18" t="s">
        <v>61</v>
      </c>
      <c r="AM259" s="18" t="s">
        <v>61</v>
      </c>
      <c r="AN259" s="18" t="s">
        <v>61</v>
      </c>
    </row>
    <row r="260" spans="2:40" x14ac:dyDescent="0.25">
      <c r="B260" s="146">
        <f t="shared" si="42"/>
        <v>213</v>
      </c>
      <c r="C260" s="17">
        <v>20200518</v>
      </c>
      <c r="D260" s="16" t="s">
        <v>3</v>
      </c>
      <c r="E260" s="16" t="s">
        <v>701</v>
      </c>
      <c r="F260" s="145" t="s">
        <v>1085</v>
      </c>
      <c r="G260" s="18">
        <v>1452946</v>
      </c>
      <c r="H260" s="57" t="s">
        <v>61</v>
      </c>
      <c r="I260" s="16" t="s">
        <v>902</v>
      </c>
      <c r="J260" s="57" t="s">
        <v>61</v>
      </c>
      <c r="K260" s="16" t="s">
        <v>161</v>
      </c>
      <c r="L260" s="16" t="s">
        <v>935</v>
      </c>
      <c r="M260" s="16" t="s">
        <v>702</v>
      </c>
      <c r="N260" s="16" t="s">
        <v>711</v>
      </c>
      <c r="O260" s="18" t="s">
        <v>61</v>
      </c>
      <c r="P260" s="18" t="s">
        <v>930</v>
      </c>
      <c r="Q260" s="19"/>
      <c r="R260" s="57" t="s">
        <v>61</v>
      </c>
      <c r="S260" s="16" t="s">
        <v>67</v>
      </c>
      <c r="T260" s="16"/>
      <c r="U260" s="16"/>
      <c r="V260" s="16">
        <v>29</v>
      </c>
      <c r="W260" s="16">
        <f t="shared" si="48"/>
        <v>29</v>
      </c>
      <c r="X260" s="16">
        <f t="shared" ref="X260:X267" si="51">W260</f>
        <v>29</v>
      </c>
      <c r="Y260" s="16">
        <f>ROUNDDOWN(W260/HLOOKUP(D260,Table!$C$3:$D$4,2,0)*8,2)</f>
        <v>0.51</v>
      </c>
      <c r="Z260" s="16">
        <v>0.5</v>
      </c>
      <c r="AA260" s="16" t="s">
        <v>18</v>
      </c>
      <c r="AB260" s="20"/>
      <c r="AC260" s="20">
        <v>43969</v>
      </c>
      <c r="AD260" s="20">
        <v>43973</v>
      </c>
      <c r="AE260" s="20">
        <v>43971</v>
      </c>
      <c r="AF260" s="20">
        <v>43971</v>
      </c>
      <c r="AG260" s="20" t="s">
        <v>335</v>
      </c>
      <c r="AH260" s="32">
        <v>1</v>
      </c>
      <c r="AI260" s="32">
        <v>1</v>
      </c>
      <c r="AJ260" s="32">
        <v>1</v>
      </c>
      <c r="AK260" s="20" t="s">
        <v>165</v>
      </c>
      <c r="AL260" s="18" t="s">
        <v>61</v>
      </c>
      <c r="AM260" s="18" t="s">
        <v>61</v>
      </c>
      <c r="AN260" s="18" t="s">
        <v>61</v>
      </c>
    </row>
    <row r="261" spans="2:40" x14ac:dyDescent="0.25">
      <c r="B261" s="146">
        <f t="shared" si="42"/>
        <v>214</v>
      </c>
      <c r="C261" s="17">
        <v>20200518</v>
      </c>
      <c r="D261" s="16" t="s">
        <v>3</v>
      </c>
      <c r="E261" s="16" t="s">
        <v>701</v>
      </c>
      <c r="F261" s="145" t="s">
        <v>1085</v>
      </c>
      <c r="G261" s="18">
        <v>1452946</v>
      </c>
      <c r="H261" s="57" t="s">
        <v>61</v>
      </c>
      <c r="I261" s="16" t="s">
        <v>903</v>
      </c>
      <c r="J261" s="57" t="s">
        <v>61</v>
      </c>
      <c r="K261" s="16" t="s">
        <v>161</v>
      </c>
      <c r="L261" s="16" t="s">
        <v>935</v>
      </c>
      <c r="M261" s="16" t="s">
        <v>702</v>
      </c>
      <c r="N261" s="16" t="s">
        <v>711</v>
      </c>
      <c r="O261" s="18" t="s">
        <v>61</v>
      </c>
      <c r="P261" s="18" t="s">
        <v>930</v>
      </c>
      <c r="Q261" s="19"/>
      <c r="R261" s="57" t="s">
        <v>61</v>
      </c>
      <c r="S261" s="16" t="s">
        <v>70</v>
      </c>
      <c r="T261" s="16"/>
      <c r="U261" s="16"/>
      <c r="V261" s="16">
        <v>17</v>
      </c>
      <c r="W261" s="16">
        <f t="shared" si="48"/>
        <v>17</v>
      </c>
      <c r="X261" s="16">
        <f t="shared" si="51"/>
        <v>17</v>
      </c>
      <c r="Y261" s="16">
        <f>ROUNDDOWN(W261/HLOOKUP(D261,Table!$C$3:$D$4,2,0)*8,2)</f>
        <v>0.3</v>
      </c>
      <c r="Z261" s="16">
        <v>0.5</v>
      </c>
      <c r="AA261" s="16" t="s">
        <v>18</v>
      </c>
      <c r="AB261" s="20"/>
      <c r="AC261" s="20">
        <v>43969</v>
      </c>
      <c r="AD261" s="20">
        <v>43973</v>
      </c>
      <c r="AE261" s="20">
        <v>43969</v>
      </c>
      <c r="AF261" s="20">
        <v>43969</v>
      </c>
      <c r="AG261" s="20" t="s">
        <v>335</v>
      </c>
      <c r="AH261" s="32">
        <v>1</v>
      </c>
      <c r="AI261" s="32">
        <v>1</v>
      </c>
      <c r="AJ261" s="32">
        <v>1</v>
      </c>
      <c r="AK261" s="20" t="s">
        <v>165</v>
      </c>
      <c r="AL261" s="18" t="s">
        <v>61</v>
      </c>
      <c r="AM261" s="18" t="s">
        <v>61</v>
      </c>
      <c r="AN261" s="18" t="s">
        <v>61</v>
      </c>
    </row>
    <row r="262" spans="2:40" s="155" customFormat="1" x14ac:dyDescent="0.25">
      <c r="B262" s="146">
        <f t="shared" ref="B262:B271" si="52">B261+1</f>
        <v>215</v>
      </c>
      <c r="C262" s="17">
        <v>20200518</v>
      </c>
      <c r="D262" s="17" t="s">
        <v>3</v>
      </c>
      <c r="E262" s="17" t="s">
        <v>701</v>
      </c>
      <c r="F262" s="151" t="s">
        <v>1085</v>
      </c>
      <c r="G262" s="152">
        <v>1452946</v>
      </c>
      <c r="H262" s="57" t="s">
        <v>61</v>
      </c>
      <c r="I262" s="17" t="s">
        <v>904</v>
      </c>
      <c r="J262" s="57" t="s">
        <v>61</v>
      </c>
      <c r="K262" s="17" t="s">
        <v>161</v>
      </c>
      <c r="L262" s="17" t="s">
        <v>935</v>
      </c>
      <c r="M262" s="17" t="s">
        <v>702</v>
      </c>
      <c r="N262" s="17" t="s">
        <v>711</v>
      </c>
      <c r="O262" s="152" t="s">
        <v>61</v>
      </c>
      <c r="P262" s="152" t="s">
        <v>930</v>
      </c>
      <c r="Q262" s="19"/>
      <c r="R262" s="57" t="s">
        <v>61</v>
      </c>
      <c r="S262" s="17" t="s">
        <v>69</v>
      </c>
      <c r="T262" s="17"/>
      <c r="U262" s="17"/>
      <c r="V262" s="17">
        <v>90</v>
      </c>
      <c r="W262" s="17">
        <f t="shared" si="48"/>
        <v>90</v>
      </c>
      <c r="X262" s="17">
        <f t="shared" si="51"/>
        <v>90</v>
      </c>
      <c r="Y262" s="17">
        <f>ROUNDDOWN(W262/HLOOKUP(D262,Table!$C$3:$D$4,2,0)*8,2)</f>
        <v>1.6</v>
      </c>
      <c r="Z262" s="17">
        <v>0.5</v>
      </c>
      <c r="AA262" s="17" t="s">
        <v>18</v>
      </c>
      <c r="AB262" s="153"/>
      <c r="AC262" s="153">
        <v>43969</v>
      </c>
      <c r="AD262" s="153">
        <v>43973</v>
      </c>
      <c r="AE262" s="153">
        <v>43970</v>
      </c>
      <c r="AF262" s="153">
        <v>43970</v>
      </c>
      <c r="AG262" s="153" t="s">
        <v>335</v>
      </c>
      <c r="AH262" s="154">
        <v>1</v>
      </c>
      <c r="AI262" s="154">
        <v>1</v>
      </c>
      <c r="AJ262" s="154">
        <v>1</v>
      </c>
      <c r="AK262" s="153" t="s">
        <v>165</v>
      </c>
      <c r="AL262" s="152" t="s">
        <v>61</v>
      </c>
      <c r="AM262" s="152" t="s">
        <v>61</v>
      </c>
      <c r="AN262" s="152" t="s">
        <v>61</v>
      </c>
    </row>
    <row r="263" spans="2:40" x14ac:dyDescent="0.25">
      <c r="B263" s="146">
        <f t="shared" si="52"/>
        <v>216</v>
      </c>
      <c r="C263" s="17">
        <v>20200518</v>
      </c>
      <c r="D263" s="16" t="s">
        <v>3</v>
      </c>
      <c r="E263" s="16" t="s">
        <v>701</v>
      </c>
      <c r="F263" s="145" t="s">
        <v>1085</v>
      </c>
      <c r="G263" s="18">
        <v>1452946</v>
      </c>
      <c r="H263" s="57" t="s">
        <v>61</v>
      </c>
      <c r="I263" s="16" t="s">
        <v>905</v>
      </c>
      <c r="J263" s="57" t="s">
        <v>61</v>
      </c>
      <c r="K263" s="16" t="s">
        <v>161</v>
      </c>
      <c r="L263" s="16" t="s">
        <v>935</v>
      </c>
      <c r="M263" s="16" t="s">
        <v>702</v>
      </c>
      <c r="N263" s="16" t="s">
        <v>711</v>
      </c>
      <c r="O263" s="18" t="s">
        <v>61</v>
      </c>
      <c r="P263" s="18" t="s">
        <v>930</v>
      </c>
      <c r="Q263" s="19"/>
      <c r="R263" s="57" t="s">
        <v>61</v>
      </c>
      <c r="S263" s="16" t="s">
        <v>69</v>
      </c>
      <c r="T263" s="16"/>
      <c r="U263" s="16"/>
      <c r="V263" s="16">
        <v>48</v>
      </c>
      <c r="W263" s="16">
        <f t="shared" si="48"/>
        <v>48</v>
      </c>
      <c r="X263" s="16">
        <f t="shared" si="51"/>
        <v>48</v>
      </c>
      <c r="Y263" s="16">
        <f>ROUNDDOWN(W263/HLOOKUP(D263,Table!$C$3:$D$4,2,0)*8,2)</f>
        <v>0.85</v>
      </c>
      <c r="Z263" s="16">
        <v>0.5</v>
      </c>
      <c r="AA263" s="16" t="s">
        <v>18</v>
      </c>
      <c r="AB263" s="20"/>
      <c r="AC263" s="20">
        <v>43969</v>
      </c>
      <c r="AD263" s="20">
        <v>43973</v>
      </c>
      <c r="AE263" s="20">
        <v>43970</v>
      </c>
      <c r="AF263" s="20">
        <v>43970</v>
      </c>
      <c r="AG263" s="20" t="s">
        <v>335</v>
      </c>
      <c r="AH263" s="32">
        <v>1</v>
      </c>
      <c r="AI263" s="32">
        <v>1</v>
      </c>
      <c r="AJ263" s="32">
        <v>1</v>
      </c>
      <c r="AK263" s="20" t="s">
        <v>165</v>
      </c>
      <c r="AL263" s="18" t="s">
        <v>61</v>
      </c>
      <c r="AM263" s="18" t="s">
        <v>61</v>
      </c>
      <c r="AN263" s="18" t="s">
        <v>61</v>
      </c>
    </row>
    <row r="264" spans="2:40" x14ac:dyDescent="0.25">
      <c r="B264" s="146">
        <f t="shared" si="52"/>
        <v>217</v>
      </c>
      <c r="C264" s="17">
        <v>20200518</v>
      </c>
      <c r="D264" s="16" t="s">
        <v>3</v>
      </c>
      <c r="E264" s="16" t="s">
        <v>701</v>
      </c>
      <c r="F264" s="145" t="s">
        <v>1085</v>
      </c>
      <c r="G264" s="18">
        <v>1452946</v>
      </c>
      <c r="H264" s="57" t="s">
        <v>61</v>
      </c>
      <c r="I264" s="16" t="s">
        <v>906</v>
      </c>
      <c r="J264" s="57" t="s">
        <v>61</v>
      </c>
      <c r="K264" s="16" t="s">
        <v>161</v>
      </c>
      <c r="L264" s="16" t="s">
        <v>935</v>
      </c>
      <c r="M264" s="16" t="s">
        <v>702</v>
      </c>
      <c r="N264" s="16" t="s">
        <v>711</v>
      </c>
      <c r="O264" s="18" t="s">
        <v>61</v>
      </c>
      <c r="P264" s="18" t="s">
        <v>930</v>
      </c>
      <c r="Q264" s="19"/>
      <c r="R264" s="57" t="s">
        <v>61</v>
      </c>
      <c r="S264" s="16" t="s">
        <v>70</v>
      </c>
      <c r="T264" s="16"/>
      <c r="U264" s="16"/>
      <c r="V264" s="16">
        <v>125</v>
      </c>
      <c r="W264" s="16">
        <f t="shared" si="48"/>
        <v>125</v>
      </c>
      <c r="X264" s="16">
        <f t="shared" si="51"/>
        <v>125</v>
      </c>
      <c r="Y264" s="16">
        <f>ROUNDDOWN(W264/HLOOKUP(D264,Table!$C$3:$D$4,2,0)*8,2)</f>
        <v>2.2200000000000002</v>
      </c>
      <c r="Z264" s="16">
        <v>0.5</v>
      </c>
      <c r="AA264" s="16" t="s">
        <v>18</v>
      </c>
      <c r="AB264" s="20"/>
      <c r="AC264" s="20">
        <v>43969</v>
      </c>
      <c r="AD264" s="20">
        <v>43973</v>
      </c>
      <c r="AE264" s="20">
        <v>43970</v>
      </c>
      <c r="AF264" s="20">
        <v>43970</v>
      </c>
      <c r="AG264" s="20" t="s">
        <v>335</v>
      </c>
      <c r="AH264" s="32">
        <v>1</v>
      </c>
      <c r="AI264" s="32">
        <v>1</v>
      </c>
      <c r="AJ264" s="32">
        <v>1</v>
      </c>
      <c r="AK264" s="20" t="s">
        <v>165</v>
      </c>
      <c r="AL264" s="18" t="s">
        <v>61</v>
      </c>
      <c r="AM264" s="18" t="s">
        <v>61</v>
      </c>
      <c r="AN264" s="18" t="s">
        <v>61</v>
      </c>
    </row>
    <row r="265" spans="2:40" x14ac:dyDescent="0.25">
      <c r="B265" s="146">
        <f t="shared" si="52"/>
        <v>218</v>
      </c>
      <c r="C265" s="17">
        <v>20200518</v>
      </c>
      <c r="D265" s="16" t="s">
        <v>3</v>
      </c>
      <c r="E265" s="16" t="s">
        <v>701</v>
      </c>
      <c r="F265" s="163" t="s">
        <v>1085</v>
      </c>
      <c r="G265" s="164">
        <v>1452946</v>
      </c>
      <c r="H265" s="165" t="s">
        <v>61</v>
      </c>
      <c r="I265" s="161" t="s">
        <v>907</v>
      </c>
      <c r="J265" s="57" t="s">
        <v>61</v>
      </c>
      <c r="K265" s="16" t="s">
        <v>161</v>
      </c>
      <c r="L265" s="16" t="s">
        <v>935</v>
      </c>
      <c r="M265" s="16" t="s">
        <v>702</v>
      </c>
      <c r="N265" s="16" t="s">
        <v>711</v>
      </c>
      <c r="O265" s="18" t="s">
        <v>61</v>
      </c>
      <c r="P265" s="18" t="s">
        <v>930</v>
      </c>
      <c r="Q265" s="19"/>
      <c r="R265" s="57" t="s">
        <v>61</v>
      </c>
      <c r="S265" s="16" t="s">
        <v>68</v>
      </c>
      <c r="T265" s="16"/>
      <c r="U265" s="16"/>
      <c r="V265" s="16">
        <v>58</v>
      </c>
      <c r="W265" s="16">
        <f t="shared" si="48"/>
        <v>58</v>
      </c>
      <c r="X265" s="16">
        <f t="shared" si="51"/>
        <v>58</v>
      </c>
      <c r="Y265" s="16">
        <f>ROUNDDOWN(W265/HLOOKUP(D265,Table!$C$3:$D$4,2,0)*8,2)</f>
        <v>1.03</v>
      </c>
      <c r="Z265" s="16">
        <f>Y265</f>
        <v>1.03</v>
      </c>
      <c r="AA265" s="16" t="s">
        <v>18</v>
      </c>
      <c r="AB265" s="20"/>
      <c r="AC265" s="20">
        <v>43969</v>
      </c>
      <c r="AD265" s="20">
        <v>43973</v>
      </c>
      <c r="AE265" s="20">
        <v>43971</v>
      </c>
      <c r="AF265" s="20">
        <v>43971</v>
      </c>
      <c r="AG265" s="20" t="s">
        <v>335</v>
      </c>
      <c r="AH265" s="32">
        <v>1</v>
      </c>
      <c r="AI265" s="32">
        <v>1</v>
      </c>
      <c r="AJ265" s="32">
        <v>1</v>
      </c>
      <c r="AK265" s="20" t="s">
        <v>165</v>
      </c>
      <c r="AL265" s="18" t="s">
        <v>61</v>
      </c>
      <c r="AM265" s="18" t="s">
        <v>61</v>
      </c>
      <c r="AN265" s="18" t="s">
        <v>61</v>
      </c>
    </row>
    <row r="266" spans="2:40" x14ac:dyDescent="0.25">
      <c r="B266" s="146">
        <f t="shared" si="52"/>
        <v>219</v>
      </c>
      <c r="C266" s="17">
        <v>20200518</v>
      </c>
      <c r="D266" s="16" t="s">
        <v>3</v>
      </c>
      <c r="E266" s="16" t="s">
        <v>701</v>
      </c>
      <c r="F266" s="145" t="s">
        <v>1085</v>
      </c>
      <c r="G266" s="18">
        <v>1452946</v>
      </c>
      <c r="H266" s="57" t="s">
        <v>61</v>
      </c>
      <c r="I266" s="16" t="s">
        <v>908</v>
      </c>
      <c r="J266" s="57" t="s">
        <v>61</v>
      </c>
      <c r="K266" s="16" t="s">
        <v>161</v>
      </c>
      <c r="L266" s="16" t="s">
        <v>935</v>
      </c>
      <c r="M266" s="16" t="s">
        <v>702</v>
      </c>
      <c r="N266" s="16" t="s">
        <v>711</v>
      </c>
      <c r="O266" s="18" t="s">
        <v>61</v>
      </c>
      <c r="P266" s="18" t="s">
        <v>930</v>
      </c>
      <c r="Q266" s="19"/>
      <c r="R266" s="57" t="s">
        <v>61</v>
      </c>
      <c r="S266" s="16" t="s">
        <v>69</v>
      </c>
      <c r="T266" s="16"/>
      <c r="U266" s="16"/>
      <c r="V266" s="16">
        <v>98</v>
      </c>
      <c r="W266" s="16">
        <f t="shared" si="48"/>
        <v>98</v>
      </c>
      <c r="X266" s="16">
        <f t="shared" si="51"/>
        <v>98</v>
      </c>
      <c r="Y266" s="16">
        <f>ROUNDDOWN(W266/HLOOKUP(D266,Table!$C$3:$D$4,2,0)*8,2)</f>
        <v>1.74</v>
      </c>
      <c r="Z266" s="16">
        <v>1</v>
      </c>
      <c r="AA266" s="16" t="s">
        <v>18</v>
      </c>
      <c r="AB266" s="20"/>
      <c r="AC266" s="20">
        <v>43969</v>
      </c>
      <c r="AD266" s="20">
        <v>43973</v>
      </c>
      <c r="AE266" s="20">
        <v>43970</v>
      </c>
      <c r="AF266" s="20">
        <v>43970</v>
      </c>
      <c r="AG266" s="20" t="s">
        <v>335</v>
      </c>
      <c r="AH266" s="32">
        <v>1</v>
      </c>
      <c r="AI266" s="32">
        <v>1</v>
      </c>
      <c r="AJ266" s="32">
        <v>1</v>
      </c>
      <c r="AK266" s="20" t="s">
        <v>165</v>
      </c>
      <c r="AL266" s="18" t="s">
        <v>61</v>
      </c>
      <c r="AM266" s="18" t="s">
        <v>61</v>
      </c>
      <c r="AN266" s="18" t="s">
        <v>61</v>
      </c>
    </row>
    <row r="267" spans="2:40" x14ac:dyDescent="0.25">
      <c r="B267" s="146">
        <f t="shared" si="52"/>
        <v>220</v>
      </c>
      <c r="C267" s="17">
        <v>20200518</v>
      </c>
      <c r="D267" s="16" t="s">
        <v>3</v>
      </c>
      <c r="E267" s="16" t="s">
        <v>701</v>
      </c>
      <c r="F267" s="163" t="s">
        <v>1085</v>
      </c>
      <c r="G267" s="164">
        <v>1452946</v>
      </c>
      <c r="H267" s="165" t="s">
        <v>61</v>
      </c>
      <c r="I267" s="161" t="s">
        <v>909</v>
      </c>
      <c r="J267" s="57" t="s">
        <v>61</v>
      </c>
      <c r="K267" s="16" t="s">
        <v>161</v>
      </c>
      <c r="L267" s="16" t="s">
        <v>935</v>
      </c>
      <c r="M267" s="16" t="s">
        <v>702</v>
      </c>
      <c r="N267" s="16" t="s">
        <v>711</v>
      </c>
      <c r="O267" s="18" t="s">
        <v>61</v>
      </c>
      <c r="P267" s="18" t="s">
        <v>930</v>
      </c>
      <c r="Q267" s="19"/>
      <c r="R267" s="57" t="s">
        <v>61</v>
      </c>
      <c r="S267" s="16" t="s">
        <v>68</v>
      </c>
      <c r="T267" s="16"/>
      <c r="U267" s="16"/>
      <c r="V267" s="16">
        <v>58</v>
      </c>
      <c r="W267" s="16">
        <f t="shared" si="48"/>
        <v>58</v>
      </c>
      <c r="X267" s="16">
        <f t="shared" si="51"/>
        <v>58</v>
      </c>
      <c r="Y267" s="16">
        <f>ROUNDDOWN(W267/HLOOKUP(D267,Table!$C$3:$D$4,2,0)*8,2)</f>
        <v>1.03</v>
      </c>
      <c r="Z267" s="16">
        <f>Y267</f>
        <v>1.03</v>
      </c>
      <c r="AA267" s="16" t="s">
        <v>18</v>
      </c>
      <c r="AB267" s="20"/>
      <c r="AC267" s="20">
        <v>43969</v>
      </c>
      <c r="AD267" s="20">
        <v>43973</v>
      </c>
      <c r="AE267" s="20">
        <v>43971</v>
      </c>
      <c r="AF267" s="20">
        <v>43971</v>
      </c>
      <c r="AG267" s="20" t="s">
        <v>335</v>
      </c>
      <c r="AH267" s="32">
        <v>1</v>
      </c>
      <c r="AI267" s="32">
        <v>1</v>
      </c>
      <c r="AJ267" s="32">
        <v>1</v>
      </c>
      <c r="AK267" s="20" t="s">
        <v>165</v>
      </c>
      <c r="AL267" s="18" t="s">
        <v>61</v>
      </c>
      <c r="AM267" s="18" t="s">
        <v>61</v>
      </c>
      <c r="AN267" s="18" t="s">
        <v>61</v>
      </c>
    </row>
    <row r="268" spans="2:40" x14ac:dyDescent="0.25">
      <c r="B268" s="146">
        <f t="shared" si="52"/>
        <v>221</v>
      </c>
      <c r="C268" s="17">
        <v>20200518</v>
      </c>
      <c r="D268" s="16" t="s">
        <v>3</v>
      </c>
      <c r="E268" s="16" t="s">
        <v>701</v>
      </c>
      <c r="F268" s="145" t="s">
        <v>1085</v>
      </c>
      <c r="G268" s="18">
        <v>1452946</v>
      </c>
      <c r="H268" s="57" t="s">
        <v>61</v>
      </c>
      <c r="I268" s="16" t="s">
        <v>910</v>
      </c>
      <c r="J268" s="57" t="s">
        <v>61</v>
      </c>
      <c r="K268" s="16" t="s">
        <v>161</v>
      </c>
      <c r="L268" s="16" t="s">
        <v>935</v>
      </c>
      <c r="M268" s="16" t="s">
        <v>702</v>
      </c>
      <c r="N268" s="16" t="s">
        <v>711</v>
      </c>
      <c r="O268" s="18" t="s">
        <v>61</v>
      </c>
      <c r="P268" s="18" t="s">
        <v>930</v>
      </c>
      <c r="Q268" s="19"/>
      <c r="R268" s="57" t="s">
        <v>61</v>
      </c>
      <c r="S268" s="16" t="s">
        <v>67</v>
      </c>
      <c r="T268" s="16"/>
      <c r="U268" s="16"/>
      <c r="V268" s="16">
        <v>12</v>
      </c>
      <c r="W268" s="16">
        <f t="shared" si="48"/>
        <v>12</v>
      </c>
      <c r="X268" s="16">
        <f t="shared" ref="X268:X279" si="53">W268</f>
        <v>12</v>
      </c>
      <c r="Y268" s="16">
        <f>ROUNDDOWN(W268/HLOOKUP(D268,Table!$C$3:$D$4,2,0)*8,2)</f>
        <v>0.21</v>
      </c>
      <c r="Z268" s="16">
        <v>0.2</v>
      </c>
      <c r="AA268" s="16" t="s">
        <v>18</v>
      </c>
      <c r="AB268" s="20"/>
      <c r="AC268" s="20">
        <v>43969</v>
      </c>
      <c r="AD268" s="20">
        <v>43973</v>
      </c>
      <c r="AE268" s="20">
        <v>43971</v>
      </c>
      <c r="AF268" s="20">
        <v>43971</v>
      </c>
      <c r="AG268" s="20" t="s">
        <v>335</v>
      </c>
      <c r="AH268" s="32">
        <v>1</v>
      </c>
      <c r="AI268" s="32">
        <v>1</v>
      </c>
      <c r="AJ268" s="32">
        <v>1</v>
      </c>
      <c r="AK268" s="20" t="s">
        <v>165</v>
      </c>
      <c r="AL268" s="18" t="s">
        <v>61</v>
      </c>
      <c r="AM268" s="18" t="s">
        <v>61</v>
      </c>
      <c r="AN268" s="18" t="s">
        <v>61</v>
      </c>
    </row>
    <row r="269" spans="2:40" x14ac:dyDescent="0.25">
      <c r="B269" s="146">
        <f t="shared" si="52"/>
        <v>222</v>
      </c>
      <c r="C269" s="17">
        <v>20200518</v>
      </c>
      <c r="D269" s="16" t="s">
        <v>3</v>
      </c>
      <c r="E269" s="16" t="s">
        <v>701</v>
      </c>
      <c r="F269" s="163" t="s">
        <v>1085</v>
      </c>
      <c r="G269" s="164">
        <v>1452946</v>
      </c>
      <c r="H269" s="165" t="s">
        <v>61</v>
      </c>
      <c r="I269" s="161" t="s">
        <v>911</v>
      </c>
      <c r="J269" s="57" t="s">
        <v>61</v>
      </c>
      <c r="K269" s="16" t="s">
        <v>161</v>
      </c>
      <c r="L269" s="16" t="s">
        <v>935</v>
      </c>
      <c r="M269" s="16" t="s">
        <v>702</v>
      </c>
      <c r="N269" s="16" t="s">
        <v>711</v>
      </c>
      <c r="O269" s="18" t="s">
        <v>61</v>
      </c>
      <c r="P269" s="18" t="s">
        <v>930</v>
      </c>
      <c r="Q269" s="19"/>
      <c r="R269" s="57" t="s">
        <v>61</v>
      </c>
      <c r="S269" s="16" t="s">
        <v>68</v>
      </c>
      <c r="T269" s="16"/>
      <c r="U269" s="16"/>
      <c r="V269" s="16">
        <v>73</v>
      </c>
      <c r="W269" s="16">
        <f t="shared" si="48"/>
        <v>73</v>
      </c>
      <c r="X269" s="16">
        <f t="shared" si="53"/>
        <v>73</v>
      </c>
      <c r="Y269" s="16">
        <f>ROUNDDOWN(W269/HLOOKUP(D269,Table!$C$3:$D$4,2,0)*8,2)</f>
        <v>1.29</v>
      </c>
      <c r="Z269" s="16">
        <f>Y269</f>
        <v>1.29</v>
      </c>
      <c r="AA269" s="16" t="s">
        <v>18</v>
      </c>
      <c r="AB269" s="20"/>
      <c r="AC269" s="20">
        <v>43969</v>
      </c>
      <c r="AD269" s="20">
        <v>43973</v>
      </c>
      <c r="AE269" s="20">
        <v>43971</v>
      </c>
      <c r="AF269" s="20">
        <v>43971</v>
      </c>
      <c r="AG269" s="20" t="s">
        <v>335</v>
      </c>
      <c r="AH269" s="32">
        <v>1</v>
      </c>
      <c r="AI269" s="32">
        <v>1</v>
      </c>
      <c r="AJ269" s="32">
        <v>1</v>
      </c>
      <c r="AK269" s="20" t="s">
        <v>165</v>
      </c>
      <c r="AL269" s="18" t="s">
        <v>61</v>
      </c>
      <c r="AM269" s="18" t="s">
        <v>61</v>
      </c>
      <c r="AN269" s="18" t="s">
        <v>61</v>
      </c>
    </row>
    <row r="270" spans="2:40" s="155" customFormat="1" x14ac:dyDescent="0.25">
      <c r="B270" s="146">
        <f t="shared" si="52"/>
        <v>223</v>
      </c>
      <c r="C270" s="17">
        <v>20200518</v>
      </c>
      <c r="D270" s="17" t="s">
        <v>3</v>
      </c>
      <c r="E270" s="17" t="s">
        <v>701</v>
      </c>
      <c r="F270" s="151" t="s">
        <v>1085</v>
      </c>
      <c r="G270" s="152">
        <v>1452946</v>
      </c>
      <c r="H270" s="57" t="s">
        <v>61</v>
      </c>
      <c r="I270" s="17" t="s">
        <v>912</v>
      </c>
      <c r="J270" s="57" t="s">
        <v>61</v>
      </c>
      <c r="K270" s="17" t="s">
        <v>161</v>
      </c>
      <c r="L270" s="17" t="s">
        <v>935</v>
      </c>
      <c r="M270" s="17" t="s">
        <v>702</v>
      </c>
      <c r="N270" s="17" t="s">
        <v>711</v>
      </c>
      <c r="O270" s="152" t="s">
        <v>61</v>
      </c>
      <c r="P270" s="152" t="s">
        <v>930</v>
      </c>
      <c r="Q270" s="19"/>
      <c r="R270" s="57" t="s">
        <v>61</v>
      </c>
      <c r="S270" s="17" t="s">
        <v>69</v>
      </c>
      <c r="T270" s="17"/>
      <c r="U270" s="17"/>
      <c r="V270" s="17">
        <v>72</v>
      </c>
      <c r="W270" s="17">
        <f t="shared" si="48"/>
        <v>72</v>
      </c>
      <c r="X270" s="17">
        <f t="shared" si="53"/>
        <v>72</v>
      </c>
      <c r="Y270" s="17">
        <f>ROUNDDOWN(W270/HLOOKUP(D270,Table!$C$3:$D$4,2,0)*8,2)</f>
        <v>1.28</v>
      </c>
      <c r="Z270" s="17">
        <v>0.5</v>
      </c>
      <c r="AA270" s="17" t="s">
        <v>18</v>
      </c>
      <c r="AB270" s="153"/>
      <c r="AC270" s="153">
        <v>43969</v>
      </c>
      <c r="AD270" s="153">
        <v>43973</v>
      </c>
      <c r="AE270" s="153">
        <v>43970</v>
      </c>
      <c r="AF270" s="153">
        <v>43970</v>
      </c>
      <c r="AG270" s="153" t="s">
        <v>335</v>
      </c>
      <c r="AH270" s="154">
        <v>1</v>
      </c>
      <c r="AI270" s="154">
        <v>1</v>
      </c>
      <c r="AJ270" s="154">
        <v>1</v>
      </c>
      <c r="AK270" s="153" t="s">
        <v>165</v>
      </c>
      <c r="AL270" s="152" t="s">
        <v>61</v>
      </c>
      <c r="AM270" s="152" t="s">
        <v>61</v>
      </c>
      <c r="AN270" s="152" t="s">
        <v>61</v>
      </c>
    </row>
    <row r="271" spans="2:40" x14ac:dyDescent="0.25">
      <c r="B271" s="146">
        <f t="shared" si="52"/>
        <v>224</v>
      </c>
      <c r="C271" s="17">
        <v>20200518</v>
      </c>
      <c r="D271" s="16" t="s">
        <v>3</v>
      </c>
      <c r="E271" s="16" t="s">
        <v>701</v>
      </c>
      <c r="F271" s="163" t="s">
        <v>1085</v>
      </c>
      <c r="G271" s="164">
        <v>1452946</v>
      </c>
      <c r="H271" s="165" t="s">
        <v>61</v>
      </c>
      <c r="I271" s="161" t="s">
        <v>913</v>
      </c>
      <c r="J271" s="57" t="s">
        <v>61</v>
      </c>
      <c r="K271" s="16" t="s">
        <v>161</v>
      </c>
      <c r="L271" s="16" t="s">
        <v>935</v>
      </c>
      <c r="M271" s="16" t="s">
        <v>702</v>
      </c>
      <c r="N271" s="16" t="s">
        <v>711</v>
      </c>
      <c r="O271" s="18" t="s">
        <v>61</v>
      </c>
      <c r="P271" s="18" t="s">
        <v>930</v>
      </c>
      <c r="Q271" s="19"/>
      <c r="R271" s="57" t="s">
        <v>61</v>
      </c>
      <c r="S271" s="16" t="s">
        <v>68</v>
      </c>
      <c r="T271" s="16"/>
      <c r="U271" s="16"/>
      <c r="V271" s="16">
        <v>14</v>
      </c>
      <c r="W271" s="16">
        <f t="shared" si="48"/>
        <v>14</v>
      </c>
      <c r="X271" s="16">
        <f t="shared" si="53"/>
        <v>14</v>
      </c>
      <c r="Y271" s="16">
        <f>ROUNDDOWN(W271/HLOOKUP(D271,Table!$C$3:$D$4,2,0)*8,2)</f>
        <v>0.24</v>
      </c>
      <c r="Z271" s="16">
        <f>Y271</f>
        <v>0.24</v>
      </c>
      <c r="AA271" s="16" t="s">
        <v>18</v>
      </c>
      <c r="AB271" s="20"/>
      <c r="AC271" s="20">
        <v>43969</v>
      </c>
      <c r="AD271" s="20">
        <v>43973</v>
      </c>
      <c r="AE271" s="20">
        <v>43971</v>
      </c>
      <c r="AF271" s="20">
        <v>43971</v>
      </c>
      <c r="AG271" s="20" t="s">
        <v>335</v>
      </c>
      <c r="AH271" s="32">
        <v>1</v>
      </c>
      <c r="AI271" s="32">
        <v>1</v>
      </c>
      <c r="AJ271" s="32">
        <v>1</v>
      </c>
      <c r="AK271" s="20" t="s">
        <v>165</v>
      </c>
      <c r="AL271" s="18" t="s">
        <v>61</v>
      </c>
      <c r="AM271" s="18" t="s">
        <v>61</v>
      </c>
      <c r="AN271" s="18" t="s">
        <v>61</v>
      </c>
    </row>
    <row r="272" spans="2:40" x14ac:dyDescent="0.25">
      <c r="B272" s="146">
        <f t="shared" si="42"/>
        <v>225</v>
      </c>
      <c r="C272" s="17">
        <v>20200518</v>
      </c>
      <c r="D272" s="16" t="s">
        <v>3</v>
      </c>
      <c r="E272" s="16" t="s">
        <v>701</v>
      </c>
      <c r="F272" s="145" t="s">
        <v>1086</v>
      </c>
      <c r="G272" s="18">
        <v>1472741</v>
      </c>
      <c r="H272" s="57" t="s">
        <v>61</v>
      </c>
      <c r="I272" s="16" t="s">
        <v>914</v>
      </c>
      <c r="J272" s="57" t="s">
        <v>61</v>
      </c>
      <c r="K272" s="16" t="s">
        <v>161</v>
      </c>
      <c r="L272" s="16" t="s">
        <v>165</v>
      </c>
      <c r="M272" s="16" t="s">
        <v>702</v>
      </c>
      <c r="N272" s="16" t="s">
        <v>711</v>
      </c>
      <c r="O272" s="18" t="s">
        <v>61</v>
      </c>
      <c r="P272" s="18" t="s">
        <v>931</v>
      </c>
      <c r="Q272" s="19"/>
      <c r="R272" s="57" t="s">
        <v>61</v>
      </c>
      <c r="S272" s="16" t="s">
        <v>67</v>
      </c>
      <c r="T272" s="16"/>
      <c r="U272" s="16"/>
      <c r="V272" s="16">
        <v>3</v>
      </c>
      <c r="W272" s="98">
        <v>355</v>
      </c>
      <c r="X272" s="16">
        <f t="shared" si="53"/>
        <v>355</v>
      </c>
      <c r="Y272" s="16">
        <f>ROUNDDOWN(W272/HLOOKUP(D272,Table!$C$3:$D$4,2,0)*8,2)</f>
        <v>6.31</v>
      </c>
      <c r="Z272" s="16">
        <v>4</v>
      </c>
      <c r="AA272" s="16" t="s">
        <v>18</v>
      </c>
      <c r="AB272" s="20"/>
      <c r="AC272" s="20">
        <v>43969</v>
      </c>
      <c r="AD272" s="20">
        <v>43973</v>
      </c>
      <c r="AE272" s="20">
        <v>43971</v>
      </c>
      <c r="AF272" s="20">
        <v>43971</v>
      </c>
      <c r="AG272" s="20" t="s">
        <v>335</v>
      </c>
      <c r="AH272" s="32">
        <v>1</v>
      </c>
      <c r="AI272" s="32">
        <v>1</v>
      </c>
      <c r="AJ272" s="32">
        <v>1</v>
      </c>
      <c r="AK272" s="20" t="s">
        <v>165</v>
      </c>
      <c r="AL272" s="18" t="s">
        <v>61</v>
      </c>
      <c r="AM272" s="18" t="s">
        <v>61</v>
      </c>
      <c r="AN272" s="18" t="s">
        <v>61</v>
      </c>
    </row>
    <row r="273" spans="2:40" x14ac:dyDescent="0.25">
      <c r="B273" s="146">
        <f t="shared" si="42"/>
        <v>226</v>
      </c>
      <c r="C273" s="17">
        <v>20200518</v>
      </c>
      <c r="D273" s="16" t="s">
        <v>3</v>
      </c>
      <c r="E273" s="16" t="s">
        <v>701</v>
      </c>
      <c r="F273" s="145" t="s">
        <v>1087</v>
      </c>
      <c r="G273" s="18">
        <v>1472757</v>
      </c>
      <c r="H273" s="57" t="s">
        <v>61</v>
      </c>
      <c r="I273" s="16" t="s">
        <v>181</v>
      </c>
      <c r="J273" s="57" t="s">
        <v>61</v>
      </c>
      <c r="K273" s="16" t="s">
        <v>161</v>
      </c>
      <c r="L273" s="16" t="s">
        <v>165</v>
      </c>
      <c r="M273" s="16" t="s">
        <v>702</v>
      </c>
      <c r="N273" s="16" t="s">
        <v>711</v>
      </c>
      <c r="O273" s="18" t="s">
        <v>61</v>
      </c>
      <c r="P273" s="18" t="s">
        <v>932</v>
      </c>
      <c r="Q273" s="19"/>
      <c r="R273" s="57" t="s">
        <v>61</v>
      </c>
      <c r="S273" s="16" t="s">
        <v>67</v>
      </c>
      <c r="T273" s="16"/>
      <c r="U273" s="16"/>
      <c r="V273" s="16">
        <v>3</v>
      </c>
      <c r="W273" s="16">
        <v>92</v>
      </c>
      <c r="X273" s="16">
        <f t="shared" si="53"/>
        <v>92</v>
      </c>
      <c r="Y273" s="16">
        <f>ROUNDDOWN(W273/HLOOKUP(D273,Table!$C$3:$D$4,2,0)*8,2)</f>
        <v>1.63</v>
      </c>
      <c r="Z273" s="16">
        <v>2</v>
      </c>
      <c r="AA273" s="16" t="s">
        <v>18</v>
      </c>
      <c r="AB273" s="20"/>
      <c r="AC273" s="20">
        <v>43969</v>
      </c>
      <c r="AD273" s="20">
        <v>43973</v>
      </c>
      <c r="AE273" s="20">
        <v>43972</v>
      </c>
      <c r="AF273" s="20">
        <v>43972</v>
      </c>
      <c r="AG273" s="20" t="s">
        <v>335</v>
      </c>
      <c r="AH273" s="32">
        <v>1</v>
      </c>
      <c r="AI273" s="32">
        <v>1</v>
      </c>
      <c r="AJ273" s="32">
        <v>1</v>
      </c>
      <c r="AK273" s="20" t="s">
        <v>165</v>
      </c>
      <c r="AL273" s="18" t="s">
        <v>61</v>
      </c>
      <c r="AM273" s="18" t="s">
        <v>61</v>
      </c>
      <c r="AN273" s="18" t="s">
        <v>61</v>
      </c>
    </row>
    <row r="274" spans="2:40" x14ac:dyDescent="0.25">
      <c r="B274" s="146">
        <f t="shared" si="42"/>
        <v>227</v>
      </c>
      <c r="C274" s="17">
        <v>20200518</v>
      </c>
      <c r="D274" s="16" t="s">
        <v>3</v>
      </c>
      <c r="E274" s="16" t="s">
        <v>701</v>
      </c>
      <c r="F274" s="80" t="s">
        <v>1087</v>
      </c>
      <c r="G274" s="18">
        <v>1472757</v>
      </c>
      <c r="H274" s="57" t="s">
        <v>61</v>
      </c>
      <c r="I274" s="16" t="s">
        <v>915</v>
      </c>
      <c r="J274" s="57" t="s">
        <v>61</v>
      </c>
      <c r="K274" s="16" t="s">
        <v>161</v>
      </c>
      <c r="L274" s="16" t="s">
        <v>165</v>
      </c>
      <c r="M274" s="16" t="s">
        <v>702</v>
      </c>
      <c r="N274" s="16" t="s">
        <v>711</v>
      </c>
      <c r="O274" s="18" t="s">
        <v>61</v>
      </c>
      <c r="P274" s="18" t="s">
        <v>932</v>
      </c>
      <c r="Q274" s="19"/>
      <c r="R274" s="57" t="s">
        <v>61</v>
      </c>
      <c r="S274" s="16" t="s">
        <v>67</v>
      </c>
      <c r="T274" s="16"/>
      <c r="U274" s="16"/>
      <c r="V274" s="16">
        <v>3</v>
      </c>
      <c r="W274" s="16">
        <f t="shared" si="48"/>
        <v>3</v>
      </c>
      <c r="X274" s="16">
        <f t="shared" si="53"/>
        <v>3</v>
      </c>
      <c r="Y274" s="16">
        <f>ROUNDDOWN(W274/HLOOKUP(D274,Table!$C$3:$D$4,2,0)*8,2)</f>
        <v>0.05</v>
      </c>
      <c r="Z274" s="16">
        <f>Y274</f>
        <v>0.05</v>
      </c>
      <c r="AA274" s="16" t="s">
        <v>18</v>
      </c>
      <c r="AB274" s="20"/>
      <c r="AC274" s="20">
        <v>43969</v>
      </c>
      <c r="AD274" s="20">
        <v>43973</v>
      </c>
      <c r="AE274" s="20">
        <v>43972</v>
      </c>
      <c r="AF274" s="20">
        <v>43972</v>
      </c>
      <c r="AG274" s="20" t="s">
        <v>335</v>
      </c>
      <c r="AH274" s="91" t="s">
        <v>61</v>
      </c>
      <c r="AI274" s="91" t="s">
        <v>61</v>
      </c>
      <c r="AJ274" s="91" t="s">
        <v>61</v>
      </c>
      <c r="AK274" s="20" t="s">
        <v>165</v>
      </c>
      <c r="AL274" s="18" t="s">
        <v>61</v>
      </c>
      <c r="AM274" s="18" t="s">
        <v>61</v>
      </c>
      <c r="AN274" s="16" t="s">
        <v>418</v>
      </c>
    </row>
    <row r="275" spans="2:40" x14ac:dyDescent="0.25">
      <c r="B275" s="146">
        <f t="shared" si="42"/>
        <v>228</v>
      </c>
      <c r="C275" s="17">
        <v>20200518</v>
      </c>
      <c r="D275" s="16" t="s">
        <v>3</v>
      </c>
      <c r="E275" s="16" t="s">
        <v>701</v>
      </c>
      <c r="F275" s="80" t="s">
        <v>1087</v>
      </c>
      <c r="G275" s="18">
        <v>1472757</v>
      </c>
      <c r="H275" s="57" t="s">
        <v>61</v>
      </c>
      <c r="I275" s="16" t="s">
        <v>168</v>
      </c>
      <c r="J275" s="57" t="s">
        <v>61</v>
      </c>
      <c r="K275" s="16" t="s">
        <v>161</v>
      </c>
      <c r="L275" s="16" t="s">
        <v>165</v>
      </c>
      <c r="M275" s="16" t="s">
        <v>702</v>
      </c>
      <c r="N275" s="16" t="s">
        <v>711</v>
      </c>
      <c r="O275" s="18" t="s">
        <v>61</v>
      </c>
      <c r="P275" s="18" t="s">
        <v>932</v>
      </c>
      <c r="Q275" s="19"/>
      <c r="R275" s="57" t="s">
        <v>61</v>
      </c>
      <c r="S275" s="16" t="s">
        <v>67</v>
      </c>
      <c r="T275" s="16"/>
      <c r="U275" s="16"/>
      <c r="V275" s="16">
        <v>3</v>
      </c>
      <c r="W275" s="16">
        <v>95</v>
      </c>
      <c r="X275" s="16">
        <f t="shared" si="53"/>
        <v>95</v>
      </c>
      <c r="Y275" s="16">
        <f>ROUNDDOWN(W275/HLOOKUP(D275,Table!$C$3:$D$4,2,0)*8,2)</f>
        <v>1.68</v>
      </c>
      <c r="Z275" s="16">
        <v>1</v>
      </c>
      <c r="AA275" s="16" t="s">
        <v>18</v>
      </c>
      <c r="AB275" s="20"/>
      <c r="AC275" s="20">
        <v>43969</v>
      </c>
      <c r="AD275" s="20">
        <v>43973</v>
      </c>
      <c r="AE275" s="20">
        <v>43972</v>
      </c>
      <c r="AF275" s="20">
        <v>43972</v>
      </c>
      <c r="AG275" s="20" t="s">
        <v>336</v>
      </c>
      <c r="AH275" s="32">
        <v>1</v>
      </c>
      <c r="AI275" s="32">
        <v>0.87</v>
      </c>
      <c r="AJ275" s="32">
        <v>1</v>
      </c>
      <c r="AK275" s="20" t="s">
        <v>149</v>
      </c>
      <c r="AL275" s="18" t="s">
        <v>1179</v>
      </c>
      <c r="AM275" s="18" t="s">
        <v>61</v>
      </c>
      <c r="AN275" s="18" t="s">
        <v>61</v>
      </c>
    </row>
    <row r="276" spans="2:40" x14ac:dyDescent="0.25">
      <c r="B276" s="146">
        <f t="shared" si="42"/>
        <v>229</v>
      </c>
      <c r="C276" s="17">
        <v>20200518</v>
      </c>
      <c r="D276" s="16" t="s">
        <v>3</v>
      </c>
      <c r="E276" s="16" t="s">
        <v>701</v>
      </c>
      <c r="F276" s="145" t="s">
        <v>1088</v>
      </c>
      <c r="G276" s="18">
        <v>1472757</v>
      </c>
      <c r="H276" s="57" t="s">
        <v>61</v>
      </c>
      <c r="I276" s="16" t="s">
        <v>790</v>
      </c>
      <c r="J276" s="57" t="s">
        <v>61</v>
      </c>
      <c r="K276" s="16" t="s">
        <v>161</v>
      </c>
      <c r="L276" s="16" t="s">
        <v>165</v>
      </c>
      <c r="M276" s="16" t="s">
        <v>702</v>
      </c>
      <c r="N276" s="16" t="s">
        <v>711</v>
      </c>
      <c r="O276" s="18" t="s">
        <v>61</v>
      </c>
      <c r="P276" s="18" t="s">
        <v>932</v>
      </c>
      <c r="Q276" s="19"/>
      <c r="R276" s="57" t="s">
        <v>61</v>
      </c>
      <c r="S276" s="16" t="s">
        <v>67</v>
      </c>
      <c r="T276" s="16"/>
      <c r="U276" s="16"/>
      <c r="V276" s="16">
        <v>3</v>
      </c>
      <c r="W276" s="16">
        <f>157</f>
        <v>157</v>
      </c>
      <c r="X276" s="16">
        <f t="shared" si="53"/>
        <v>157</v>
      </c>
      <c r="Y276" s="16">
        <f>ROUNDDOWN(W276/HLOOKUP(D276,Table!$C$3:$D$4,2,0)*8,2)</f>
        <v>2.79</v>
      </c>
      <c r="Z276" s="16">
        <v>2</v>
      </c>
      <c r="AA276" s="16" t="s">
        <v>18</v>
      </c>
      <c r="AB276" s="20"/>
      <c r="AC276" s="20">
        <v>43969</v>
      </c>
      <c r="AD276" s="20">
        <v>43973</v>
      </c>
      <c r="AE276" s="20">
        <v>43972</v>
      </c>
      <c r="AF276" s="20">
        <v>43972</v>
      </c>
      <c r="AG276" s="20" t="s">
        <v>335</v>
      </c>
      <c r="AH276" s="32">
        <v>1</v>
      </c>
      <c r="AI276" s="32">
        <v>1</v>
      </c>
      <c r="AJ276" s="32">
        <v>1</v>
      </c>
      <c r="AK276" s="20" t="s">
        <v>165</v>
      </c>
      <c r="AL276" s="18" t="s">
        <v>61</v>
      </c>
      <c r="AM276" s="18" t="s">
        <v>61</v>
      </c>
      <c r="AN276" s="18" t="s">
        <v>61</v>
      </c>
    </row>
    <row r="277" spans="2:40" x14ac:dyDescent="0.25">
      <c r="B277" s="146">
        <f t="shared" si="42"/>
        <v>230</v>
      </c>
      <c r="C277" s="17">
        <v>20200518</v>
      </c>
      <c r="D277" s="16" t="s">
        <v>3</v>
      </c>
      <c r="E277" s="16" t="s">
        <v>701</v>
      </c>
      <c r="F277" s="80" t="s">
        <v>1089</v>
      </c>
      <c r="G277" s="18">
        <v>1472757</v>
      </c>
      <c r="H277" s="57" t="s">
        <v>61</v>
      </c>
      <c r="I277" s="16" t="s">
        <v>916</v>
      </c>
      <c r="J277" s="57" t="s">
        <v>61</v>
      </c>
      <c r="K277" s="16" t="s">
        <v>161</v>
      </c>
      <c r="L277" s="16" t="s">
        <v>165</v>
      </c>
      <c r="M277" s="16" t="s">
        <v>702</v>
      </c>
      <c r="N277" s="16" t="s">
        <v>711</v>
      </c>
      <c r="O277" s="18" t="s">
        <v>61</v>
      </c>
      <c r="P277" s="18" t="s">
        <v>932</v>
      </c>
      <c r="Q277" s="19"/>
      <c r="R277" s="57" t="s">
        <v>61</v>
      </c>
      <c r="S277" s="16" t="s">
        <v>67</v>
      </c>
      <c r="T277" s="16"/>
      <c r="U277" s="16"/>
      <c r="V277" s="16">
        <v>3</v>
      </c>
      <c r="W277" s="16">
        <f>165</f>
        <v>165</v>
      </c>
      <c r="X277" s="16">
        <f t="shared" si="53"/>
        <v>165</v>
      </c>
      <c r="Y277" s="16">
        <f>ROUNDDOWN(W277/HLOOKUP(D277,Table!$C$3:$D$4,2,0)*8,2)</f>
        <v>2.93</v>
      </c>
      <c r="Z277" s="16">
        <v>2</v>
      </c>
      <c r="AA277" s="16" t="s">
        <v>18</v>
      </c>
      <c r="AB277" s="20"/>
      <c r="AC277" s="20">
        <v>43969</v>
      </c>
      <c r="AD277" s="20">
        <v>43973</v>
      </c>
      <c r="AE277" s="20">
        <v>43972</v>
      </c>
      <c r="AF277" s="20">
        <v>43972</v>
      </c>
      <c r="AG277" s="20" t="s">
        <v>335</v>
      </c>
      <c r="AH277" s="32">
        <v>1</v>
      </c>
      <c r="AI277" s="32">
        <v>1</v>
      </c>
      <c r="AJ277" s="32">
        <v>1</v>
      </c>
      <c r="AK277" s="20" t="s">
        <v>165</v>
      </c>
      <c r="AL277" s="18" t="s">
        <v>61</v>
      </c>
      <c r="AM277" s="18" t="s">
        <v>61</v>
      </c>
      <c r="AN277" s="18" t="s">
        <v>61</v>
      </c>
    </row>
    <row r="278" spans="2:40" x14ac:dyDescent="0.25">
      <c r="B278" s="146">
        <f t="shared" si="42"/>
        <v>231</v>
      </c>
      <c r="C278" s="17">
        <v>20200518</v>
      </c>
      <c r="D278" s="16" t="s">
        <v>3</v>
      </c>
      <c r="E278" s="16" t="s">
        <v>701</v>
      </c>
      <c r="F278" s="145" t="s">
        <v>1090</v>
      </c>
      <c r="G278" s="18">
        <v>1472757</v>
      </c>
      <c r="H278" s="57" t="s">
        <v>61</v>
      </c>
      <c r="I278" s="16" t="s">
        <v>917</v>
      </c>
      <c r="J278" s="57" t="s">
        <v>61</v>
      </c>
      <c r="K278" s="16" t="s">
        <v>161</v>
      </c>
      <c r="L278" s="16" t="s">
        <v>165</v>
      </c>
      <c r="M278" s="16" t="s">
        <v>702</v>
      </c>
      <c r="N278" s="16" t="s">
        <v>711</v>
      </c>
      <c r="O278" s="18" t="s">
        <v>61</v>
      </c>
      <c r="P278" s="18" t="s">
        <v>932</v>
      </c>
      <c r="Q278" s="19"/>
      <c r="R278" s="57" t="s">
        <v>61</v>
      </c>
      <c r="S278" s="16" t="s">
        <v>67</v>
      </c>
      <c r="T278" s="16"/>
      <c r="U278" s="16"/>
      <c r="V278" s="16">
        <v>3</v>
      </c>
      <c r="W278" s="16">
        <f>63</f>
        <v>63</v>
      </c>
      <c r="X278" s="16">
        <f t="shared" si="53"/>
        <v>63</v>
      </c>
      <c r="Y278" s="16">
        <f>ROUNDDOWN(W278/HLOOKUP(D278,Table!$C$3:$D$4,2,0)*8,2)</f>
        <v>1.1200000000000001</v>
      </c>
      <c r="Z278" s="16">
        <v>1</v>
      </c>
      <c r="AA278" s="16" t="s">
        <v>18</v>
      </c>
      <c r="AB278" s="20"/>
      <c r="AC278" s="20">
        <v>43969</v>
      </c>
      <c r="AD278" s="20">
        <v>43973</v>
      </c>
      <c r="AE278" s="20">
        <v>43972</v>
      </c>
      <c r="AF278" s="20">
        <v>43972</v>
      </c>
      <c r="AG278" s="20" t="s">
        <v>335</v>
      </c>
      <c r="AH278" s="32">
        <v>1</v>
      </c>
      <c r="AI278" s="32">
        <v>1</v>
      </c>
      <c r="AJ278" s="32">
        <v>1</v>
      </c>
      <c r="AK278" s="20" t="s">
        <v>165</v>
      </c>
      <c r="AL278" s="18" t="s">
        <v>61</v>
      </c>
      <c r="AM278" s="18" t="s">
        <v>61</v>
      </c>
      <c r="AN278" s="18" t="s">
        <v>61</v>
      </c>
    </row>
    <row r="279" spans="2:40" x14ac:dyDescent="0.25">
      <c r="B279" s="146">
        <f t="shared" si="42"/>
        <v>232</v>
      </c>
      <c r="C279" s="17">
        <v>20200518</v>
      </c>
      <c r="D279" s="16" t="s">
        <v>3</v>
      </c>
      <c r="E279" s="16" t="s">
        <v>701</v>
      </c>
      <c r="F279" s="145" t="s">
        <v>1091</v>
      </c>
      <c r="G279" s="18">
        <v>1472757</v>
      </c>
      <c r="H279" s="57" t="s">
        <v>61</v>
      </c>
      <c r="I279" s="16" t="s">
        <v>352</v>
      </c>
      <c r="J279" s="57" t="s">
        <v>61</v>
      </c>
      <c r="K279" s="16" t="s">
        <v>161</v>
      </c>
      <c r="L279" s="16" t="s">
        <v>165</v>
      </c>
      <c r="M279" s="16" t="s">
        <v>702</v>
      </c>
      <c r="N279" s="16" t="s">
        <v>711</v>
      </c>
      <c r="O279" s="18" t="s">
        <v>61</v>
      </c>
      <c r="P279" s="18" t="s">
        <v>932</v>
      </c>
      <c r="Q279" s="19"/>
      <c r="R279" s="57" t="s">
        <v>61</v>
      </c>
      <c r="S279" s="16" t="s">
        <v>67</v>
      </c>
      <c r="T279" s="16"/>
      <c r="U279" s="16"/>
      <c r="V279" s="16">
        <v>5</v>
      </c>
      <c r="W279" s="16">
        <f>167</f>
        <v>167</v>
      </c>
      <c r="X279" s="16">
        <f t="shared" si="53"/>
        <v>167</v>
      </c>
      <c r="Y279" s="16">
        <f>ROUNDDOWN(W279/HLOOKUP(D279,Table!$C$3:$D$4,2,0)*8,2)</f>
        <v>2.96</v>
      </c>
      <c r="Z279" s="16">
        <v>2</v>
      </c>
      <c r="AA279" s="16" t="s">
        <v>18</v>
      </c>
      <c r="AB279" s="20"/>
      <c r="AC279" s="20">
        <v>43969</v>
      </c>
      <c r="AD279" s="20">
        <v>43973</v>
      </c>
      <c r="AE279" s="20">
        <v>43972</v>
      </c>
      <c r="AF279" s="20">
        <v>43972</v>
      </c>
      <c r="AG279" s="20" t="s">
        <v>335</v>
      </c>
      <c r="AH279" s="32">
        <v>1</v>
      </c>
      <c r="AI279" s="32">
        <v>1</v>
      </c>
      <c r="AJ279" s="32">
        <v>1</v>
      </c>
      <c r="AK279" s="20" t="s">
        <v>165</v>
      </c>
      <c r="AL279" s="18" t="s">
        <v>61</v>
      </c>
      <c r="AM279" s="18" t="s">
        <v>61</v>
      </c>
      <c r="AN279" s="18" t="s">
        <v>61</v>
      </c>
    </row>
    <row r="280" spans="2:40" x14ac:dyDescent="0.25">
      <c r="B280" s="146">
        <f t="shared" si="42"/>
        <v>233</v>
      </c>
      <c r="C280" s="17">
        <v>20200518</v>
      </c>
      <c r="D280" s="16" t="s">
        <v>3</v>
      </c>
      <c r="E280" s="16" t="s">
        <v>893</v>
      </c>
      <c r="F280" s="145" t="s">
        <v>1092</v>
      </c>
      <c r="G280" s="18">
        <v>1473319</v>
      </c>
      <c r="H280" s="57" t="s">
        <v>61</v>
      </c>
      <c r="I280" s="16" t="s">
        <v>918</v>
      </c>
      <c r="J280" s="57" t="s">
        <v>61</v>
      </c>
      <c r="K280" s="16" t="s">
        <v>161</v>
      </c>
      <c r="L280" s="16" t="s">
        <v>928</v>
      </c>
      <c r="M280" s="16" t="s">
        <v>927</v>
      </c>
      <c r="N280" s="16" t="s">
        <v>929</v>
      </c>
      <c r="O280" s="18" t="s">
        <v>61</v>
      </c>
      <c r="P280" s="18" t="s">
        <v>933</v>
      </c>
      <c r="Q280" s="19"/>
      <c r="R280" s="57" t="s">
        <v>61</v>
      </c>
      <c r="S280" s="16" t="s">
        <v>68</v>
      </c>
      <c r="T280" s="16"/>
      <c r="U280" s="16"/>
      <c r="V280" s="16">
        <v>74</v>
      </c>
      <c r="W280" s="16">
        <f t="shared" si="48"/>
        <v>74</v>
      </c>
      <c r="X280" s="16">
        <f t="shared" ref="X280:X287" si="54">W280</f>
        <v>74</v>
      </c>
      <c r="Y280" s="16">
        <f>ROUNDDOWN(W280/HLOOKUP(D280,Table!$C$3:$D$4,2,0)*8,2)</f>
        <v>1.31</v>
      </c>
      <c r="Z280" s="16">
        <f>Y280</f>
        <v>1.31</v>
      </c>
      <c r="AA280" s="16" t="s">
        <v>21</v>
      </c>
      <c r="AB280" s="20">
        <v>43971</v>
      </c>
      <c r="AC280" s="20">
        <v>43969</v>
      </c>
      <c r="AD280" s="20">
        <v>43973</v>
      </c>
      <c r="AE280" s="20">
        <v>43969</v>
      </c>
      <c r="AF280" s="20">
        <v>43969</v>
      </c>
      <c r="AG280" s="20" t="s">
        <v>335</v>
      </c>
      <c r="AH280" s="32">
        <v>1</v>
      </c>
      <c r="AI280" s="32">
        <v>1</v>
      </c>
      <c r="AJ280" s="32">
        <v>1</v>
      </c>
      <c r="AK280" s="20" t="s">
        <v>165</v>
      </c>
      <c r="AL280" s="18" t="s">
        <v>61</v>
      </c>
      <c r="AM280" s="18" t="s">
        <v>61</v>
      </c>
      <c r="AN280" s="18" t="s">
        <v>61</v>
      </c>
    </row>
    <row r="281" spans="2:40" x14ac:dyDescent="0.25">
      <c r="B281" s="146">
        <f t="shared" si="42"/>
        <v>234</v>
      </c>
      <c r="C281" s="17">
        <v>20200518</v>
      </c>
      <c r="D281" s="16" t="s">
        <v>3</v>
      </c>
      <c r="E281" s="16" t="s">
        <v>893</v>
      </c>
      <c r="F281" s="145" t="s">
        <v>1092</v>
      </c>
      <c r="G281" s="18">
        <v>1473319</v>
      </c>
      <c r="H281" s="57" t="s">
        <v>61</v>
      </c>
      <c r="I281" s="16" t="s">
        <v>919</v>
      </c>
      <c r="J281" s="57" t="s">
        <v>61</v>
      </c>
      <c r="K281" s="16" t="s">
        <v>161</v>
      </c>
      <c r="L281" s="16" t="s">
        <v>928</v>
      </c>
      <c r="M281" s="16" t="s">
        <v>927</v>
      </c>
      <c r="N281" s="16" t="s">
        <v>929</v>
      </c>
      <c r="O281" s="18" t="s">
        <v>61</v>
      </c>
      <c r="P281" s="18" t="s">
        <v>933</v>
      </c>
      <c r="Q281" s="19"/>
      <c r="R281" s="57" t="s">
        <v>61</v>
      </c>
      <c r="S281" s="16" t="s">
        <v>69</v>
      </c>
      <c r="T281" s="16"/>
      <c r="U281" s="16"/>
      <c r="V281" s="16">
        <v>26</v>
      </c>
      <c r="W281" s="16">
        <f t="shared" si="48"/>
        <v>26</v>
      </c>
      <c r="X281" s="16">
        <f t="shared" si="54"/>
        <v>26</v>
      </c>
      <c r="Y281" s="16">
        <f>ROUNDDOWN(W281/HLOOKUP(D281,Table!$C$3:$D$4,2,0)*8,2)</f>
        <v>0.46</v>
      </c>
      <c r="Z281" s="16">
        <v>0.4</v>
      </c>
      <c r="AA281" s="16" t="s">
        <v>21</v>
      </c>
      <c r="AB281" s="20">
        <v>43971</v>
      </c>
      <c r="AC281" s="20">
        <v>43969</v>
      </c>
      <c r="AD281" s="20">
        <v>43973</v>
      </c>
      <c r="AE281" s="20">
        <v>43969</v>
      </c>
      <c r="AF281" s="20">
        <v>43969</v>
      </c>
      <c r="AG281" s="20" t="s">
        <v>335</v>
      </c>
      <c r="AH281" s="32">
        <v>1</v>
      </c>
      <c r="AI281" s="32">
        <v>1</v>
      </c>
      <c r="AJ281" s="32">
        <v>1</v>
      </c>
      <c r="AK281" s="20" t="s">
        <v>165</v>
      </c>
      <c r="AL281" s="18" t="s">
        <v>61</v>
      </c>
      <c r="AM281" s="18" t="s">
        <v>61</v>
      </c>
      <c r="AN281" s="18" t="s">
        <v>61</v>
      </c>
    </row>
    <row r="282" spans="2:40" x14ac:dyDescent="0.25">
      <c r="B282" s="146">
        <f t="shared" si="42"/>
        <v>235</v>
      </c>
      <c r="C282" s="17">
        <v>20200518</v>
      </c>
      <c r="D282" s="16" t="s">
        <v>3</v>
      </c>
      <c r="E282" s="16" t="s">
        <v>893</v>
      </c>
      <c r="F282" s="145" t="s">
        <v>1093</v>
      </c>
      <c r="G282" s="18">
        <v>1472760</v>
      </c>
      <c r="H282" s="57" t="s">
        <v>61</v>
      </c>
      <c r="I282" s="16" t="s">
        <v>168</v>
      </c>
      <c r="J282" s="57" t="s">
        <v>61</v>
      </c>
      <c r="K282" s="16" t="s">
        <v>161</v>
      </c>
      <c r="L282" s="16" t="s">
        <v>165</v>
      </c>
      <c r="M282" s="16" t="s">
        <v>927</v>
      </c>
      <c r="N282" s="16" t="s">
        <v>929</v>
      </c>
      <c r="O282" s="18" t="s">
        <v>61</v>
      </c>
      <c r="P282" s="18" t="s">
        <v>932</v>
      </c>
      <c r="Q282" s="19"/>
      <c r="R282" s="57" t="s">
        <v>61</v>
      </c>
      <c r="S282" s="16" t="s">
        <v>68</v>
      </c>
      <c r="T282" s="16"/>
      <c r="U282" s="16"/>
      <c r="V282" s="16">
        <v>175</v>
      </c>
      <c r="W282" s="16">
        <f t="shared" si="48"/>
        <v>175</v>
      </c>
      <c r="X282" s="16">
        <f t="shared" si="54"/>
        <v>175</v>
      </c>
      <c r="Y282" s="16">
        <f>ROUNDDOWN(W282/HLOOKUP(D282,Table!$C$3:$D$4,2,0)*8,2)</f>
        <v>3.11</v>
      </c>
      <c r="Z282" s="16">
        <f>Y282</f>
        <v>3.11</v>
      </c>
      <c r="AA282" s="16" t="s">
        <v>21</v>
      </c>
      <c r="AB282" s="20">
        <v>43971</v>
      </c>
      <c r="AC282" s="20">
        <v>43969</v>
      </c>
      <c r="AD282" s="20">
        <v>43973</v>
      </c>
      <c r="AE282" s="20">
        <v>43970</v>
      </c>
      <c r="AF282" s="20">
        <v>43970</v>
      </c>
      <c r="AG282" s="20" t="s">
        <v>335</v>
      </c>
      <c r="AH282" s="32">
        <v>1</v>
      </c>
      <c r="AI282" s="32">
        <v>1</v>
      </c>
      <c r="AJ282" s="32">
        <v>1</v>
      </c>
      <c r="AK282" s="20" t="s">
        <v>165</v>
      </c>
      <c r="AL282" s="18" t="s">
        <v>61</v>
      </c>
      <c r="AM282" s="18" t="s">
        <v>61</v>
      </c>
      <c r="AN282" s="18" t="s">
        <v>61</v>
      </c>
    </row>
    <row r="283" spans="2:40" x14ac:dyDescent="0.25">
      <c r="B283" s="146">
        <f t="shared" si="42"/>
        <v>236</v>
      </c>
      <c r="C283" s="17">
        <v>20200518</v>
      </c>
      <c r="D283" s="16" t="s">
        <v>3</v>
      </c>
      <c r="E283" s="16" t="s">
        <v>893</v>
      </c>
      <c r="F283" s="145" t="s">
        <v>1094</v>
      </c>
      <c r="G283" s="18">
        <v>1362417</v>
      </c>
      <c r="H283" s="57" t="s">
        <v>61</v>
      </c>
      <c r="I283" s="98" t="s">
        <v>920</v>
      </c>
      <c r="J283" s="57" t="s">
        <v>61</v>
      </c>
      <c r="K283" s="16" t="s">
        <v>161</v>
      </c>
      <c r="L283" s="147" t="s">
        <v>928</v>
      </c>
      <c r="M283" s="16" t="s">
        <v>927</v>
      </c>
      <c r="N283" s="16" t="s">
        <v>929</v>
      </c>
      <c r="O283" s="18" t="s">
        <v>61</v>
      </c>
      <c r="P283" s="18" t="s">
        <v>934</v>
      </c>
      <c r="Q283" s="19"/>
      <c r="R283" s="57" t="s">
        <v>61</v>
      </c>
      <c r="S283" s="16" t="s">
        <v>70</v>
      </c>
      <c r="T283" s="16"/>
      <c r="U283" s="16"/>
      <c r="V283" s="16">
        <v>25</v>
      </c>
      <c r="W283" s="16">
        <f t="shared" si="48"/>
        <v>25</v>
      </c>
      <c r="X283" s="16">
        <f t="shared" si="54"/>
        <v>25</v>
      </c>
      <c r="Y283" s="16">
        <f>ROUNDDOWN(W283/HLOOKUP(D283,Table!$C$3:$D$4,2,0)*8,2)</f>
        <v>0.44</v>
      </c>
      <c r="Z283" s="16">
        <v>0.5</v>
      </c>
      <c r="AA283" s="16" t="s">
        <v>21</v>
      </c>
      <c r="AB283" s="20">
        <v>43971</v>
      </c>
      <c r="AC283" s="20">
        <v>43969</v>
      </c>
      <c r="AD283" s="20">
        <v>43973</v>
      </c>
      <c r="AE283" s="20">
        <v>43970</v>
      </c>
      <c r="AF283" s="20">
        <v>43970</v>
      </c>
      <c r="AG283" s="20" t="s">
        <v>335</v>
      </c>
      <c r="AH283" s="32">
        <v>1</v>
      </c>
      <c r="AI283" s="32">
        <v>1</v>
      </c>
      <c r="AJ283" s="32">
        <v>1</v>
      </c>
      <c r="AK283" s="20" t="s">
        <v>165</v>
      </c>
      <c r="AL283" s="18" t="s">
        <v>61</v>
      </c>
      <c r="AM283" s="18" t="s">
        <v>61</v>
      </c>
      <c r="AN283" s="18" t="s">
        <v>61</v>
      </c>
    </row>
    <row r="284" spans="2:40" x14ac:dyDescent="0.25">
      <c r="B284" s="146">
        <f t="shared" si="42"/>
        <v>237</v>
      </c>
      <c r="C284" s="17">
        <v>20200518</v>
      </c>
      <c r="D284" s="16" t="s">
        <v>3</v>
      </c>
      <c r="E284" s="16" t="s">
        <v>893</v>
      </c>
      <c r="F284" s="80" t="s">
        <v>1095</v>
      </c>
      <c r="G284" s="18">
        <v>1362417</v>
      </c>
      <c r="H284" s="57" t="s">
        <v>61</v>
      </c>
      <c r="I284" s="16" t="s">
        <v>686</v>
      </c>
      <c r="J284" s="57" t="s">
        <v>61</v>
      </c>
      <c r="K284" s="16" t="s">
        <v>161</v>
      </c>
      <c r="L284" s="147" t="s">
        <v>928</v>
      </c>
      <c r="M284" s="16" t="s">
        <v>927</v>
      </c>
      <c r="N284" s="16" t="s">
        <v>929</v>
      </c>
      <c r="O284" s="18" t="s">
        <v>61</v>
      </c>
      <c r="P284" s="18" t="s">
        <v>934</v>
      </c>
      <c r="Q284" s="19"/>
      <c r="R284" s="57" t="s">
        <v>61</v>
      </c>
      <c r="S284" s="16" t="s">
        <v>67</v>
      </c>
      <c r="T284" s="16"/>
      <c r="U284" s="16"/>
      <c r="V284" s="16">
        <v>259</v>
      </c>
      <c r="W284" s="16">
        <f t="shared" si="48"/>
        <v>259</v>
      </c>
      <c r="X284" s="16">
        <f t="shared" si="54"/>
        <v>259</v>
      </c>
      <c r="Y284" s="16">
        <f>ROUNDDOWN(W284/HLOOKUP(D284,Table!$C$3:$D$4,2,0)*8,2)</f>
        <v>4.5999999999999996</v>
      </c>
      <c r="Z284" s="16">
        <v>4</v>
      </c>
      <c r="AA284" s="16" t="s">
        <v>21</v>
      </c>
      <c r="AB284" s="20">
        <v>43971</v>
      </c>
      <c r="AC284" s="20">
        <v>43969</v>
      </c>
      <c r="AD284" s="20">
        <v>43973</v>
      </c>
      <c r="AE284" s="20">
        <v>43970</v>
      </c>
      <c r="AF284" s="20">
        <v>43970</v>
      </c>
      <c r="AG284" s="20" t="s">
        <v>336</v>
      </c>
      <c r="AH284" s="32">
        <v>1</v>
      </c>
      <c r="AI284" s="32">
        <v>1</v>
      </c>
      <c r="AJ284" s="32">
        <v>0.87</v>
      </c>
      <c r="AK284" s="20" t="s">
        <v>149</v>
      </c>
      <c r="AL284" s="18" t="s">
        <v>1042</v>
      </c>
      <c r="AM284" s="18" t="s">
        <v>61</v>
      </c>
      <c r="AN284" s="18" t="s">
        <v>1043</v>
      </c>
    </row>
    <row r="285" spans="2:40" x14ac:dyDescent="0.25">
      <c r="B285" s="146">
        <f t="shared" ref="B285:B293" si="55">B284+1</f>
        <v>238</v>
      </c>
      <c r="C285" s="17">
        <v>20200518</v>
      </c>
      <c r="D285" s="16" t="s">
        <v>3</v>
      </c>
      <c r="E285" s="16" t="s">
        <v>893</v>
      </c>
      <c r="F285" s="145" t="s">
        <v>1092</v>
      </c>
      <c r="G285" s="18">
        <v>1362417</v>
      </c>
      <c r="H285" s="57" t="s">
        <v>61</v>
      </c>
      <c r="I285" s="16" t="s">
        <v>921</v>
      </c>
      <c r="J285" s="57" t="s">
        <v>61</v>
      </c>
      <c r="K285" s="16" t="s">
        <v>161</v>
      </c>
      <c r="L285" s="147" t="s">
        <v>928</v>
      </c>
      <c r="M285" s="16" t="s">
        <v>927</v>
      </c>
      <c r="N285" s="16" t="s">
        <v>929</v>
      </c>
      <c r="O285" s="18" t="s">
        <v>61</v>
      </c>
      <c r="P285" s="18" t="s">
        <v>934</v>
      </c>
      <c r="Q285" s="19"/>
      <c r="R285" s="57" t="s">
        <v>61</v>
      </c>
      <c r="S285" s="16" t="s">
        <v>69</v>
      </c>
      <c r="T285" s="16"/>
      <c r="U285" s="16"/>
      <c r="V285" s="16">
        <v>77</v>
      </c>
      <c r="W285" s="16">
        <f t="shared" si="48"/>
        <v>77</v>
      </c>
      <c r="X285" s="16">
        <f t="shared" si="54"/>
        <v>77</v>
      </c>
      <c r="Y285" s="16">
        <f>ROUNDDOWN(W285/HLOOKUP(D285,Table!$C$3:$D$4,2,0)*8,2)</f>
        <v>1.36</v>
      </c>
      <c r="Z285" s="16">
        <v>1</v>
      </c>
      <c r="AA285" s="16" t="s">
        <v>21</v>
      </c>
      <c r="AB285" s="20">
        <v>43971</v>
      </c>
      <c r="AC285" s="20">
        <v>43969</v>
      </c>
      <c r="AD285" s="20">
        <v>43973</v>
      </c>
      <c r="AE285" s="20">
        <v>43969</v>
      </c>
      <c r="AF285" s="20">
        <v>43969</v>
      </c>
      <c r="AG285" s="20" t="s">
        <v>335</v>
      </c>
      <c r="AH285" s="32">
        <v>1</v>
      </c>
      <c r="AI285" s="32">
        <v>1</v>
      </c>
      <c r="AJ285" s="32">
        <v>1</v>
      </c>
      <c r="AK285" s="20" t="s">
        <v>165</v>
      </c>
      <c r="AL285" s="18" t="s">
        <v>61</v>
      </c>
      <c r="AM285" s="18" t="s">
        <v>61</v>
      </c>
      <c r="AN285" s="18" t="s">
        <v>61</v>
      </c>
    </row>
    <row r="286" spans="2:40" x14ac:dyDescent="0.25">
      <c r="B286" s="146">
        <f t="shared" si="55"/>
        <v>239</v>
      </c>
      <c r="C286" s="17">
        <v>20200518</v>
      </c>
      <c r="D286" s="16" t="s">
        <v>3</v>
      </c>
      <c r="E286" s="16" t="s">
        <v>893</v>
      </c>
      <c r="F286" s="145" t="s">
        <v>1092</v>
      </c>
      <c r="G286" s="18">
        <v>1362417</v>
      </c>
      <c r="H286" s="57" t="s">
        <v>61</v>
      </c>
      <c r="I286" s="16" t="s">
        <v>922</v>
      </c>
      <c r="J286" s="57" t="s">
        <v>61</v>
      </c>
      <c r="K286" s="16" t="s">
        <v>161</v>
      </c>
      <c r="L286" s="147" t="s">
        <v>928</v>
      </c>
      <c r="M286" s="16" t="s">
        <v>927</v>
      </c>
      <c r="N286" s="16" t="s">
        <v>929</v>
      </c>
      <c r="O286" s="18" t="s">
        <v>61</v>
      </c>
      <c r="P286" s="18" t="s">
        <v>934</v>
      </c>
      <c r="Q286" s="19"/>
      <c r="R286" s="57" t="s">
        <v>61</v>
      </c>
      <c r="S286" s="16" t="s">
        <v>67</v>
      </c>
      <c r="T286" s="16"/>
      <c r="U286" s="16"/>
      <c r="V286" s="16">
        <v>44</v>
      </c>
      <c r="W286" s="16">
        <f t="shared" si="48"/>
        <v>44</v>
      </c>
      <c r="X286" s="16">
        <f t="shared" si="54"/>
        <v>44</v>
      </c>
      <c r="Y286" s="16">
        <f>ROUNDDOWN(W286/HLOOKUP(D286,Table!$C$3:$D$4,2,0)*8,2)</f>
        <v>0.78</v>
      </c>
      <c r="Z286" s="16">
        <v>0.5</v>
      </c>
      <c r="AA286" s="16" t="s">
        <v>21</v>
      </c>
      <c r="AB286" s="20">
        <v>43971</v>
      </c>
      <c r="AC286" s="20">
        <v>43969</v>
      </c>
      <c r="AD286" s="20">
        <v>43973</v>
      </c>
      <c r="AE286" s="20">
        <v>43970</v>
      </c>
      <c r="AF286" s="20">
        <v>43970</v>
      </c>
      <c r="AG286" s="20" t="s">
        <v>335</v>
      </c>
      <c r="AH286" s="32">
        <v>1</v>
      </c>
      <c r="AI286" s="32">
        <v>1</v>
      </c>
      <c r="AJ286" s="32">
        <v>1</v>
      </c>
      <c r="AK286" s="20" t="s">
        <v>165</v>
      </c>
      <c r="AL286" s="18" t="s">
        <v>61</v>
      </c>
      <c r="AM286" s="18" t="s">
        <v>61</v>
      </c>
      <c r="AN286" s="18" t="s">
        <v>61</v>
      </c>
    </row>
    <row r="287" spans="2:40" x14ac:dyDescent="0.25">
      <c r="B287" s="146">
        <f t="shared" si="55"/>
        <v>240</v>
      </c>
      <c r="C287" s="17">
        <v>20200518</v>
      </c>
      <c r="D287" s="16" t="s">
        <v>3</v>
      </c>
      <c r="E287" s="16" t="s">
        <v>893</v>
      </c>
      <c r="F287" s="145" t="s">
        <v>1092</v>
      </c>
      <c r="G287" s="18">
        <v>1362417</v>
      </c>
      <c r="H287" s="57" t="s">
        <v>61</v>
      </c>
      <c r="I287" s="16" t="s">
        <v>923</v>
      </c>
      <c r="J287" s="57" t="s">
        <v>61</v>
      </c>
      <c r="K287" s="16" t="s">
        <v>161</v>
      </c>
      <c r="L287" s="147" t="s">
        <v>928</v>
      </c>
      <c r="M287" s="16" t="s">
        <v>927</v>
      </c>
      <c r="N287" s="16" t="s">
        <v>929</v>
      </c>
      <c r="O287" s="18" t="s">
        <v>61</v>
      </c>
      <c r="P287" s="18" t="s">
        <v>934</v>
      </c>
      <c r="Q287" s="19"/>
      <c r="R287" s="57" t="s">
        <v>61</v>
      </c>
      <c r="S287" s="16" t="s">
        <v>67</v>
      </c>
      <c r="T287" s="16"/>
      <c r="U287" s="16"/>
      <c r="V287" s="16">
        <v>20</v>
      </c>
      <c r="W287" s="16">
        <f t="shared" si="48"/>
        <v>20</v>
      </c>
      <c r="X287" s="16">
        <f t="shared" si="54"/>
        <v>20</v>
      </c>
      <c r="Y287" s="16">
        <f>ROUNDDOWN(W287/HLOOKUP(D287,Table!$C$3:$D$4,2,0)*8,2)</f>
        <v>0.35</v>
      </c>
      <c r="Z287" s="16">
        <v>0.3</v>
      </c>
      <c r="AA287" s="16" t="s">
        <v>21</v>
      </c>
      <c r="AB287" s="20">
        <v>43971</v>
      </c>
      <c r="AC287" s="20">
        <v>43969</v>
      </c>
      <c r="AD287" s="20">
        <v>43973</v>
      </c>
      <c r="AE287" s="20">
        <v>43970</v>
      </c>
      <c r="AF287" s="20">
        <v>43970</v>
      </c>
      <c r="AG287" s="20" t="s">
        <v>335</v>
      </c>
      <c r="AH287" s="32">
        <v>1</v>
      </c>
      <c r="AI287" s="32">
        <v>1</v>
      </c>
      <c r="AJ287" s="32">
        <v>1</v>
      </c>
      <c r="AK287" s="20" t="s">
        <v>165</v>
      </c>
      <c r="AL287" s="18" t="s">
        <v>61</v>
      </c>
      <c r="AM287" s="18" t="s">
        <v>61</v>
      </c>
      <c r="AN287" s="18" t="s">
        <v>61</v>
      </c>
    </row>
    <row r="288" spans="2:40" x14ac:dyDescent="0.25">
      <c r="B288" s="146">
        <f t="shared" si="55"/>
        <v>241</v>
      </c>
      <c r="C288" s="17">
        <v>20200518</v>
      </c>
      <c r="D288" s="16" t="s">
        <v>3</v>
      </c>
      <c r="E288" s="16" t="s">
        <v>701</v>
      </c>
      <c r="F288" s="145" t="s">
        <v>1096</v>
      </c>
      <c r="G288" s="18">
        <v>1369873</v>
      </c>
      <c r="H288" s="57" t="s">
        <v>61</v>
      </c>
      <c r="I288" s="16" t="s">
        <v>686</v>
      </c>
      <c r="J288" s="57" t="s">
        <v>61</v>
      </c>
      <c r="K288" s="16" t="s">
        <v>161</v>
      </c>
      <c r="L288" s="16" t="s">
        <v>1017</v>
      </c>
      <c r="M288" s="16" t="s">
        <v>702</v>
      </c>
      <c r="N288" s="16" t="s">
        <v>711</v>
      </c>
      <c r="O288" s="18" t="s">
        <v>61</v>
      </c>
      <c r="P288" s="18" t="s">
        <v>934</v>
      </c>
      <c r="Q288" s="19"/>
      <c r="R288" s="57" t="s">
        <v>61</v>
      </c>
      <c r="S288" s="16" t="s">
        <v>67</v>
      </c>
      <c r="T288" s="16"/>
      <c r="U288" s="16"/>
      <c r="V288" s="16">
        <v>259</v>
      </c>
      <c r="W288" s="16">
        <f t="shared" si="48"/>
        <v>259</v>
      </c>
      <c r="X288" s="16">
        <f t="shared" ref="X288:X293" si="56">W288</f>
        <v>259</v>
      </c>
      <c r="Y288" s="16">
        <f>ROUNDDOWN(W288/HLOOKUP(D288,Table!$C$3:$D$4,2,0)*8,2)</f>
        <v>4.5999999999999996</v>
      </c>
      <c r="Z288" s="16">
        <v>2</v>
      </c>
      <c r="AA288" s="16" t="s">
        <v>18</v>
      </c>
      <c r="AB288" s="20"/>
      <c r="AC288" s="20">
        <v>43969</v>
      </c>
      <c r="AD288" s="20">
        <v>43973</v>
      </c>
      <c r="AE288" s="20">
        <v>43972</v>
      </c>
      <c r="AF288" s="20">
        <v>43972</v>
      </c>
      <c r="AG288" s="20" t="s">
        <v>336</v>
      </c>
      <c r="AH288" s="32">
        <v>1</v>
      </c>
      <c r="AI288" s="32">
        <v>1</v>
      </c>
      <c r="AJ288" s="32">
        <v>0.87</v>
      </c>
      <c r="AK288" s="20" t="s">
        <v>149</v>
      </c>
      <c r="AL288" s="18" t="s">
        <v>1201</v>
      </c>
      <c r="AM288" s="18" t="s">
        <v>61</v>
      </c>
      <c r="AN288" s="18" t="s">
        <v>1043</v>
      </c>
    </row>
    <row r="289" spans="2:42" x14ac:dyDescent="0.25">
      <c r="B289" s="146">
        <f t="shared" si="55"/>
        <v>242</v>
      </c>
      <c r="C289" s="17">
        <v>20200518</v>
      </c>
      <c r="D289" s="16" t="s">
        <v>3</v>
      </c>
      <c r="E289" s="16" t="s">
        <v>701</v>
      </c>
      <c r="F289" s="145" t="s">
        <v>1097</v>
      </c>
      <c r="G289" s="18">
        <v>1369873</v>
      </c>
      <c r="H289" s="57" t="s">
        <v>61</v>
      </c>
      <c r="I289" s="16" t="s">
        <v>796</v>
      </c>
      <c r="J289" s="57" t="s">
        <v>61</v>
      </c>
      <c r="K289" s="16" t="s">
        <v>161</v>
      </c>
      <c r="L289" s="16" t="s">
        <v>1017</v>
      </c>
      <c r="M289" s="16" t="s">
        <v>702</v>
      </c>
      <c r="N289" s="16" t="s">
        <v>711</v>
      </c>
      <c r="O289" s="18" t="s">
        <v>61</v>
      </c>
      <c r="P289" s="18" t="s">
        <v>934</v>
      </c>
      <c r="Q289" s="19"/>
      <c r="R289" s="57" t="s">
        <v>61</v>
      </c>
      <c r="S289" s="16" t="s">
        <v>70</v>
      </c>
      <c r="T289" s="16"/>
      <c r="U289" s="16"/>
      <c r="V289" s="16">
        <v>162</v>
      </c>
      <c r="W289" s="16">
        <f t="shared" si="48"/>
        <v>162</v>
      </c>
      <c r="X289" s="16">
        <f t="shared" si="56"/>
        <v>162</v>
      </c>
      <c r="Y289" s="16">
        <f>ROUNDDOWN(W289/HLOOKUP(D289,Table!$C$3:$D$4,2,0)*8,2)</f>
        <v>2.88</v>
      </c>
      <c r="Z289" s="16">
        <v>1</v>
      </c>
      <c r="AA289" s="16" t="s">
        <v>18</v>
      </c>
      <c r="AB289" s="20"/>
      <c r="AC289" s="20">
        <v>43969</v>
      </c>
      <c r="AD289" s="20">
        <v>43973</v>
      </c>
      <c r="AE289" s="20">
        <v>43970</v>
      </c>
      <c r="AF289" s="20">
        <v>43970</v>
      </c>
      <c r="AG289" s="20" t="s">
        <v>335</v>
      </c>
      <c r="AH289" s="32">
        <v>1</v>
      </c>
      <c r="AI289" s="32">
        <v>1</v>
      </c>
      <c r="AJ289" s="32">
        <v>1</v>
      </c>
      <c r="AK289" s="20" t="s">
        <v>165</v>
      </c>
      <c r="AL289" s="18" t="s">
        <v>61</v>
      </c>
      <c r="AM289" s="18" t="s">
        <v>61</v>
      </c>
      <c r="AN289" s="18" t="s">
        <v>61</v>
      </c>
    </row>
    <row r="290" spans="2:42" x14ac:dyDescent="0.25">
      <c r="B290" s="146">
        <f t="shared" si="55"/>
        <v>243</v>
      </c>
      <c r="C290" s="17">
        <v>20200518</v>
      </c>
      <c r="D290" s="16" t="s">
        <v>3</v>
      </c>
      <c r="E290" s="16" t="s">
        <v>701</v>
      </c>
      <c r="F290" s="145" t="s">
        <v>1097</v>
      </c>
      <c r="G290" s="18">
        <v>1369873</v>
      </c>
      <c r="H290" s="57" t="s">
        <v>61</v>
      </c>
      <c r="I290" s="16" t="s">
        <v>924</v>
      </c>
      <c r="J290" s="57" t="s">
        <v>61</v>
      </c>
      <c r="K290" s="16" t="s">
        <v>161</v>
      </c>
      <c r="L290" s="16" t="s">
        <v>1017</v>
      </c>
      <c r="M290" s="16" t="s">
        <v>702</v>
      </c>
      <c r="N290" s="16" t="s">
        <v>711</v>
      </c>
      <c r="O290" s="18" t="s">
        <v>61</v>
      </c>
      <c r="P290" s="18" t="s">
        <v>934</v>
      </c>
      <c r="Q290" s="19"/>
      <c r="R290" s="57" t="s">
        <v>61</v>
      </c>
      <c r="S290" s="16" t="s">
        <v>69</v>
      </c>
      <c r="T290" s="16"/>
      <c r="U290" s="16"/>
      <c r="V290" s="16">
        <v>55</v>
      </c>
      <c r="W290" s="16">
        <f t="shared" si="48"/>
        <v>55</v>
      </c>
      <c r="X290" s="16">
        <f t="shared" si="56"/>
        <v>55</v>
      </c>
      <c r="Y290" s="16">
        <f>ROUNDDOWN(W290/HLOOKUP(D290,Table!$C$3:$D$4,2,0)*8,2)</f>
        <v>0.97</v>
      </c>
      <c r="Z290" s="16">
        <v>0.5</v>
      </c>
      <c r="AA290" s="16" t="s">
        <v>18</v>
      </c>
      <c r="AB290" s="20"/>
      <c r="AC290" s="20">
        <v>43969</v>
      </c>
      <c r="AD290" s="20">
        <v>43973</v>
      </c>
      <c r="AE290" s="20">
        <v>43970</v>
      </c>
      <c r="AF290" s="20">
        <v>43970</v>
      </c>
      <c r="AG290" s="20" t="s">
        <v>335</v>
      </c>
      <c r="AH290" s="32">
        <v>1</v>
      </c>
      <c r="AI290" s="32">
        <v>1</v>
      </c>
      <c r="AJ290" s="32">
        <v>1</v>
      </c>
      <c r="AK290" s="20" t="s">
        <v>165</v>
      </c>
      <c r="AL290" s="18" t="s">
        <v>61</v>
      </c>
      <c r="AM290" s="18" t="s">
        <v>61</v>
      </c>
      <c r="AN290" s="18" t="s">
        <v>61</v>
      </c>
    </row>
    <row r="291" spans="2:42" x14ac:dyDescent="0.25">
      <c r="B291" s="146">
        <f t="shared" si="55"/>
        <v>244</v>
      </c>
      <c r="C291" s="17">
        <v>20200518</v>
      </c>
      <c r="D291" s="16" t="s">
        <v>3</v>
      </c>
      <c r="E291" s="16" t="s">
        <v>701</v>
      </c>
      <c r="F291" s="145" t="s">
        <v>1097</v>
      </c>
      <c r="G291" s="18">
        <v>1369873</v>
      </c>
      <c r="H291" s="57" t="s">
        <v>61</v>
      </c>
      <c r="I291" s="16" t="s">
        <v>925</v>
      </c>
      <c r="J291" s="57" t="s">
        <v>61</v>
      </c>
      <c r="K291" s="16" t="s">
        <v>161</v>
      </c>
      <c r="L291" s="16" t="s">
        <v>1017</v>
      </c>
      <c r="M291" s="16" t="s">
        <v>702</v>
      </c>
      <c r="N291" s="16" t="s">
        <v>711</v>
      </c>
      <c r="O291" s="18" t="s">
        <v>61</v>
      </c>
      <c r="P291" s="18" t="s">
        <v>934</v>
      </c>
      <c r="Q291" s="19"/>
      <c r="R291" s="57" t="s">
        <v>61</v>
      </c>
      <c r="S291" s="16" t="s">
        <v>68</v>
      </c>
      <c r="T291" s="16"/>
      <c r="U291" s="16"/>
      <c r="V291" s="16">
        <v>35</v>
      </c>
      <c r="W291" s="16">
        <f t="shared" si="48"/>
        <v>35</v>
      </c>
      <c r="X291" s="16">
        <f t="shared" si="56"/>
        <v>35</v>
      </c>
      <c r="Y291" s="16">
        <f>ROUNDDOWN(W291/HLOOKUP(D291,Table!$C$3:$D$4,2,0)*8,2)</f>
        <v>0.62</v>
      </c>
      <c r="Z291" s="16">
        <f>Y291</f>
        <v>0.62</v>
      </c>
      <c r="AA291" s="16" t="s">
        <v>18</v>
      </c>
      <c r="AB291" s="20"/>
      <c r="AC291" s="20">
        <v>43969</v>
      </c>
      <c r="AD291" s="20">
        <v>43973</v>
      </c>
      <c r="AE291" s="20">
        <v>43970</v>
      </c>
      <c r="AF291" s="20">
        <v>43970</v>
      </c>
      <c r="AG291" s="20" t="s">
        <v>335</v>
      </c>
      <c r="AH291" s="32">
        <v>1</v>
      </c>
      <c r="AI291" s="32">
        <v>1</v>
      </c>
      <c r="AJ291" s="32">
        <v>1</v>
      </c>
      <c r="AK291" s="20" t="s">
        <v>165</v>
      </c>
      <c r="AL291" s="18"/>
      <c r="AM291" s="18"/>
      <c r="AN291" s="18"/>
    </row>
    <row r="292" spans="2:42" x14ac:dyDescent="0.25">
      <c r="B292" s="146">
        <f t="shared" si="55"/>
        <v>245</v>
      </c>
      <c r="C292" s="17">
        <v>20200518</v>
      </c>
      <c r="D292" s="16" t="s">
        <v>3</v>
      </c>
      <c r="E292" s="16" t="s">
        <v>701</v>
      </c>
      <c r="F292" s="145" t="s">
        <v>1098</v>
      </c>
      <c r="G292" s="18">
        <v>1369873</v>
      </c>
      <c r="H292" s="57" t="s">
        <v>61</v>
      </c>
      <c r="I292" s="98" t="s">
        <v>920</v>
      </c>
      <c r="J292" s="57" t="s">
        <v>61</v>
      </c>
      <c r="K292" s="16" t="s">
        <v>161</v>
      </c>
      <c r="L292" s="16" t="s">
        <v>1017</v>
      </c>
      <c r="M292" s="16" t="s">
        <v>702</v>
      </c>
      <c r="N292" s="16" t="s">
        <v>711</v>
      </c>
      <c r="O292" s="18" t="s">
        <v>61</v>
      </c>
      <c r="P292" s="18" t="s">
        <v>934</v>
      </c>
      <c r="Q292" s="19"/>
      <c r="R292" s="57" t="s">
        <v>61</v>
      </c>
      <c r="S292" s="16" t="s">
        <v>69</v>
      </c>
      <c r="T292" s="16"/>
      <c r="U292" s="16"/>
      <c r="V292" s="16">
        <v>25</v>
      </c>
      <c r="W292" s="16">
        <f t="shared" si="48"/>
        <v>25</v>
      </c>
      <c r="X292" s="16">
        <f t="shared" si="56"/>
        <v>25</v>
      </c>
      <c r="Y292" s="16">
        <f>ROUNDDOWN(W292/HLOOKUP(D292,Table!$C$3:$D$4,2,0)*8,2)</f>
        <v>0.44</v>
      </c>
      <c r="Z292" s="16">
        <v>0.3</v>
      </c>
      <c r="AA292" s="16" t="s">
        <v>18</v>
      </c>
      <c r="AB292" s="20"/>
      <c r="AC292" s="20">
        <v>43969</v>
      </c>
      <c r="AD292" s="20">
        <v>43973</v>
      </c>
      <c r="AE292" s="20">
        <v>43970</v>
      </c>
      <c r="AF292" s="20">
        <v>43970</v>
      </c>
      <c r="AG292" s="20" t="s">
        <v>335</v>
      </c>
      <c r="AH292" s="32">
        <v>1</v>
      </c>
      <c r="AI292" s="32">
        <v>1</v>
      </c>
      <c r="AJ292" s="32">
        <v>1</v>
      </c>
      <c r="AK292" s="20" t="s">
        <v>165</v>
      </c>
      <c r="AL292" s="18" t="s">
        <v>61</v>
      </c>
      <c r="AM292" s="18" t="s">
        <v>61</v>
      </c>
      <c r="AN292" s="18" t="s">
        <v>61</v>
      </c>
    </row>
    <row r="293" spans="2:42" x14ac:dyDescent="0.25">
      <c r="B293" s="146">
        <f t="shared" si="55"/>
        <v>246</v>
      </c>
      <c r="C293" s="17">
        <v>20200518</v>
      </c>
      <c r="D293" s="16" t="s">
        <v>3</v>
      </c>
      <c r="E293" s="16" t="s">
        <v>701</v>
      </c>
      <c r="F293" s="145" t="s">
        <v>1097</v>
      </c>
      <c r="G293" s="18">
        <v>1369873</v>
      </c>
      <c r="H293" s="57" t="s">
        <v>61</v>
      </c>
      <c r="I293" s="16" t="s">
        <v>926</v>
      </c>
      <c r="J293" s="57" t="s">
        <v>61</v>
      </c>
      <c r="K293" s="16" t="s">
        <v>161</v>
      </c>
      <c r="L293" s="16" t="s">
        <v>1017</v>
      </c>
      <c r="M293" s="16" t="s">
        <v>702</v>
      </c>
      <c r="N293" s="16" t="s">
        <v>711</v>
      </c>
      <c r="O293" s="18" t="s">
        <v>61</v>
      </c>
      <c r="P293" s="18" t="s">
        <v>934</v>
      </c>
      <c r="Q293" s="19"/>
      <c r="R293" s="57" t="s">
        <v>61</v>
      </c>
      <c r="S293" s="16" t="s">
        <v>69</v>
      </c>
      <c r="T293" s="16"/>
      <c r="U293" s="16"/>
      <c r="V293" s="16">
        <v>60</v>
      </c>
      <c r="W293" s="16">
        <f t="shared" si="48"/>
        <v>60</v>
      </c>
      <c r="X293" s="16">
        <f t="shared" si="56"/>
        <v>60</v>
      </c>
      <c r="Y293" s="16">
        <f>ROUNDDOWN(W293/HLOOKUP(D293,Table!$C$3:$D$4,2,0)*8,2)</f>
        <v>1.06</v>
      </c>
      <c r="Z293" s="16">
        <v>1</v>
      </c>
      <c r="AA293" s="16" t="s">
        <v>18</v>
      </c>
      <c r="AB293" s="20"/>
      <c r="AC293" s="20">
        <v>43969</v>
      </c>
      <c r="AD293" s="20">
        <v>43973</v>
      </c>
      <c r="AE293" s="20">
        <v>43970</v>
      </c>
      <c r="AF293" s="20">
        <v>43970</v>
      </c>
      <c r="AG293" s="20" t="s">
        <v>335</v>
      </c>
      <c r="AH293" s="32">
        <v>1</v>
      </c>
      <c r="AI293" s="32">
        <v>1</v>
      </c>
      <c r="AJ293" s="32">
        <v>1</v>
      </c>
      <c r="AK293" s="20" t="s">
        <v>165</v>
      </c>
      <c r="AL293" s="18" t="s">
        <v>61</v>
      </c>
      <c r="AM293" s="18" t="s">
        <v>61</v>
      </c>
      <c r="AN293" s="18" t="s">
        <v>61</v>
      </c>
    </row>
    <row r="294" spans="2:42" x14ac:dyDescent="0.25">
      <c r="B294" s="148">
        <f t="shared" ref="B294:B306" si="57">B293+1</f>
        <v>247</v>
      </c>
      <c r="C294" s="17">
        <v>20200518</v>
      </c>
      <c r="D294" s="16" t="s">
        <v>3</v>
      </c>
      <c r="E294" s="16" t="s">
        <v>936</v>
      </c>
      <c r="F294" s="80" t="s">
        <v>952</v>
      </c>
      <c r="G294" s="18">
        <v>1473225</v>
      </c>
      <c r="H294" s="57" t="s">
        <v>61</v>
      </c>
      <c r="I294" s="16" t="s">
        <v>938</v>
      </c>
      <c r="J294" s="57" t="s">
        <v>61</v>
      </c>
      <c r="K294" s="16" t="s">
        <v>161</v>
      </c>
      <c r="L294" s="16" t="s">
        <v>943</v>
      </c>
      <c r="M294" s="150" t="s">
        <v>1014</v>
      </c>
      <c r="N294" s="16" t="s">
        <v>945</v>
      </c>
      <c r="O294" s="18" t="s">
        <v>61</v>
      </c>
      <c r="P294" s="18" t="s">
        <v>941</v>
      </c>
      <c r="Q294" s="19"/>
      <c r="R294" s="57" t="s">
        <v>61</v>
      </c>
      <c r="S294" s="16" t="s">
        <v>157</v>
      </c>
      <c r="T294" s="16"/>
      <c r="U294" s="16"/>
      <c r="V294" s="16">
        <v>86</v>
      </c>
      <c r="W294" s="16">
        <f t="shared" ref="W294:X306" si="58">V294</f>
        <v>86</v>
      </c>
      <c r="X294" s="16">
        <f t="shared" si="58"/>
        <v>86</v>
      </c>
      <c r="Y294" s="16">
        <f>ROUNDDOWN(W294/HLOOKUP(D294,Table!$C$3:$D$4,2,0)*8,2)</f>
        <v>1.52</v>
      </c>
      <c r="Z294" s="16">
        <v>0.5</v>
      </c>
      <c r="AA294" s="16" t="s">
        <v>18</v>
      </c>
      <c r="AB294" s="20"/>
      <c r="AC294" s="20">
        <v>43969</v>
      </c>
      <c r="AD294" s="20">
        <v>43978</v>
      </c>
      <c r="AE294" s="20">
        <v>43970</v>
      </c>
      <c r="AF294" s="20">
        <v>43970</v>
      </c>
      <c r="AG294" s="20" t="s">
        <v>335</v>
      </c>
      <c r="AH294" s="32">
        <v>1</v>
      </c>
      <c r="AI294" s="32">
        <v>1</v>
      </c>
      <c r="AJ294" s="32">
        <v>1</v>
      </c>
      <c r="AK294" s="20" t="s">
        <v>165</v>
      </c>
      <c r="AL294" s="122" t="s">
        <v>61</v>
      </c>
      <c r="AM294" s="16" t="s">
        <v>61</v>
      </c>
      <c r="AN294" s="16" t="s">
        <v>61</v>
      </c>
    </row>
    <row r="295" spans="2:42" x14ac:dyDescent="0.25">
      <c r="B295" s="148">
        <f t="shared" si="57"/>
        <v>248</v>
      </c>
      <c r="C295" s="17">
        <v>20200518</v>
      </c>
      <c r="D295" s="16" t="s">
        <v>3</v>
      </c>
      <c r="E295" s="16" t="s">
        <v>937</v>
      </c>
      <c r="F295" s="80" t="s">
        <v>953</v>
      </c>
      <c r="G295" s="18">
        <v>1472050</v>
      </c>
      <c r="H295" s="57" t="s">
        <v>61</v>
      </c>
      <c r="I295" s="16" t="s">
        <v>939</v>
      </c>
      <c r="J295" s="57" t="s">
        <v>61</v>
      </c>
      <c r="K295" s="16" t="s">
        <v>161</v>
      </c>
      <c r="L295" s="16" t="s">
        <v>944</v>
      </c>
      <c r="M295" s="16" t="s">
        <v>165</v>
      </c>
      <c r="N295" s="150" t="s">
        <v>950</v>
      </c>
      <c r="O295" s="18" t="s">
        <v>61</v>
      </c>
      <c r="P295" s="18" t="s">
        <v>942</v>
      </c>
      <c r="Q295" s="19"/>
      <c r="R295" s="57" t="s">
        <v>61</v>
      </c>
      <c r="S295" s="16" t="s">
        <v>65</v>
      </c>
      <c r="T295" s="16"/>
      <c r="U295" s="16"/>
      <c r="V295" s="16">
        <v>641</v>
      </c>
      <c r="W295" s="16">
        <f t="shared" si="58"/>
        <v>641</v>
      </c>
      <c r="X295" s="16">
        <f>W295</f>
        <v>641</v>
      </c>
      <c r="Y295" s="16">
        <f>ROUNDDOWN(W295/HLOOKUP(D295,Table!$C$3:$D$4,2,0)*8,2)</f>
        <v>11.39</v>
      </c>
      <c r="Z295" s="16">
        <v>2</v>
      </c>
      <c r="AA295" s="16" t="s">
        <v>18</v>
      </c>
      <c r="AB295" s="20"/>
      <c r="AC295" s="20">
        <v>43969</v>
      </c>
      <c r="AD295" s="20">
        <v>43978</v>
      </c>
      <c r="AE295" s="20">
        <v>43971</v>
      </c>
      <c r="AF295" s="20">
        <v>43971</v>
      </c>
      <c r="AG295" s="20" t="s">
        <v>335</v>
      </c>
      <c r="AH295" s="32">
        <v>1</v>
      </c>
      <c r="AI295" s="32">
        <v>1</v>
      </c>
      <c r="AJ295" s="32">
        <v>1</v>
      </c>
      <c r="AK295" s="20" t="s">
        <v>165</v>
      </c>
      <c r="AL295" s="16"/>
      <c r="AM295" s="16"/>
      <c r="AN295" s="16" t="s">
        <v>951</v>
      </c>
    </row>
    <row r="296" spans="2:42" x14ac:dyDescent="0.25">
      <c r="B296" s="148">
        <f t="shared" si="57"/>
        <v>249</v>
      </c>
      <c r="C296" s="17">
        <v>20200518</v>
      </c>
      <c r="D296" s="16" t="s">
        <v>3</v>
      </c>
      <c r="E296" s="16" t="s">
        <v>937</v>
      </c>
      <c r="F296" s="80" t="s">
        <v>954</v>
      </c>
      <c r="G296" s="18">
        <v>1472050</v>
      </c>
      <c r="H296" s="57" t="s">
        <v>61</v>
      </c>
      <c r="I296" s="16" t="s">
        <v>940</v>
      </c>
      <c r="J296" s="57" t="s">
        <v>61</v>
      </c>
      <c r="K296" s="16" t="s">
        <v>161</v>
      </c>
      <c r="L296" s="16" t="s">
        <v>944</v>
      </c>
      <c r="M296" s="16" t="s">
        <v>165</v>
      </c>
      <c r="N296" s="150" t="s">
        <v>950</v>
      </c>
      <c r="O296" s="18" t="s">
        <v>61</v>
      </c>
      <c r="P296" s="18" t="s">
        <v>942</v>
      </c>
      <c r="Q296" s="19"/>
      <c r="R296" s="57" t="s">
        <v>61</v>
      </c>
      <c r="S296" s="16" t="s">
        <v>65</v>
      </c>
      <c r="T296" s="16"/>
      <c r="U296" s="16"/>
      <c r="V296" s="16">
        <v>296</v>
      </c>
      <c r="W296" s="16">
        <f t="shared" si="58"/>
        <v>296</v>
      </c>
      <c r="X296" s="16">
        <f>W296</f>
        <v>296</v>
      </c>
      <c r="Y296" s="16">
        <f>ROUNDDOWN(W296/HLOOKUP(D296,Table!$C$3:$D$4,2,0)*8,2)</f>
        <v>5.26</v>
      </c>
      <c r="Z296" s="16">
        <v>2</v>
      </c>
      <c r="AA296" s="16" t="s">
        <v>18</v>
      </c>
      <c r="AB296" s="20"/>
      <c r="AC296" s="20">
        <v>43969</v>
      </c>
      <c r="AD296" s="20">
        <v>43978</v>
      </c>
      <c r="AE296" s="20">
        <v>43971</v>
      </c>
      <c r="AF296" s="20">
        <v>43971</v>
      </c>
      <c r="AG296" s="20" t="s">
        <v>335</v>
      </c>
      <c r="AH296" s="32">
        <v>1</v>
      </c>
      <c r="AI296" s="32">
        <v>1</v>
      </c>
      <c r="AJ296" s="32">
        <v>1</v>
      </c>
      <c r="AK296" s="20" t="s">
        <v>165</v>
      </c>
      <c r="AL296" s="16"/>
      <c r="AM296" s="16"/>
      <c r="AN296" s="16" t="s">
        <v>951</v>
      </c>
    </row>
    <row r="297" spans="2:42" x14ac:dyDescent="0.25">
      <c r="B297" s="148">
        <f t="shared" si="57"/>
        <v>250</v>
      </c>
      <c r="C297" s="17">
        <v>20200518</v>
      </c>
      <c r="D297" s="16" t="s">
        <v>3</v>
      </c>
      <c r="E297" s="16" t="s">
        <v>937</v>
      </c>
      <c r="F297" s="80" t="s">
        <v>955</v>
      </c>
      <c r="G297" s="18">
        <v>1472050</v>
      </c>
      <c r="H297" s="57" t="s">
        <v>61</v>
      </c>
      <c r="I297" s="16" t="s">
        <v>686</v>
      </c>
      <c r="J297" s="57" t="s">
        <v>61</v>
      </c>
      <c r="K297" s="16" t="s">
        <v>161</v>
      </c>
      <c r="L297" s="16" t="s">
        <v>944</v>
      </c>
      <c r="M297" s="16" t="s">
        <v>165</v>
      </c>
      <c r="N297" s="150" t="s">
        <v>950</v>
      </c>
      <c r="O297" s="18" t="s">
        <v>61</v>
      </c>
      <c r="P297" s="18" t="s">
        <v>942</v>
      </c>
      <c r="Q297" s="19"/>
      <c r="R297" s="57" t="s">
        <v>61</v>
      </c>
      <c r="S297" s="16" t="s">
        <v>65</v>
      </c>
      <c r="T297" s="16"/>
      <c r="U297" s="16"/>
      <c r="V297" s="16">
        <v>259</v>
      </c>
      <c r="W297" s="16">
        <f t="shared" si="58"/>
        <v>259</v>
      </c>
      <c r="X297" s="16">
        <f>W297</f>
        <v>259</v>
      </c>
      <c r="Y297" s="16">
        <f>ROUNDDOWN(W297/HLOOKUP(D297,Table!$C$3:$D$4,2,0)*8,2)</f>
        <v>4.5999999999999996</v>
      </c>
      <c r="Z297" s="16">
        <v>1</v>
      </c>
      <c r="AA297" s="16" t="s">
        <v>18</v>
      </c>
      <c r="AB297" s="20"/>
      <c r="AC297" s="20">
        <v>43969</v>
      </c>
      <c r="AD297" s="20">
        <v>43978</v>
      </c>
      <c r="AE297" s="20">
        <v>43971</v>
      </c>
      <c r="AF297" s="20">
        <v>43971</v>
      </c>
      <c r="AG297" s="20" t="s">
        <v>336</v>
      </c>
      <c r="AH297" s="32">
        <v>1</v>
      </c>
      <c r="AI297" s="32">
        <v>1</v>
      </c>
      <c r="AJ297" s="32">
        <v>0.91</v>
      </c>
      <c r="AK297" s="20" t="s">
        <v>149</v>
      </c>
      <c r="AL297" s="16"/>
      <c r="AM297" s="16"/>
      <c r="AN297" s="16" t="s">
        <v>951</v>
      </c>
    </row>
    <row r="298" spans="2:42" x14ac:dyDescent="0.25">
      <c r="B298" s="148">
        <f t="shared" si="57"/>
        <v>251</v>
      </c>
      <c r="C298" s="17">
        <v>20200518</v>
      </c>
      <c r="D298" s="16" t="s">
        <v>3</v>
      </c>
      <c r="E298" s="16" t="s">
        <v>937</v>
      </c>
      <c r="F298" s="80" t="s">
        <v>956</v>
      </c>
      <c r="G298" s="18">
        <v>1472050</v>
      </c>
      <c r="H298" s="57" t="s">
        <v>61</v>
      </c>
      <c r="I298" s="16" t="s">
        <v>482</v>
      </c>
      <c r="J298" s="57" t="s">
        <v>61</v>
      </c>
      <c r="K298" s="16" t="s">
        <v>161</v>
      </c>
      <c r="L298" s="16" t="s">
        <v>944</v>
      </c>
      <c r="M298" s="16" t="s">
        <v>165</v>
      </c>
      <c r="N298" s="150" t="s">
        <v>950</v>
      </c>
      <c r="O298" s="18" t="s">
        <v>61</v>
      </c>
      <c r="P298" s="18" t="s">
        <v>942</v>
      </c>
      <c r="Q298" s="19"/>
      <c r="R298" s="57" t="s">
        <v>61</v>
      </c>
      <c r="S298" s="16" t="s">
        <v>65</v>
      </c>
      <c r="T298" s="16"/>
      <c r="U298" s="16"/>
      <c r="V298" s="16">
        <v>371</v>
      </c>
      <c r="W298" s="16">
        <f t="shared" si="58"/>
        <v>371</v>
      </c>
      <c r="X298" s="16">
        <f>W298</f>
        <v>371</v>
      </c>
      <c r="Y298" s="16">
        <f>ROUNDDOWN(W298/HLOOKUP(D298,Table!$C$3:$D$4,2,0)*8,2)</f>
        <v>6.59</v>
      </c>
      <c r="Z298" s="16">
        <v>2</v>
      </c>
      <c r="AA298" s="16" t="s">
        <v>18</v>
      </c>
      <c r="AB298" s="20"/>
      <c r="AC298" s="20">
        <v>43969</v>
      </c>
      <c r="AD298" s="20">
        <v>43978</v>
      </c>
      <c r="AE298" s="20">
        <v>43971</v>
      </c>
      <c r="AF298" s="20">
        <v>43971</v>
      </c>
      <c r="AG298" s="20" t="s">
        <v>335</v>
      </c>
      <c r="AH298" s="32">
        <v>1</v>
      </c>
      <c r="AI298" s="32">
        <v>1</v>
      </c>
      <c r="AJ298" s="32">
        <v>1</v>
      </c>
      <c r="AK298" s="20" t="s">
        <v>165</v>
      </c>
      <c r="AL298" s="16"/>
      <c r="AM298" s="16"/>
      <c r="AN298" s="16" t="s">
        <v>951</v>
      </c>
    </row>
    <row r="299" spans="2:42" x14ac:dyDescent="0.25">
      <c r="B299" s="148">
        <f t="shared" si="57"/>
        <v>252</v>
      </c>
      <c r="C299" s="17">
        <v>20200518</v>
      </c>
      <c r="D299" s="16" t="s">
        <v>3</v>
      </c>
      <c r="E299" s="16" t="s">
        <v>946</v>
      </c>
      <c r="F299" s="80" t="s">
        <v>957</v>
      </c>
      <c r="G299" s="18">
        <v>1473584</v>
      </c>
      <c r="H299" s="57" t="s">
        <v>61</v>
      </c>
      <c r="I299" s="16" t="s">
        <v>176</v>
      </c>
      <c r="J299" s="57" t="s">
        <v>61</v>
      </c>
      <c r="K299" s="16" t="s">
        <v>161</v>
      </c>
      <c r="L299" s="16" t="s">
        <v>947</v>
      </c>
      <c r="M299" s="16" t="s">
        <v>949</v>
      </c>
      <c r="N299" s="16" t="s">
        <v>948</v>
      </c>
      <c r="O299" s="18" t="s">
        <v>61</v>
      </c>
      <c r="P299" s="18" t="s">
        <v>328</v>
      </c>
      <c r="Q299" s="19"/>
      <c r="R299" s="57" t="s">
        <v>61</v>
      </c>
      <c r="S299" s="16" t="s">
        <v>157</v>
      </c>
      <c r="T299" s="16"/>
      <c r="U299" s="16"/>
      <c r="V299" s="16">
        <v>145</v>
      </c>
      <c r="W299" s="16">
        <f t="shared" si="58"/>
        <v>145</v>
      </c>
      <c r="X299" s="16">
        <f t="shared" si="58"/>
        <v>145</v>
      </c>
      <c r="Y299" s="16">
        <f>ROUNDDOWN(W299/HLOOKUP(D299,Table!$C$3:$D$4,2,0)*8,2)</f>
        <v>2.57</v>
      </c>
      <c r="Z299" s="16">
        <v>0.4</v>
      </c>
      <c r="AA299" s="16" t="s">
        <v>21</v>
      </c>
      <c r="AB299" s="20">
        <v>43971</v>
      </c>
      <c r="AC299" s="20">
        <v>43969</v>
      </c>
      <c r="AD299" s="174">
        <v>43971</v>
      </c>
      <c r="AE299" s="20">
        <v>43970</v>
      </c>
      <c r="AF299" s="20">
        <v>43970</v>
      </c>
      <c r="AG299" s="20" t="s">
        <v>335</v>
      </c>
      <c r="AH299" s="32">
        <v>1</v>
      </c>
      <c r="AI299" s="32">
        <v>1</v>
      </c>
      <c r="AJ299" s="32">
        <v>1</v>
      </c>
      <c r="AK299" s="20" t="s">
        <v>165</v>
      </c>
      <c r="AL299" s="122"/>
      <c r="AM299" s="32" t="s">
        <v>61</v>
      </c>
      <c r="AN299" s="32" t="s">
        <v>61</v>
      </c>
    </row>
    <row r="300" spans="2:42" x14ac:dyDescent="0.25">
      <c r="B300" s="148">
        <f t="shared" si="57"/>
        <v>253</v>
      </c>
      <c r="C300" s="17">
        <v>20200518</v>
      </c>
      <c r="D300" s="16" t="s">
        <v>3</v>
      </c>
      <c r="E300" s="16" t="s">
        <v>946</v>
      </c>
      <c r="F300" s="80" t="s">
        <v>958</v>
      </c>
      <c r="G300" s="18">
        <v>1473584</v>
      </c>
      <c r="H300" s="57" t="s">
        <v>61</v>
      </c>
      <c r="I300" s="16" t="s">
        <v>172</v>
      </c>
      <c r="J300" s="57" t="s">
        <v>61</v>
      </c>
      <c r="K300" s="16" t="s">
        <v>161</v>
      </c>
      <c r="L300" s="16" t="s">
        <v>947</v>
      </c>
      <c r="M300" s="16" t="s">
        <v>949</v>
      </c>
      <c r="N300" s="16" t="s">
        <v>948</v>
      </c>
      <c r="O300" s="18" t="s">
        <v>61</v>
      </c>
      <c r="P300" s="18" t="s">
        <v>328</v>
      </c>
      <c r="Q300" s="19"/>
      <c r="R300" s="57" t="s">
        <v>61</v>
      </c>
      <c r="S300" s="16" t="s">
        <v>157</v>
      </c>
      <c r="T300" s="16"/>
      <c r="U300" s="16"/>
      <c r="V300" s="16">
        <v>101</v>
      </c>
      <c r="W300" s="16">
        <f t="shared" si="58"/>
        <v>101</v>
      </c>
      <c r="X300" s="16">
        <f t="shared" si="58"/>
        <v>101</v>
      </c>
      <c r="Y300" s="16">
        <f>ROUNDDOWN(W300/HLOOKUP(D300,Table!$C$3:$D$4,2,0)*8,2)</f>
        <v>1.79</v>
      </c>
      <c r="Z300" s="16">
        <v>0.4</v>
      </c>
      <c r="AA300" s="16" t="s">
        <v>93</v>
      </c>
      <c r="AB300" s="20">
        <v>43971</v>
      </c>
      <c r="AC300" s="20">
        <v>43969</v>
      </c>
      <c r="AD300" s="174">
        <v>43971</v>
      </c>
      <c r="AE300" s="20">
        <v>43970</v>
      </c>
      <c r="AF300" s="20">
        <v>43970</v>
      </c>
      <c r="AG300" s="20" t="s">
        <v>336</v>
      </c>
      <c r="AH300" s="32">
        <v>1</v>
      </c>
      <c r="AI300" s="32">
        <v>1</v>
      </c>
      <c r="AJ300" s="32">
        <v>0.5</v>
      </c>
      <c r="AK300" s="20" t="s">
        <v>149</v>
      </c>
      <c r="AL300" s="166" t="s">
        <v>1151</v>
      </c>
      <c r="AM300" s="166" t="s">
        <v>61</v>
      </c>
      <c r="AN300" s="193" t="s">
        <v>448</v>
      </c>
    </row>
    <row r="301" spans="2:42" ht="15.75" x14ac:dyDescent="0.3">
      <c r="B301" s="148">
        <f t="shared" si="57"/>
        <v>254</v>
      </c>
      <c r="C301" s="17">
        <v>20200518</v>
      </c>
      <c r="D301" s="16" t="s">
        <v>3</v>
      </c>
      <c r="E301" s="16" t="s">
        <v>946</v>
      </c>
      <c r="F301" s="80" t="s">
        <v>959</v>
      </c>
      <c r="G301" s="18">
        <v>1473584</v>
      </c>
      <c r="H301" s="57" t="s">
        <v>61</v>
      </c>
      <c r="I301" s="16" t="s">
        <v>173</v>
      </c>
      <c r="J301" s="57" t="s">
        <v>61</v>
      </c>
      <c r="K301" s="16" t="s">
        <v>161</v>
      </c>
      <c r="L301" s="16" t="s">
        <v>947</v>
      </c>
      <c r="M301" s="16" t="s">
        <v>949</v>
      </c>
      <c r="N301" s="16" t="s">
        <v>948</v>
      </c>
      <c r="O301" s="18" t="s">
        <v>61</v>
      </c>
      <c r="P301" s="18" t="s">
        <v>328</v>
      </c>
      <c r="Q301" s="19"/>
      <c r="R301" s="57" t="s">
        <v>61</v>
      </c>
      <c r="S301" s="16" t="s">
        <v>157</v>
      </c>
      <c r="T301" s="16"/>
      <c r="U301" s="16"/>
      <c r="V301" s="16">
        <v>154</v>
      </c>
      <c r="W301" s="16">
        <f t="shared" si="58"/>
        <v>154</v>
      </c>
      <c r="X301" s="16">
        <f>W301</f>
        <v>154</v>
      </c>
      <c r="Y301" s="16">
        <f>ROUNDDOWN(W301/HLOOKUP(D301,Table!$C$3:$D$4,2,0)*8,2)</f>
        <v>2.73</v>
      </c>
      <c r="Z301" s="16">
        <v>0.5</v>
      </c>
      <c r="AA301" s="16" t="s">
        <v>21</v>
      </c>
      <c r="AB301" s="20">
        <v>43971</v>
      </c>
      <c r="AC301" s="20">
        <v>43969</v>
      </c>
      <c r="AD301" s="174">
        <v>43971</v>
      </c>
      <c r="AE301" s="20">
        <v>43970</v>
      </c>
      <c r="AF301" s="20">
        <v>43970</v>
      </c>
      <c r="AG301" s="20" t="s">
        <v>336</v>
      </c>
      <c r="AH301" s="32">
        <v>0.96</v>
      </c>
      <c r="AI301" s="32">
        <v>0.9</v>
      </c>
      <c r="AJ301" s="32">
        <v>1</v>
      </c>
      <c r="AK301" s="20" t="s">
        <v>149</v>
      </c>
      <c r="AL301" s="168" t="s">
        <v>1046</v>
      </c>
      <c r="AM301" s="166" t="s">
        <v>61</v>
      </c>
      <c r="AN301" s="167" t="s">
        <v>448</v>
      </c>
    </row>
    <row r="302" spans="2:42" x14ac:dyDescent="0.25">
      <c r="B302" s="148">
        <f t="shared" si="57"/>
        <v>255</v>
      </c>
      <c r="C302" s="17">
        <v>20200518</v>
      </c>
      <c r="D302" s="16" t="s">
        <v>3</v>
      </c>
      <c r="E302" s="16" t="s">
        <v>946</v>
      </c>
      <c r="F302" s="80" t="s">
        <v>960</v>
      </c>
      <c r="G302" s="18">
        <v>1473584</v>
      </c>
      <c r="H302" s="57" t="s">
        <v>61</v>
      </c>
      <c r="I302" s="16" t="s">
        <v>177</v>
      </c>
      <c r="J302" s="57" t="s">
        <v>61</v>
      </c>
      <c r="K302" s="16" t="s">
        <v>161</v>
      </c>
      <c r="L302" s="16" t="s">
        <v>947</v>
      </c>
      <c r="M302" s="16" t="s">
        <v>949</v>
      </c>
      <c r="N302" s="16" t="s">
        <v>948</v>
      </c>
      <c r="O302" s="18" t="s">
        <v>61</v>
      </c>
      <c r="P302" s="18" t="s">
        <v>328</v>
      </c>
      <c r="Q302" s="19"/>
      <c r="R302" s="57" t="s">
        <v>61</v>
      </c>
      <c r="S302" s="16" t="s">
        <v>157</v>
      </c>
      <c r="T302" s="16"/>
      <c r="U302" s="16"/>
      <c r="V302" s="16">
        <v>120</v>
      </c>
      <c r="W302" s="16">
        <f t="shared" si="58"/>
        <v>120</v>
      </c>
      <c r="X302" s="16">
        <f>W302</f>
        <v>120</v>
      </c>
      <c r="Y302" s="16">
        <f>ROUNDDOWN(W302/HLOOKUP(D302,Table!$C$3:$D$4,2,0)*8,2)</f>
        <v>2.13</v>
      </c>
      <c r="Z302" s="16">
        <v>1</v>
      </c>
      <c r="AA302" s="16" t="s">
        <v>21</v>
      </c>
      <c r="AB302" s="20">
        <v>43971</v>
      </c>
      <c r="AC302" s="20">
        <v>43969</v>
      </c>
      <c r="AD302" s="174">
        <v>43971</v>
      </c>
      <c r="AE302" s="20">
        <v>43970</v>
      </c>
      <c r="AF302" s="20">
        <v>43970</v>
      </c>
      <c r="AG302" s="20" t="s">
        <v>336</v>
      </c>
      <c r="AH302" s="32">
        <v>1</v>
      </c>
      <c r="AI302" s="32">
        <v>0.98</v>
      </c>
      <c r="AJ302" s="32">
        <v>1</v>
      </c>
      <c r="AK302" s="20" t="s">
        <v>149</v>
      </c>
      <c r="AL302" s="149" t="s">
        <v>1045</v>
      </c>
      <c r="AM302" s="166" t="s">
        <v>61</v>
      </c>
      <c r="AN302" s="167" t="s">
        <v>448</v>
      </c>
    </row>
    <row r="303" spans="2:42" x14ac:dyDescent="0.25">
      <c r="B303" s="148">
        <f t="shared" si="57"/>
        <v>256</v>
      </c>
      <c r="C303" s="17">
        <v>20200518</v>
      </c>
      <c r="D303" s="16" t="s">
        <v>3</v>
      </c>
      <c r="E303" s="16" t="s">
        <v>946</v>
      </c>
      <c r="F303" s="80" t="s">
        <v>961</v>
      </c>
      <c r="G303" s="18">
        <v>1473584</v>
      </c>
      <c r="H303" s="57" t="s">
        <v>61</v>
      </c>
      <c r="I303" s="16" t="s">
        <v>178</v>
      </c>
      <c r="J303" s="57" t="s">
        <v>61</v>
      </c>
      <c r="K303" s="16" t="s">
        <v>161</v>
      </c>
      <c r="L303" s="16" t="s">
        <v>947</v>
      </c>
      <c r="M303" s="16" t="s">
        <v>949</v>
      </c>
      <c r="N303" s="16" t="s">
        <v>948</v>
      </c>
      <c r="O303" s="18" t="s">
        <v>61</v>
      </c>
      <c r="P303" s="18" t="s">
        <v>328</v>
      </c>
      <c r="Q303" s="19"/>
      <c r="R303" s="57" t="s">
        <v>61</v>
      </c>
      <c r="S303" s="16" t="s">
        <v>157</v>
      </c>
      <c r="T303" s="16"/>
      <c r="U303" s="16"/>
      <c r="V303" s="16">
        <v>178</v>
      </c>
      <c r="W303" s="16">
        <f t="shared" si="58"/>
        <v>178</v>
      </c>
      <c r="X303" s="16">
        <f>W303</f>
        <v>178</v>
      </c>
      <c r="Y303" s="16">
        <f>ROUNDDOWN(W303/HLOOKUP(D303,Table!$C$3:$D$4,2,0)*8,2)</f>
        <v>3.16</v>
      </c>
      <c r="Z303" s="16">
        <v>0.1</v>
      </c>
      <c r="AA303" s="16" t="s">
        <v>21</v>
      </c>
      <c r="AB303" s="20">
        <v>43971</v>
      </c>
      <c r="AC303" s="20">
        <v>43969</v>
      </c>
      <c r="AD303" s="174">
        <v>43971</v>
      </c>
      <c r="AE303" s="20">
        <v>43970</v>
      </c>
      <c r="AF303" s="20">
        <v>43970</v>
      </c>
      <c r="AG303" s="20" t="s">
        <v>335</v>
      </c>
      <c r="AH303" s="32" t="s">
        <v>61</v>
      </c>
      <c r="AI303" s="32" t="s">
        <v>61</v>
      </c>
      <c r="AJ303" s="32" t="s">
        <v>61</v>
      </c>
      <c r="AK303" s="32" t="s">
        <v>165</v>
      </c>
      <c r="AL303" s="166" t="s">
        <v>61</v>
      </c>
      <c r="AM303" s="166" t="s">
        <v>61</v>
      </c>
      <c r="AN303" s="167" t="s">
        <v>418</v>
      </c>
      <c r="AO303" s="169"/>
      <c r="AP303" s="169"/>
    </row>
    <row r="304" spans="2:42" x14ac:dyDescent="0.25">
      <c r="B304" s="148">
        <f t="shared" si="57"/>
        <v>257</v>
      </c>
      <c r="C304" s="17">
        <v>20200518</v>
      </c>
      <c r="D304" s="16" t="s">
        <v>3</v>
      </c>
      <c r="E304" s="16" t="s">
        <v>946</v>
      </c>
      <c r="F304" s="80" t="s">
        <v>962</v>
      </c>
      <c r="G304" s="18">
        <v>1473584</v>
      </c>
      <c r="H304" s="57" t="s">
        <v>61</v>
      </c>
      <c r="I304" s="16" t="s">
        <v>174</v>
      </c>
      <c r="J304" s="57" t="s">
        <v>61</v>
      </c>
      <c r="K304" s="16" t="s">
        <v>161</v>
      </c>
      <c r="L304" s="16" t="s">
        <v>947</v>
      </c>
      <c r="M304" s="16" t="s">
        <v>949</v>
      </c>
      <c r="N304" s="16" t="s">
        <v>948</v>
      </c>
      <c r="O304" s="18" t="s">
        <v>61</v>
      </c>
      <c r="P304" s="18" t="s">
        <v>328</v>
      </c>
      <c r="Q304" s="19"/>
      <c r="R304" s="57" t="s">
        <v>61</v>
      </c>
      <c r="S304" s="16" t="s">
        <v>157</v>
      </c>
      <c r="T304" s="16"/>
      <c r="U304" s="16"/>
      <c r="V304" s="16">
        <v>124</v>
      </c>
      <c r="W304" s="16">
        <f t="shared" si="58"/>
        <v>124</v>
      </c>
      <c r="X304" s="16">
        <f>W304</f>
        <v>124</v>
      </c>
      <c r="Y304" s="16">
        <f>ROUNDDOWN(W304/HLOOKUP(D304,Table!$C$3:$D$4,2,0)*8,2)</f>
        <v>2.2000000000000002</v>
      </c>
      <c r="Z304" s="16">
        <v>0.5</v>
      </c>
      <c r="AA304" s="16" t="s">
        <v>21</v>
      </c>
      <c r="AB304" s="20">
        <v>43971</v>
      </c>
      <c r="AC304" s="20">
        <v>43969</v>
      </c>
      <c r="AD304" s="174">
        <v>43971</v>
      </c>
      <c r="AE304" s="20">
        <v>43970</v>
      </c>
      <c r="AF304" s="20">
        <v>43970</v>
      </c>
      <c r="AG304" s="20" t="s">
        <v>335</v>
      </c>
      <c r="AH304" s="32">
        <v>1</v>
      </c>
      <c r="AI304" s="32">
        <v>1</v>
      </c>
      <c r="AJ304" s="32">
        <v>1</v>
      </c>
      <c r="AK304" s="20" t="s">
        <v>165</v>
      </c>
      <c r="AL304" s="166" t="s">
        <v>61</v>
      </c>
      <c r="AM304" s="166" t="s">
        <v>61</v>
      </c>
      <c r="AN304" s="166" t="s">
        <v>61</v>
      </c>
    </row>
    <row r="305" spans="2:40" x14ac:dyDescent="0.25">
      <c r="B305" s="148">
        <f t="shared" si="57"/>
        <v>258</v>
      </c>
      <c r="C305" s="17">
        <v>20200518</v>
      </c>
      <c r="D305" s="16" t="s">
        <v>3</v>
      </c>
      <c r="E305" s="16" t="s">
        <v>946</v>
      </c>
      <c r="F305" s="80" t="s">
        <v>963</v>
      </c>
      <c r="G305" s="18">
        <v>1473584</v>
      </c>
      <c r="H305" s="57" t="s">
        <v>61</v>
      </c>
      <c r="I305" s="16" t="s">
        <v>402</v>
      </c>
      <c r="J305" s="57" t="s">
        <v>61</v>
      </c>
      <c r="K305" s="16" t="s">
        <v>161</v>
      </c>
      <c r="L305" s="16" t="s">
        <v>947</v>
      </c>
      <c r="M305" s="16" t="s">
        <v>949</v>
      </c>
      <c r="N305" s="16" t="s">
        <v>948</v>
      </c>
      <c r="O305" s="18" t="s">
        <v>61</v>
      </c>
      <c r="P305" s="18" t="s">
        <v>328</v>
      </c>
      <c r="Q305" s="19"/>
      <c r="R305" s="57" t="s">
        <v>61</v>
      </c>
      <c r="S305" s="16" t="s">
        <v>157</v>
      </c>
      <c r="T305" s="16"/>
      <c r="U305" s="16"/>
      <c r="V305" s="16">
        <v>77</v>
      </c>
      <c r="W305" s="16">
        <f t="shared" si="58"/>
        <v>77</v>
      </c>
      <c r="X305" s="92">
        <v>77</v>
      </c>
      <c r="Y305" s="92">
        <v>1.36</v>
      </c>
      <c r="Z305" s="92">
        <v>1</v>
      </c>
      <c r="AA305" s="92" t="s">
        <v>21</v>
      </c>
      <c r="AB305" s="102">
        <v>43971</v>
      </c>
      <c r="AC305" s="102">
        <v>43969</v>
      </c>
      <c r="AD305" s="174">
        <v>43971</v>
      </c>
      <c r="AE305" s="102">
        <v>43971</v>
      </c>
      <c r="AF305" s="102">
        <v>43971</v>
      </c>
      <c r="AG305" s="102" t="s">
        <v>335</v>
      </c>
      <c r="AH305" s="103">
        <v>1</v>
      </c>
      <c r="AI305" s="103">
        <v>1</v>
      </c>
      <c r="AJ305" s="103">
        <v>1</v>
      </c>
      <c r="AK305" s="102" t="s">
        <v>165</v>
      </c>
      <c r="AL305" s="180" t="s">
        <v>61</v>
      </c>
      <c r="AM305" s="92"/>
      <c r="AN305" s="92" t="s">
        <v>1132</v>
      </c>
    </row>
    <row r="306" spans="2:40" x14ac:dyDescent="0.25">
      <c r="B306" s="148">
        <f t="shared" si="57"/>
        <v>259</v>
      </c>
      <c r="C306" s="17">
        <v>20200518</v>
      </c>
      <c r="D306" s="16" t="s">
        <v>3</v>
      </c>
      <c r="E306" s="16" t="s">
        <v>946</v>
      </c>
      <c r="F306" s="80" t="s">
        <v>964</v>
      </c>
      <c r="G306" s="18">
        <v>1473584</v>
      </c>
      <c r="H306" s="57" t="s">
        <v>61</v>
      </c>
      <c r="I306" s="16" t="s">
        <v>374</v>
      </c>
      <c r="J306" s="57" t="s">
        <v>61</v>
      </c>
      <c r="K306" s="16" t="s">
        <v>161</v>
      </c>
      <c r="L306" s="16" t="s">
        <v>947</v>
      </c>
      <c r="M306" s="16" t="s">
        <v>949</v>
      </c>
      <c r="N306" s="16" t="s">
        <v>948</v>
      </c>
      <c r="O306" s="18" t="s">
        <v>61</v>
      </c>
      <c r="P306" s="18" t="s">
        <v>328</v>
      </c>
      <c r="Q306" s="19"/>
      <c r="R306" s="57" t="s">
        <v>61</v>
      </c>
      <c r="S306" s="16" t="s">
        <v>157</v>
      </c>
      <c r="T306" s="16"/>
      <c r="U306" s="16"/>
      <c r="V306" s="16">
        <v>58</v>
      </c>
      <c r="W306" s="16">
        <f t="shared" si="58"/>
        <v>58</v>
      </c>
      <c r="X306" s="16">
        <f>W306</f>
        <v>58</v>
      </c>
      <c r="Y306" s="16">
        <f>ROUNDDOWN(W306/HLOOKUP(D306,Table!$C$3:$D$4,2,0)*8,2)</f>
        <v>1.03</v>
      </c>
      <c r="Z306" s="16">
        <v>0.6</v>
      </c>
      <c r="AA306" s="16" t="s">
        <v>21</v>
      </c>
      <c r="AB306" s="20">
        <v>43971</v>
      </c>
      <c r="AC306" s="20">
        <v>43969</v>
      </c>
      <c r="AD306" s="174">
        <v>43971</v>
      </c>
      <c r="AE306" s="20">
        <v>43971</v>
      </c>
      <c r="AF306" s="20">
        <v>43971</v>
      </c>
      <c r="AG306" s="20" t="s">
        <v>335</v>
      </c>
      <c r="AH306" s="32">
        <v>1</v>
      </c>
      <c r="AI306" s="32">
        <v>1</v>
      </c>
      <c r="AJ306" s="32">
        <v>1</v>
      </c>
      <c r="AK306" s="20" t="s">
        <v>165</v>
      </c>
      <c r="AL306" s="149" t="s">
        <v>61</v>
      </c>
      <c r="AM306" s="149" t="s">
        <v>61</v>
      </c>
      <c r="AN306" s="149" t="s">
        <v>1131</v>
      </c>
    </row>
    <row r="307" spans="2:40" x14ac:dyDescent="0.25">
      <c r="B307" s="45">
        <f t="shared" ref="B307:B348" si="59">B306+1</f>
        <v>260</v>
      </c>
      <c r="C307" s="17">
        <v>20200519</v>
      </c>
      <c r="D307" s="16" t="s">
        <v>3</v>
      </c>
      <c r="E307" s="92" t="s">
        <v>701</v>
      </c>
      <c r="F307" s="80" t="s">
        <v>1097</v>
      </c>
      <c r="G307" s="92">
        <v>1473546</v>
      </c>
      <c r="H307" s="57" t="s">
        <v>61</v>
      </c>
      <c r="I307" s="92" t="s">
        <v>1001</v>
      </c>
      <c r="J307" s="57" t="s">
        <v>61</v>
      </c>
      <c r="K307" s="16" t="s">
        <v>161</v>
      </c>
      <c r="L307" s="16" t="s">
        <v>165</v>
      </c>
      <c r="M307" s="92" t="s">
        <v>702</v>
      </c>
      <c r="N307" s="92" t="s">
        <v>711</v>
      </c>
      <c r="O307" s="18" t="s">
        <v>61</v>
      </c>
      <c r="P307" s="86" t="s">
        <v>1028</v>
      </c>
      <c r="Q307" s="19"/>
      <c r="R307" s="57" t="s">
        <v>61</v>
      </c>
      <c r="S307" s="16" t="s">
        <v>70</v>
      </c>
      <c r="T307" s="16"/>
      <c r="U307" s="16"/>
      <c r="V307" s="92">
        <v>109</v>
      </c>
      <c r="W307" s="16">
        <f t="shared" ref="W307:W334" si="60">V307</f>
        <v>109</v>
      </c>
      <c r="X307" s="16">
        <f>W307</f>
        <v>109</v>
      </c>
      <c r="Y307" s="16">
        <f>ROUNDDOWN(W307/HLOOKUP(D307,Table!$C$3:$D$4,2,0)*8,2)</f>
        <v>1.93</v>
      </c>
      <c r="Z307" s="16">
        <v>0.5</v>
      </c>
      <c r="AA307" s="16" t="s">
        <v>18</v>
      </c>
      <c r="AB307" s="20"/>
      <c r="AC307" s="20">
        <v>43970</v>
      </c>
      <c r="AD307" s="20">
        <v>43977</v>
      </c>
      <c r="AE307" s="20">
        <v>43970</v>
      </c>
      <c r="AF307" s="20">
        <v>43970</v>
      </c>
      <c r="AG307" s="20" t="s">
        <v>335</v>
      </c>
      <c r="AH307" s="32">
        <v>1</v>
      </c>
      <c r="AI307" s="32">
        <v>1</v>
      </c>
      <c r="AJ307" s="32">
        <v>1</v>
      </c>
      <c r="AK307" s="20" t="s">
        <v>165</v>
      </c>
      <c r="AL307" s="149"/>
      <c r="AM307" s="149"/>
      <c r="AN307" s="149"/>
    </row>
    <row r="308" spans="2:40" x14ac:dyDescent="0.25">
      <c r="B308" s="45">
        <f t="shared" si="59"/>
        <v>261</v>
      </c>
      <c r="C308" s="17">
        <v>20200519</v>
      </c>
      <c r="D308" s="16" t="s">
        <v>3</v>
      </c>
      <c r="E308" s="92" t="s">
        <v>701</v>
      </c>
      <c r="F308" s="80" t="s">
        <v>1097</v>
      </c>
      <c r="G308" s="92">
        <v>1473546</v>
      </c>
      <c r="H308" s="57" t="s">
        <v>61</v>
      </c>
      <c r="I308" s="92" t="s">
        <v>1002</v>
      </c>
      <c r="J308" s="57" t="s">
        <v>61</v>
      </c>
      <c r="K308" s="16" t="s">
        <v>161</v>
      </c>
      <c r="L308" s="16" t="s">
        <v>165</v>
      </c>
      <c r="M308" s="92" t="s">
        <v>702</v>
      </c>
      <c r="N308" s="16" t="s">
        <v>711</v>
      </c>
      <c r="O308" s="18" t="s">
        <v>61</v>
      </c>
      <c r="P308" s="18" t="s">
        <v>1028</v>
      </c>
      <c r="Q308" s="19"/>
      <c r="R308" s="57" t="s">
        <v>61</v>
      </c>
      <c r="S308" s="16" t="s">
        <v>69</v>
      </c>
      <c r="T308" s="16"/>
      <c r="U308" s="16"/>
      <c r="V308" s="92">
        <v>268</v>
      </c>
      <c r="W308" s="16">
        <f t="shared" si="60"/>
        <v>268</v>
      </c>
      <c r="X308" s="16">
        <f>W308</f>
        <v>268</v>
      </c>
      <c r="Y308" s="16">
        <f>ROUNDDOWN(W308/HLOOKUP(D308,Table!$C$3:$D$4,2,0)*8,2)</f>
        <v>4.76</v>
      </c>
      <c r="Z308" s="16">
        <v>4</v>
      </c>
      <c r="AA308" s="16" t="s">
        <v>18</v>
      </c>
      <c r="AB308" s="20"/>
      <c r="AC308" s="20">
        <v>43969</v>
      </c>
      <c r="AD308" s="20">
        <v>43973</v>
      </c>
      <c r="AE308" s="20">
        <v>43970</v>
      </c>
      <c r="AF308" s="20">
        <v>43970</v>
      </c>
      <c r="AG308" s="20" t="s">
        <v>335</v>
      </c>
      <c r="AH308" s="32">
        <v>1</v>
      </c>
      <c r="AI308" s="32">
        <v>1</v>
      </c>
      <c r="AJ308" s="32">
        <v>1</v>
      </c>
      <c r="AK308" s="20" t="s">
        <v>165</v>
      </c>
      <c r="AL308" s="149"/>
      <c r="AM308" s="149"/>
      <c r="AN308" s="149"/>
    </row>
    <row r="309" spans="2:40" x14ac:dyDescent="0.25">
      <c r="B309" s="45">
        <f t="shared" si="59"/>
        <v>262</v>
      </c>
      <c r="C309" s="17">
        <v>20200519</v>
      </c>
      <c r="D309" s="16" t="s">
        <v>3</v>
      </c>
      <c r="E309" s="92" t="s">
        <v>701</v>
      </c>
      <c r="F309" s="145" t="s">
        <v>1096</v>
      </c>
      <c r="G309" s="92">
        <v>1473546</v>
      </c>
      <c r="H309" s="57" t="s">
        <v>61</v>
      </c>
      <c r="I309" s="92" t="s">
        <v>748</v>
      </c>
      <c r="J309" s="57" t="s">
        <v>61</v>
      </c>
      <c r="K309" s="16" t="s">
        <v>161</v>
      </c>
      <c r="L309" s="16" t="s">
        <v>165</v>
      </c>
      <c r="M309" s="92" t="s">
        <v>702</v>
      </c>
      <c r="N309" s="16" t="s">
        <v>711</v>
      </c>
      <c r="O309" s="18" t="s">
        <v>61</v>
      </c>
      <c r="P309" s="18" t="s">
        <v>1028</v>
      </c>
      <c r="Q309" s="19"/>
      <c r="R309" s="57" t="s">
        <v>61</v>
      </c>
      <c r="S309" s="16" t="s">
        <v>70</v>
      </c>
      <c r="T309" s="16"/>
      <c r="U309" s="16"/>
      <c r="V309" s="92">
        <v>63</v>
      </c>
      <c r="W309" s="16">
        <f t="shared" si="60"/>
        <v>63</v>
      </c>
      <c r="X309" s="16">
        <f>W309</f>
        <v>63</v>
      </c>
      <c r="Y309" s="16">
        <f>ROUNDDOWN(W309/HLOOKUP(D309,Table!$C$3:$D$4,2,0)*8,2)</f>
        <v>1.1200000000000001</v>
      </c>
      <c r="Z309" s="16">
        <v>0.5</v>
      </c>
      <c r="AA309" s="16" t="s">
        <v>18</v>
      </c>
      <c r="AB309" s="20"/>
      <c r="AC309" s="20">
        <v>43970</v>
      </c>
      <c r="AD309" s="20">
        <v>43977</v>
      </c>
      <c r="AE309" s="20">
        <v>43970</v>
      </c>
      <c r="AF309" s="20">
        <v>43970</v>
      </c>
      <c r="AG309" s="20" t="s">
        <v>335</v>
      </c>
      <c r="AH309" s="32">
        <v>1</v>
      </c>
      <c r="AI309" s="32">
        <v>1</v>
      </c>
      <c r="AJ309" s="32">
        <v>1</v>
      </c>
      <c r="AK309" s="20" t="s">
        <v>165</v>
      </c>
      <c r="AL309" s="149" t="s">
        <v>61</v>
      </c>
      <c r="AM309" s="149" t="s">
        <v>61</v>
      </c>
      <c r="AN309" s="149" t="s">
        <v>61</v>
      </c>
    </row>
    <row r="310" spans="2:40" x14ac:dyDescent="0.25">
      <c r="B310" s="45">
        <f t="shared" si="59"/>
        <v>263</v>
      </c>
      <c r="C310" s="17">
        <v>20200519</v>
      </c>
      <c r="D310" s="16" t="s">
        <v>3</v>
      </c>
      <c r="E310" s="92" t="s">
        <v>701</v>
      </c>
      <c r="F310" s="80" t="s">
        <v>1083</v>
      </c>
      <c r="G310" s="92">
        <v>1473546</v>
      </c>
      <c r="H310" s="57" t="s">
        <v>61</v>
      </c>
      <c r="I310" s="92" t="s">
        <v>485</v>
      </c>
      <c r="J310" s="57" t="s">
        <v>61</v>
      </c>
      <c r="K310" s="16" t="s">
        <v>161</v>
      </c>
      <c r="L310" s="16" t="s">
        <v>165</v>
      </c>
      <c r="M310" s="92" t="s">
        <v>702</v>
      </c>
      <c r="N310" s="16" t="s">
        <v>711</v>
      </c>
      <c r="O310" s="18" t="s">
        <v>61</v>
      </c>
      <c r="P310" s="18" t="s">
        <v>1028</v>
      </c>
      <c r="Q310" s="19"/>
      <c r="R310" s="57" t="s">
        <v>61</v>
      </c>
      <c r="S310" s="16" t="s">
        <v>69</v>
      </c>
      <c r="T310" s="16"/>
      <c r="U310" s="16"/>
      <c r="V310" s="92">
        <v>87</v>
      </c>
      <c r="W310" s="16">
        <f t="shared" si="60"/>
        <v>87</v>
      </c>
      <c r="X310" s="16">
        <f>W310</f>
        <v>87</v>
      </c>
      <c r="Y310" s="16">
        <f>ROUNDDOWN(W310/HLOOKUP(D310,Table!$C$3:$D$4,2,0)*8,2)</f>
        <v>1.54</v>
      </c>
      <c r="Z310" s="16">
        <v>1</v>
      </c>
      <c r="AA310" s="16" t="s">
        <v>18</v>
      </c>
      <c r="AB310" s="20"/>
      <c r="AC310" s="20">
        <v>43969</v>
      </c>
      <c r="AD310" s="20">
        <v>43973</v>
      </c>
      <c r="AE310" s="20">
        <v>43970</v>
      </c>
      <c r="AF310" s="20">
        <v>43970</v>
      </c>
      <c r="AG310" s="20" t="s">
        <v>335</v>
      </c>
      <c r="AH310" s="32">
        <v>1</v>
      </c>
      <c r="AI310" s="32">
        <v>1</v>
      </c>
      <c r="AJ310" s="32">
        <v>1</v>
      </c>
      <c r="AK310" s="20" t="s">
        <v>165</v>
      </c>
      <c r="AL310" s="149"/>
      <c r="AM310" s="149"/>
      <c r="AN310" s="149"/>
    </row>
    <row r="311" spans="2:40" x14ac:dyDescent="0.25">
      <c r="B311" s="45">
        <f t="shared" si="59"/>
        <v>264</v>
      </c>
      <c r="C311" s="17">
        <v>20200519</v>
      </c>
      <c r="D311" s="16" t="s">
        <v>3</v>
      </c>
      <c r="E311" s="92" t="s">
        <v>701</v>
      </c>
      <c r="F311" s="145" t="s">
        <v>1099</v>
      </c>
      <c r="G311" s="92">
        <v>1473546</v>
      </c>
      <c r="H311" s="57" t="s">
        <v>61</v>
      </c>
      <c r="I311" s="92" t="s">
        <v>1003</v>
      </c>
      <c r="J311" s="57" t="s">
        <v>61</v>
      </c>
      <c r="K311" s="16" t="s">
        <v>161</v>
      </c>
      <c r="L311" s="16" t="s">
        <v>165</v>
      </c>
      <c r="M311" s="92" t="s">
        <v>702</v>
      </c>
      <c r="N311" s="16" t="s">
        <v>711</v>
      </c>
      <c r="O311" s="18" t="s">
        <v>61</v>
      </c>
      <c r="P311" s="18" t="s">
        <v>1028</v>
      </c>
      <c r="Q311" s="19"/>
      <c r="R311" s="57" t="s">
        <v>61</v>
      </c>
      <c r="S311" s="16" t="s">
        <v>67</v>
      </c>
      <c r="T311" s="16"/>
      <c r="U311" s="16"/>
      <c r="V311" s="92">
        <v>164</v>
      </c>
      <c r="W311" s="16">
        <f t="shared" si="60"/>
        <v>164</v>
      </c>
      <c r="X311" s="16"/>
      <c r="Y311" s="16">
        <f>ROUNDDOWN(W311/HLOOKUP(D311,Table!$C$3:$D$4,2,0)*8,2)</f>
        <v>2.91</v>
      </c>
      <c r="Z311" s="16"/>
      <c r="AA311" s="16"/>
      <c r="AB311" s="20"/>
      <c r="AC311" s="20">
        <v>43970</v>
      </c>
      <c r="AD311" s="20">
        <v>43977</v>
      </c>
      <c r="AE311" s="20"/>
      <c r="AF311" s="20"/>
      <c r="AG311" s="20"/>
      <c r="AH311" s="32"/>
      <c r="AI311" s="32"/>
      <c r="AJ311" s="32"/>
      <c r="AK311" s="20"/>
      <c r="AL311" s="171" t="s">
        <v>61</v>
      </c>
      <c r="AM311" s="171" t="s">
        <v>61</v>
      </c>
      <c r="AN311" s="171" t="s">
        <v>61</v>
      </c>
    </row>
    <row r="312" spans="2:40" x14ac:dyDescent="0.25">
      <c r="B312" s="45">
        <f t="shared" si="59"/>
        <v>265</v>
      </c>
      <c r="C312" s="17">
        <v>20200519</v>
      </c>
      <c r="D312" s="16" t="s">
        <v>3</v>
      </c>
      <c r="E312" s="92" t="s">
        <v>701</v>
      </c>
      <c r="F312" s="119" t="s">
        <v>1100</v>
      </c>
      <c r="G312" s="161">
        <v>1473546</v>
      </c>
      <c r="H312" s="165" t="s">
        <v>61</v>
      </c>
      <c r="I312" s="161" t="s">
        <v>1004</v>
      </c>
      <c r="J312" s="57" t="s">
        <v>61</v>
      </c>
      <c r="K312" s="16" t="s">
        <v>161</v>
      </c>
      <c r="L312" s="16" t="s">
        <v>165</v>
      </c>
      <c r="M312" s="92" t="s">
        <v>702</v>
      </c>
      <c r="N312" s="16" t="s">
        <v>711</v>
      </c>
      <c r="O312" s="18" t="s">
        <v>61</v>
      </c>
      <c r="P312" s="18" t="s">
        <v>1028</v>
      </c>
      <c r="Q312" s="19"/>
      <c r="R312" s="57" t="s">
        <v>61</v>
      </c>
      <c r="S312" s="16" t="s">
        <v>68</v>
      </c>
      <c r="T312" s="16"/>
      <c r="U312" s="16"/>
      <c r="V312" s="92">
        <v>200</v>
      </c>
      <c r="W312" s="16">
        <f t="shared" si="60"/>
        <v>200</v>
      </c>
      <c r="X312" s="16">
        <f t="shared" ref="X312:X318" si="61">W312</f>
        <v>200</v>
      </c>
      <c r="Y312" s="16">
        <f>ROUNDDOWN(W312/HLOOKUP(D312,Table!$C$3:$D$4,2,0)*8,2)</f>
        <v>3.55</v>
      </c>
      <c r="Z312" s="16">
        <f>Y312</f>
        <v>3.55</v>
      </c>
      <c r="AA312" s="16" t="s">
        <v>18</v>
      </c>
      <c r="AB312" s="20"/>
      <c r="AC312" s="20">
        <v>43970</v>
      </c>
      <c r="AD312" s="20">
        <v>43977</v>
      </c>
      <c r="AE312" s="20">
        <v>43970</v>
      </c>
      <c r="AF312" s="20">
        <v>43970</v>
      </c>
      <c r="AG312" s="20" t="s">
        <v>335</v>
      </c>
      <c r="AH312" s="32">
        <v>1</v>
      </c>
      <c r="AI312" s="32">
        <v>1</v>
      </c>
      <c r="AJ312" s="32">
        <v>1</v>
      </c>
      <c r="AK312" s="20" t="s">
        <v>165</v>
      </c>
      <c r="AL312" s="149"/>
      <c r="AM312" s="149"/>
      <c r="AN312" s="149"/>
    </row>
    <row r="313" spans="2:40" x14ac:dyDescent="0.25">
      <c r="B313" s="45">
        <f t="shared" si="59"/>
        <v>266</v>
      </c>
      <c r="C313" s="17">
        <v>20200519</v>
      </c>
      <c r="D313" s="16" t="s">
        <v>3</v>
      </c>
      <c r="E313" s="92" t="s">
        <v>701</v>
      </c>
      <c r="F313" s="80" t="s">
        <v>1101</v>
      </c>
      <c r="G313" s="92">
        <v>1473546</v>
      </c>
      <c r="H313" s="57" t="s">
        <v>61</v>
      </c>
      <c r="I313" s="92" t="s">
        <v>1005</v>
      </c>
      <c r="J313" s="57" t="s">
        <v>61</v>
      </c>
      <c r="K313" s="16" t="s">
        <v>161</v>
      </c>
      <c r="L313" s="16" t="s">
        <v>165</v>
      </c>
      <c r="M313" s="92" t="s">
        <v>702</v>
      </c>
      <c r="N313" s="16" t="s">
        <v>711</v>
      </c>
      <c r="O313" s="18" t="s">
        <v>61</v>
      </c>
      <c r="P313" s="18" t="s">
        <v>1028</v>
      </c>
      <c r="Q313" s="19"/>
      <c r="R313" s="57" t="s">
        <v>61</v>
      </c>
      <c r="S313" s="16" t="s">
        <v>70</v>
      </c>
      <c r="T313" s="16"/>
      <c r="U313" s="16"/>
      <c r="V313" s="92">
        <v>58</v>
      </c>
      <c r="W313" s="16">
        <f t="shared" si="60"/>
        <v>58</v>
      </c>
      <c r="X313" s="16">
        <f t="shared" si="61"/>
        <v>58</v>
      </c>
      <c r="Y313" s="16">
        <f>ROUNDDOWN(W313/HLOOKUP(D313,Table!$C$3:$D$4,2,0)*8,2)</f>
        <v>1.03</v>
      </c>
      <c r="Z313" s="16">
        <v>0.5</v>
      </c>
      <c r="AA313" s="16" t="s">
        <v>18</v>
      </c>
      <c r="AB313" s="20"/>
      <c r="AC313" s="20">
        <v>43970</v>
      </c>
      <c r="AD313" s="20">
        <v>43977</v>
      </c>
      <c r="AE313" s="20">
        <v>43970</v>
      </c>
      <c r="AF313" s="20">
        <v>43970</v>
      </c>
      <c r="AG313" s="20" t="s">
        <v>335</v>
      </c>
      <c r="AH313" s="32">
        <v>1</v>
      </c>
      <c r="AI313" s="32">
        <v>1</v>
      </c>
      <c r="AJ313" s="32">
        <v>1</v>
      </c>
      <c r="AK313" s="20" t="s">
        <v>165</v>
      </c>
      <c r="AL313" s="149" t="s">
        <v>61</v>
      </c>
      <c r="AM313" s="149" t="s">
        <v>61</v>
      </c>
      <c r="AN313" s="149" t="s">
        <v>61</v>
      </c>
    </row>
    <row r="314" spans="2:40" x14ac:dyDescent="0.25">
      <c r="B314" s="45">
        <f t="shared" si="59"/>
        <v>267</v>
      </c>
      <c r="C314" s="17">
        <v>20200519</v>
      </c>
      <c r="D314" s="16" t="s">
        <v>3</v>
      </c>
      <c r="E314" s="92" t="s">
        <v>701</v>
      </c>
      <c r="F314" s="80" t="s">
        <v>1101</v>
      </c>
      <c r="G314" s="92">
        <v>1473546</v>
      </c>
      <c r="H314" s="57" t="s">
        <v>61</v>
      </c>
      <c r="I314" s="92" t="s">
        <v>1006</v>
      </c>
      <c r="J314" s="57" t="s">
        <v>61</v>
      </c>
      <c r="K314" s="16" t="s">
        <v>161</v>
      </c>
      <c r="L314" s="16" t="s">
        <v>165</v>
      </c>
      <c r="M314" s="92" t="s">
        <v>702</v>
      </c>
      <c r="N314" s="16" t="s">
        <v>711</v>
      </c>
      <c r="O314" s="18" t="s">
        <v>61</v>
      </c>
      <c r="P314" s="18" t="s">
        <v>1028</v>
      </c>
      <c r="Q314" s="19"/>
      <c r="R314" s="57" t="s">
        <v>61</v>
      </c>
      <c r="S314" s="16" t="s">
        <v>69</v>
      </c>
      <c r="T314" s="16"/>
      <c r="U314" s="16"/>
      <c r="V314" s="92">
        <v>66</v>
      </c>
      <c r="W314" s="16">
        <f t="shared" si="60"/>
        <v>66</v>
      </c>
      <c r="X314" s="16">
        <f t="shared" si="61"/>
        <v>66</v>
      </c>
      <c r="Y314" s="16">
        <f>ROUNDDOWN(W314/HLOOKUP(D314,Table!$C$3:$D$4,2,0)*8,2)</f>
        <v>1.17</v>
      </c>
      <c r="Z314" s="16">
        <v>1</v>
      </c>
      <c r="AA314" s="16" t="s">
        <v>18</v>
      </c>
      <c r="AB314" s="20"/>
      <c r="AC314" s="20">
        <v>43969</v>
      </c>
      <c r="AD314" s="20">
        <v>43973</v>
      </c>
      <c r="AE314" s="20">
        <v>43970</v>
      </c>
      <c r="AF314" s="20">
        <v>43970</v>
      </c>
      <c r="AG314" s="20" t="s">
        <v>335</v>
      </c>
      <c r="AH314" s="32">
        <v>1</v>
      </c>
      <c r="AI314" s="32">
        <v>1</v>
      </c>
      <c r="AJ314" s="32">
        <v>1</v>
      </c>
      <c r="AK314" s="20" t="s">
        <v>165</v>
      </c>
      <c r="AL314" s="149"/>
      <c r="AM314" s="149"/>
      <c r="AN314" s="149"/>
    </row>
    <row r="315" spans="2:40" x14ac:dyDescent="0.25">
      <c r="B315" s="45">
        <f t="shared" si="59"/>
        <v>268</v>
      </c>
      <c r="C315" s="17">
        <v>20200519</v>
      </c>
      <c r="D315" s="16" t="s">
        <v>3</v>
      </c>
      <c r="E315" s="92" t="s">
        <v>701</v>
      </c>
      <c r="F315" s="80" t="s">
        <v>1102</v>
      </c>
      <c r="G315" s="92">
        <v>1473546</v>
      </c>
      <c r="H315" s="57" t="s">
        <v>61</v>
      </c>
      <c r="I315" s="92" t="s">
        <v>1007</v>
      </c>
      <c r="J315" s="57" t="s">
        <v>61</v>
      </c>
      <c r="K315" s="16" t="s">
        <v>161</v>
      </c>
      <c r="L315" s="16" t="s">
        <v>165</v>
      </c>
      <c r="M315" s="92" t="s">
        <v>702</v>
      </c>
      <c r="N315" s="16" t="s">
        <v>711</v>
      </c>
      <c r="O315" s="18" t="s">
        <v>61</v>
      </c>
      <c r="P315" s="18" t="s">
        <v>1028</v>
      </c>
      <c r="Q315" s="19"/>
      <c r="R315" s="57" t="s">
        <v>61</v>
      </c>
      <c r="S315" s="16" t="s">
        <v>69</v>
      </c>
      <c r="T315" s="16"/>
      <c r="U315" s="16"/>
      <c r="V315" s="92">
        <v>75</v>
      </c>
      <c r="W315" s="16">
        <f t="shared" si="60"/>
        <v>75</v>
      </c>
      <c r="X315" s="16">
        <f t="shared" si="61"/>
        <v>75</v>
      </c>
      <c r="Y315" s="16">
        <f>ROUNDDOWN(W315/HLOOKUP(D315,Table!$C$3:$D$4,2,0)*8,2)</f>
        <v>1.33</v>
      </c>
      <c r="Z315" s="16">
        <v>1</v>
      </c>
      <c r="AA315" s="16" t="s">
        <v>18</v>
      </c>
      <c r="AB315" s="20"/>
      <c r="AC315" s="20">
        <v>43969</v>
      </c>
      <c r="AD315" s="20">
        <v>43973</v>
      </c>
      <c r="AE315" s="20">
        <v>43970</v>
      </c>
      <c r="AF315" s="20">
        <v>43970</v>
      </c>
      <c r="AG315" s="20" t="s">
        <v>335</v>
      </c>
      <c r="AH315" s="32">
        <v>1</v>
      </c>
      <c r="AI315" s="32">
        <v>1</v>
      </c>
      <c r="AJ315" s="32">
        <v>1</v>
      </c>
      <c r="AK315" s="20" t="s">
        <v>165</v>
      </c>
      <c r="AL315" s="149"/>
      <c r="AM315" s="149"/>
      <c r="AN315" s="149"/>
    </row>
    <row r="316" spans="2:40" x14ac:dyDescent="0.25">
      <c r="B316" s="45">
        <f t="shared" si="59"/>
        <v>269</v>
      </c>
      <c r="C316" s="17">
        <v>20200519</v>
      </c>
      <c r="D316" s="16" t="s">
        <v>3</v>
      </c>
      <c r="E316" s="92" t="s">
        <v>701</v>
      </c>
      <c r="F316" s="80" t="s">
        <v>1085</v>
      </c>
      <c r="G316" s="92">
        <v>1473546</v>
      </c>
      <c r="H316" s="57" t="s">
        <v>61</v>
      </c>
      <c r="I316" s="92" t="s">
        <v>1008</v>
      </c>
      <c r="J316" s="57" t="s">
        <v>61</v>
      </c>
      <c r="K316" s="16" t="s">
        <v>161</v>
      </c>
      <c r="L316" s="16" t="s">
        <v>165</v>
      </c>
      <c r="M316" s="92" t="s">
        <v>702</v>
      </c>
      <c r="N316" s="16" t="s">
        <v>711</v>
      </c>
      <c r="O316" s="18" t="s">
        <v>61</v>
      </c>
      <c r="P316" s="18" t="s">
        <v>1028</v>
      </c>
      <c r="Q316" s="19"/>
      <c r="R316" s="57" t="s">
        <v>61</v>
      </c>
      <c r="S316" s="16" t="s">
        <v>69</v>
      </c>
      <c r="T316" s="16"/>
      <c r="U316" s="16"/>
      <c r="V316" s="92">
        <v>33</v>
      </c>
      <c r="W316" s="16">
        <f t="shared" si="60"/>
        <v>33</v>
      </c>
      <c r="X316" s="16">
        <f t="shared" si="61"/>
        <v>33</v>
      </c>
      <c r="Y316" s="16">
        <f>ROUNDDOWN(W316/HLOOKUP(D316,Table!$C$3:$D$4,2,0)*8,2)</f>
        <v>0.57999999999999996</v>
      </c>
      <c r="Z316" s="16">
        <v>0.5</v>
      </c>
      <c r="AA316" s="16" t="s">
        <v>18</v>
      </c>
      <c r="AB316" s="20"/>
      <c r="AC316" s="20">
        <v>43969</v>
      </c>
      <c r="AD316" s="20">
        <v>43973</v>
      </c>
      <c r="AE316" s="20">
        <v>43970</v>
      </c>
      <c r="AF316" s="20">
        <v>43970</v>
      </c>
      <c r="AG316" s="20" t="s">
        <v>335</v>
      </c>
      <c r="AH316" s="32">
        <v>1</v>
      </c>
      <c r="AI316" s="32">
        <v>1</v>
      </c>
      <c r="AJ316" s="32">
        <v>1</v>
      </c>
      <c r="AK316" s="20" t="s">
        <v>165</v>
      </c>
      <c r="AL316" s="149"/>
      <c r="AM316" s="149"/>
      <c r="AN316" s="149"/>
    </row>
    <row r="317" spans="2:40" x14ac:dyDescent="0.25">
      <c r="B317" s="45">
        <f t="shared" si="59"/>
        <v>270</v>
      </c>
      <c r="C317" s="17">
        <v>20200519</v>
      </c>
      <c r="D317" s="16" t="s">
        <v>3</v>
      </c>
      <c r="E317" s="92" t="s">
        <v>701</v>
      </c>
      <c r="F317" s="80" t="s">
        <v>1085</v>
      </c>
      <c r="G317" s="92">
        <v>1473546</v>
      </c>
      <c r="H317" s="57" t="s">
        <v>61</v>
      </c>
      <c r="I317" s="92" t="s">
        <v>1009</v>
      </c>
      <c r="J317" s="57" t="s">
        <v>61</v>
      </c>
      <c r="K317" s="16" t="s">
        <v>161</v>
      </c>
      <c r="L317" s="16" t="s">
        <v>165</v>
      </c>
      <c r="M317" s="92" t="s">
        <v>702</v>
      </c>
      <c r="N317" s="16" t="s">
        <v>711</v>
      </c>
      <c r="O317" s="18" t="s">
        <v>61</v>
      </c>
      <c r="P317" s="18" t="s">
        <v>1028</v>
      </c>
      <c r="Q317" s="19"/>
      <c r="R317" s="57" t="s">
        <v>61</v>
      </c>
      <c r="S317" s="16" t="s">
        <v>70</v>
      </c>
      <c r="T317" s="16"/>
      <c r="U317" s="16"/>
      <c r="V317" s="92">
        <v>119</v>
      </c>
      <c r="W317" s="16">
        <f t="shared" si="60"/>
        <v>119</v>
      </c>
      <c r="X317" s="16">
        <f t="shared" si="61"/>
        <v>119</v>
      </c>
      <c r="Y317" s="16">
        <f>ROUNDDOWN(W317/HLOOKUP(D317,Table!$C$3:$D$4,2,0)*8,2)</f>
        <v>2.11</v>
      </c>
      <c r="Z317" s="16">
        <v>1</v>
      </c>
      <c r="AA317" s="16" t="s">
        <v>18</v>
      </c>
      <c r="AB317" s="20"/>
      <c r="AC317" s="20">
        <v>43970</v>
      </c>
      <c r="AD317" s="20">
        <v>43977</v>
      </c>
      <c r="AE317" s="20">
        <v>43970</v>
      </c>
      <c r="AF317" s="20">
        <v>43970</v>
      </c>
      <c r="AG317" s="20" t="s">
        <v>335</v>
      </c>
      <c r="AH317" s="32">
        <v>1</v>
      </c>
      <c r="AI317" s="32">
        <v>1</v>
      </c>
      <c r="AJ317" s="32">
        <v>1</v>
      </c>
      <c r="AK317" s="20" t="s">
        <v>165</v>
      </c>
      <c r="AL317" s="149" t="s">
        <v>61</v>
      </c>
      <c r="AM317" s="149" t="s">
        <v>61</v>
      </c>
      <c r="AN317" s="149" t="s">
        <v>61</v>
      </c>
    </row>
    <row r="318" spans="2:40" x14ac:dyDescent="0.25">
      <c r="B318" s="45">
        <f t="shared" si="59"/>
        <v>271</v>
      </c>
      <c r="C318" s="17">
        <v>20200519</v>
      </c>
      <c r="D318" s="16" t="s">
        <v>3</v>
      </c>
      <c r="E318" s="92" t="s">
        <v>701</v>
      </c>
      <c r="F318" s="119" t="s">
        <v>1103</v>
      </c>
      <c r="G318" s="161">
        <v>1473546</v>
      </c>
      <c r="H318" s="165" t="s">
        <v>61</v>
      </c>
      <c r="I318" s="161" t="s">
        <v>1010</v>
      </c>
      <c r="J318" s="57" t="s">
        <v>61</v>
      </c>
      <c r="K318" s="16" t="s">
        <v>161</v>
      </c>
      <c r="L318" s="16" t="s">
        <v>165</v>
      </c>
      <c r="M318" s="92" t="s">
        <v>702</v>
      </c>
      <c r="N318" s="92" t="s">
        <v>711</v>
      </c>
      <c r="O318" s="18" t="s">
        <v>61</v>
      </c>
      <c r="P318" s="86" t="s">
        <v>1028</v>
      </c>
      <c r="Q318" s="19"/>
      <c r="R318" s="57" t="s">
        <v>61</v>
      </c>
      <c r="S318" s="16" t="s">
        <v>68</v>
      </c>
      <c r="T318" s="16"/>
      <c r="U318" s="16"/>
      <c r="V318" s="92">
        <v>433</v>
      </c>
      <c r="W318" s="16">
        <f t="shared" si="60"/>
        <v>433</v>
      </c>
      <c r="X318" s="16">
        <f t="shared" si="61"/>
        <v>433</v>
      </c>
      <c r="Y318" s="16">
        <f>ROUNDDOWN(W318/HLOOKUP(D318,Table!$C$3:$D$4,2,0)*8,2)</f>
        <v>7.69</v>
      </c>
      <c r="Z318" s="16">
        <f>Y318</f>
        <v>7.69</v>
      </c>
      <c r="AA318" s="16" t="s">
        <v>18</v>
      </c>
      <c r="AB318" s="20"/>
      <c r="AC318" s="20">
        <v>43970</v>
      </c>
      <c r="AD318" s="20">
        <v>43977</v>
      </c>
      <c r="AE318" s="20">
        <v>43970</v>
      </c>
      <c r="AF318" s="20">
        <v>43970</v>
      </c>
      <c r="AG318" s="20" t="s">
        <v>335</v>
      </c>
      <c r="AH318" s="32">
        <v>1</v>
      </c>
      <c r="AI318" s="32">
        <v>1</v>
      </c>
      <c r="AJ318" s="32">
        <v>1</v>
      </c>
      <c r="AK318" s="20" t="s">
        <v>165</v>
      </c>
      <c r="AL318" s="149"/>
      <c r="AM318" s="149"/>
      <c r="AN318" s="149"/>
    </row>
    <row r="319" spans="2:40" x14ac:dyDescent="0.25">
      <c r="B319" s="45">
        <f t="shared" si="59"/>
        <v>272</v>
      </c>
      <c r="C319" s="17">
        <v>20200519</v>
      </c>
      <c r="D319" s="16" t="s">
        <v>3</v>
      </c>
      <c r="E319" s="92" t="s">
        <v>1000</v>
      </c>
      <c r="F319" s="80" t="s">
        <v>1104</v>
      </c>
      <c r="G319" s="92">
        <v>1474054</v>
      </c>
      <c r="H319" s="57" t="s">
        <v>61</v>
      </c>
      <c r="I319" s="92" t="s">
        <v>402</v>
      </c>
      <c r="J319" s="57" t="s">
        <v>61</v>
      </c>
      <c r="K319" s="16" t="s">
        <v>353</v>
      </c>
      <c r="L319" s="92" t="s">
        <v>1016</v>
      </c>
      <c r="M319" s="92" t="s">
        <v>165</v>
      </c>
      <c r="N319" s="92" t="s">
        <v>1015</v>
      </c>
      <c r="O319" s="18" t="s">
        <v>61</v>
      </c>
      <c r="P319" s="86" t="s">
        <v>492</v>
      </c>
      <c r="Q319" s="19"/>
      <c r="R319" s="57" t="s">
        <v>61</v>
      </c>
      <c r="S319" s="16" t="s">
        <v>68</v>
      </c>
      <c r="T319" s="16"/>
      <c r="U319" s="16"/>
      <c r="V319" s="92">
        <v>96</v>
      </c>
      <c r="W319" s="16">
        <f t="shared" si="60"/>
        <v>96</v>
      </c>
      <c r="X319" s="16">
        <f>W319</f>
        <v>96</v>
      </c>
      <c r="Y319" s="16">
        <f>ROUNDDOWN(W319/HLOOKUP(D319,Table!$C$3:$D$4,2,0)*8,2)</f>
        <v>1.7</v>
      </c>
      <c r="Z319" s="16">
        <f>Y319</f>
        <v>1.7</v>
      </c>
      <c r="AA319" s="16" t="s">
        <v>18</v>
      </c>
      <c r="AB319" s="20"/>
      <c r="AC319" s="20">
        <v>43970</v>
      </c>
      <c r="AD319" s="20">
        <v>43977</v>
      </c>
      <c r="AE319" s="20">
        <v>43971</v>
      </c>
      <c r="AF319" s="20">
        <v>43971</v>
      </c>
      <c r="AG319" s="20" t="s">
        <v>336</v>
      </c>
      <c r="AH319" s="32">
        <v>1</v>
      </c>
      <c r="AI319" s="32">
        <v>1</v>
      </c>
      <c r="AJ319" s="32">
        <v>1</v>
      </c>
      <c r="AK319" s="20" t="s">
        <v>149</v>
      </c>
      <c r="AL319" s="149"/>
      <c r="AM319" s="149"/>
      <c r="AN319" s="149" t="s">
        <v>1143</v>
      </c>
    </row>
    <row r="320" spans="2:40" x14ac:dyDescent="0.25">
      <c r="B320" s="45">
        <f t="shared" si="59"/>
        <v>273</v>
      </c>
      <c r="C320" s="17">
        <v>20200519</v>
      </c>
      <c r="D320" s="16" t="s">
        <v>3</v>
      </c>
      <c r="E320" s="92" t="s">
        <v>1000</v>
      </c>
      <c r="F320" s="80" t="s">
        <v>1105</v>
      </c>
      <c r="G320" s="92">
        <v>1474054</v>
      </c>
      <c r="H320" s="57" t="s">
        <v>61</v>
      </c>
      <c r="I320" s="92" t="s">
        <v>374</v>
      </c>
      <c r="J320" s="57" t="s">
        <v>61</v>
      </c>
      <c r="K320" s="16" t="s">
        <v>353</v>
      </c>
      <c r="L320" s="16" t="s">
        <v>1016</v>
      </c>
      <c r="M320" s="92" t="s">
        <v>165</v>
      </c>
      <c r="N320" s="16" t="s">
        <v>1015</v>
      </c>
      <c r="O320" s="18" t="s">
        <v>61</v>
      </c>
      <c r="P320" s="18" t="s">
        <v>492</v>
      </c>
      <c r="Q320" s="19"/>
      <c r="R320" s="57" t="s">
        <v>61</v>
      </c>
      <c r="S320" s="16" t="s">
        <v>70</v>
      </c>
      <c r="T320" s="16"/>
      <c r="U320" s="16"/>
      <c r="V320" s="92">
        <v>54</v>
      </c>
      <c r="W320" s="16">
        <f t="shared" si="60"/>
        <v>54</v>
      </c>
      <c r="X320" s="16">
        <f>W320</f>
        <v>54</v>
      </c>
      <c r="Y320" s="16">
        <f>ROUNDDOWN(W320/HLOOKUP(D320,Table!$C$3:$D$4,2,0)*8,2)</f>
        <v>0.96</v>
      </c>
      <c r="Z320" s="16">
        <v>0.5</v>
      </c>
      <c r="AA320" s="16" t="s">
        <v>18</v>
      </c>
      <c r="AB320" s="20"/>
      <c r="AC320" s="20">
        <v>43970</v>
      </c>
      <c r="AD320" s="20">
        <v>43977</v>
      </c>
      <c r="AE320" s="20">
        <v>43971</v>
      </c>
      <c r="AF320" s="20">
        <v>43971</v>
      </c>
      <c r="AG320" s="20" t="s">
        <v>335</v>
      </c>
      <c r="AH320" s="32">
        <v>1</v>
      </c>
      <c r="AI320" s="32">
        <v>1</v>
      </c>
      <c r="AJ320" s="32">
        <v>1</v>
      </c>
      <c r="AK320" s="20" t="s">
        <v>165</v>
      </c>
      <c r="AL320" s="149" t="s">
        <v>61</v>
      </c>
      <c r="AM320" s="149" t="s">
        <v>61</v>
      </c>
      <c r="AN320" s="183" t="s">
        <v>61</v>
      </c>
    </row>
    <row r="321" spans="2:40" x14ac:dyDescent="0.25">
      <c r="B321" s="45">
        <f t="shared" si="59"/>
        <v>274</v>
      </c>
      <c r="C321" s="17">
        <v>20200519</v>
      </c>
      <c r="D321" s="16" t="s">
        <v>3</v>
      </c>
      <c r="E321" s="92" t="s">
        <v>1000</v>
      </c>
      <c r="F321" s="80" t="s">
        <v>1106</v>
      </c>
      <c r="G321" s="92">
        <v>1474054</v>
      </c>
      <c r="H321" s="57" t="s">
        <v>61</v>
      </c>
      <c r="I321" s="92" t="s">
        <v>176</v>
      </c>
      <c r="J321" s="57" t="s">
        <v>61</v>
      </c>
      <c r="K321" s="16" t="s">
        <v>353</v>
      </c>
      <c r="L321" s="16" t="s">
        <v>1016</v>
      </c>
      <c r="M321" s="92" t="s">
        <v>165</v>
      </c>
      <c r="N321" s="16" t="s">
        <v>1015</v>
      </c>
      <c r="O321" s="18" t="s">
        <v>61</v>
      </c>
      <c r="P321" s="18" t="s">
        <v>492</v>
      </c>
      <c r="Q321" s="19"/>
      <c r="R321" s="57" t="s">
        <v>61</v>
      </c>
      <c r="S321" s="16" t="s">
        <v>67</v>
      </c>
      <c r="T321" s="16"/>
      <c r="U321" s="16"/>
      <c r="V321" s="92">
        <v>145</v>
      </c>
      <c r="W321" s="16">
        <f t="shared" si="60"/>
        <v>145</v>
      </c>
      <c r="X321" s="16"/>
      <c r="Y321" s="16">
        <f>ROUNDDOWN(W321/HLOOKUP(D321,Table!$C$3:$D$4,2,0)*8,2)</f>
        <v>2.57</v>
      </c>
      <c r="Z321" s="16"/>
      <c r="AA321" s="16"/>
      <c r="AB321" s="20"/>
      <c r="AC321" s="20">
        <v>43970</v>
      </c>
      <c r="AD321" s="20">
        <v>43977</v>
      </c>
      <c r="AE321" s="20"/>
      <c r="AF321" s="20"/>
      <c r="AG321" s="20"/>
      <c r="AH321" s="32"/>
      <c r="AI321" s="32"/>
      <c r="AJ321" s="32"/>
      <c r="AK321" s="20"/>
      <c r="AL321" s="171" t="s">
        <v>61</v>
      </c>
      <c r="AM321" s="171" t="s">
        <v>61</v>
      </c>
      <c r="AN321" s="171" t="s">
        <v>61</v>
      </c>
    </row>
    <row r="322" spans="2:40" x14ac:dyDescent="0.25">
      <c r="B322" s="45">
        <f t="shared" si="59"/>
        <v>275</v>
      </c>
      <c r="C322" s="17">
        <v>20200519</v>
      </c>
      <c r="D322" s="16" t="s">
        <v>3</v>
      </c>
      <c r="E322" s="92" t="s">
        <v>1000</v>
      </c>
      <c r="F322" s="80" t="s">
        <v>1106</v>
      </c>
      <c r="G322" s="92">
        <v>1474054</v>
      </c>
      <c r="H322" s="57" t="s">
        <v>61</v>
      </c>
      <c r="I322" s="92" t="s">
        <v>172</v>
      </c>
      <c r="J322" s="57" t="s">
        <v>61</v>
      </c>
      <c r="K322" s="16" t="s">
        <v>353</v>
      </c>
      <c r="L322" s="16" t="s">
        <v>1016</v>
      </c>
      <c r="M322" s="92" t="s">
        <v>165</v>
      </c>
      <c r="N322" s="16" t="s">
        <v>1015</v>
      </c>
      <c r="O322" s="18" t="s">
        <v>61</v>
      </c>
      <c r="P322" s="18" t="s">
        <v>492</v>
      </c>
      <c r="Q322" s="19"/>
      <c r="R322" s="57" t="s">
        <v>61</v>
      </c>
      <c r="S322" s="16" t="s">
        <v>69</v>
      </c>
      <c r="T322" s="16"/>
      <c r="U322" s="16"/>
      <c r="V322" s="92">
        <v>124</v>
      </c>
      <c r="W322" s="16">
        <f t="shared" si="60"/>
        <v>124</v>
      </c>
      <c r="X322" s="16">
        <f>W322</f>
        <v>124</v>
      </c>
      <c r="Y322" s="16">
        <f>ROUNDDOWN(W322/HLOOKUP(D322,Table!$C$3:$D$4,2,0)*8,2)</f>
        <v>2.2000000000000002</v>
      </c>
      <c r="Z322" s="16">
        <v>2</v>
      </c>
      <c r="AA322" s="16" t="s">
        <v>18</v>
      </c>
      <c r="AB322" s="20"/>
      <c r="AC322" s="20">
        <v>43970</v>
      </c>
      <c r="AD322" s="20">
        <v>43977</v>
      </c>
      <c r="AE322" s="20">
        <v>43970</v>
      </c>
      <c r="AF322" s="20">
        <v>43970</v>
      </c>
      <c r="AG322" s="20" t="s">
        <v>336</v>
      </c>
      <c r="AH322" s="32">
        <v>1</v>
      </c>
      <c r="AI322" s="32">
        <v>1</v>
      </c>
      <c r="AJ322" s="32">
        <v>0.75</v>
      </c>
      <c r="AK322" s="20" t="s">
        <v>149</v>
      </c>
      <c r="AL322" s="149" t="s">
        <v>1047</v>
      </c>
      <c r="AM322" s="149"/>
      <c r="AN322" s="149"/>
    </row>
    <row r="323" spans="2:40" x14ac:dyDescent="0.25">
      <c r="B323" s="45">
        <f t="shared" si="59"/>
        <v>276</v>
      </c>
      <c r="C323" s="17">
        <v>20200519</v>
      </c>
      <c r="D323" s="16" t="s">
        <v>3</v>
      </c>
      <c r="E323" s="92" t="s">
        <v>1000</v>
      </c>
      <c r="F323" s="80" t="s">
        <v>1106</v>
      </c>
      <c r="G323" s="92">
        <v>1474054</v>
      </c>
      <c r="H323" s="57" t="s">
        <v>61</v>
      </c>
      <c r="I323" s="92" t="s">
        <v>174</v>
      </c>
      <c r="J323" s="57" t="s">
        <v>61</v>
      </c>
      <c r="K323" s="16" t="s">
        <v>353</v>
      </c>
      <c r="L323" s="16" t="s">
        <v>1016</v>
      </c>
      <c r="M323" s="92" t="s">
        <v>165</v>
      </c>
      <c r="N323" s="16" t="s">
        <v>1015</v>
      </c>
      <c r="O323" s="18" t="s">
        <v>61</v>
      </c>
      <c r="P323" s="18" t="s">
        <v>492</v>
      </c>
      <c r="Q323" s="19"/>
      <c r="R323" s="57" t="s">
        <v>61</v>
      </c>
      <c r="S323" s="16" t="s">
        <v>69</v>
      </c>
      <c r="T323" s="16"/>
      <c r="U323" s="16"/>
      <c r="V323" s="92">
        <v>71</v>
      </c>
      <c r="W323" s="16">
        <f t="shared" si="60"/>
        <v>71</v>
      </c>
      <c r="X323" s="16">
        <f>W323</f>
        <v>71</v>
      </c>
      <c r="Y323" s="16">
        <f>ROUNDDOWN(W323/HLOOKUP(D323,Table!$C$3:$D$4,2,0)*8,2)</f>
        <v>1.26</v>
      </c>
      <c r="Z323" s="16">
        <v>1</v>
      </c>
      <c r="AA323" s="16" t="s">
        <v>18</v>
      </c>
      <c r="AB323" s="20"/>
      <c r="AC323" s="20">
        <v>43970</v>
      </c>
      <c r="AD323" s="20">
        <v>43977</v>
      </c>
      <c r="AE323" s="20">
        <v>43971</v>
      </c>
      <c r="AF323" s="20">
        <v>43971</v>
      </c>
      <c r="AG323" s="20" t="s">
        <v>336</v>
      </c>
      <c r="AH323" s="32">
        <v>0.89</v>
      </c>
      <c r="AI323" s="32">
        <v>0.78</v>
      </c>
      <c r="AJ323" s="32">
        <v>1</v>
      </c>
      <c r="AK323" s="20" t="s">
        <v>149</v>
      </c>
      <c r="AL323" s="16" t="s">
        <v>1128</v>
      </c>
      <c r="AM323" s="149"/>
      <c r="AN323" s="149"/>
    </row>
    <row r="324" spans="2:40" x14ac:dyDescent="0.25">
      <c r="B324" s="45">
        <f t="shared" si="59"/>
        <v>277</v>
      </c>
      <c r="C324" s="17">
        <v>20200519</v>
      </c>
      <c r="D324" s="16" t="s">
        <v>3</v>
      </c>
      <c r="E324" s="92" t="s">
        <v>1000</v>
      </c>
      <c r="F324" s="80" t="s">
        <v>1107</v>
      </c>
      <c r="G324" s="92">
        <v>1474054</v>
      </c>
      <c r="H324" s="57" t="s">
        <v>61</v>
      </c>
      <c r="I324" s="92" t="s">
        <v>707</v>
      </c>
      <c r="J324" s="57" t="s">
        <v>61</v>
      </c>
      <c r="K324" s="16" t="s">
        <v>353</v>
      </c>
      <c r="L324" s="16" t="s">
        <v>1016</v>
      </c>
      <c r="M324" s="92" t="s">
        <v>165</v>
      </c>
      <c r="N324" s="16" t="s">
        <v>1015</v>
      </c>
      <c r="O324" s="18" t="s">
        <v>61</v>
      </c>
      <c r="P324" s="18" t="s">
        <v>492</v>
      </c>
      <c r="Q324" s="19"/>
      <c r="R324" s="57" t="s">
        <v>61</v>
      </c>
      <c r="S324" s="16" t="s">
        <v>67</v>
      </c>
      <c r="T324" s="16"/>
      <c r="U324" s="16"/>
      <c r="V324" s="92">
        <v>200</v>
      </c>
      <c r="W324" s="16">
        <f t="shared" si="60"/>
        <v>200</v>
      </c>
      <c r="X324" s="16"/>
      <c r="Y324" s="16">
        <f>ROUNDDOWN(W324/HLOOKUP(D324,Table!$C$3:$D$4,2,0)*8,2)</f>
        <v>3.55</v>
      </c>
      <c r="Z324" s="16"/>
      <c r="AA324" s="16"/>
      <c r="AB324" s="20"/>
      <c r="AC324" s="20">
        <v>43970</v>
      </c>
      <c r="AD324" s="20">
        <v>43977</v>
      </c>
      <c r="AE324" s="20"/>
      <c r="AF324" s="20"/>
      <c r="AG324" s="20"/>
      <c r="AH324" s="32"/>
      <c r="AI324" s="32"/>
      <c r="AJ324" s="32"/>
      <c r="AK324" s="20"/>
      <c r="AL324" s="171" t="s">
        <v>61</v>
      </c>
      <c r="AM324" s="171" t="s">
        <v>61</v>
      </c>
      <c r="AN324" s="171" t="s">
        <v>61</v>
      </c>
    </row>
    <row r="325" spans="2:40" x14ac:dyDescent="0.25">
      <c r="B325" s="45">
        <f t="shared" si="59"/>
        <v>278</v>
      </c>
      <c r="C325" s="17">
        <v>20200519</v>
      </c>
      <c r="D325" s="16" t="s">
        <v>3</v>
      </c>
      <c r="E325" s="92" t="s">
        <v>1000</v>
      </c>
      <c r="F325" s="80" t="s">
        <v>1108</v>
      </c>
      <c r="G325" s="92">
        <v>1474054</v>
      </c>
      <c r="H325" s="57" t="s">
        <v>61</v>
      </c>
      <c r="I325" s="92" t="s">
        <v>706</v>
      </c>
      <c r="J325" s="57" t="s">
        <v>61</v>
      </c>
      <c r="K325" s="16" t="s">
        <v>353</v>
      </c>
      <c r="L325" s="16" t="s">
        <v>1016</v>
      </c>
      <c r="M325" s="92" t="s">
        <v>165</v>
      </c>
      <c r="N325" s="16" t="s">
        <v>1015</v>
      </c>
      <c r="O325" s="18" t="s">
        <v>61</v>
      </c>
      <c r="P325" s="18" t="s">
        <v>492</v>
      </c>
      <c r="Q325" s="19"/>
      <c r="R325" s="57" t="s">
        <v>61</v>
      </c>
      <c r="S325" s="16" t="s">
        <v>67</v>
      </c>
      <c r="T325" s="16"/>
      <c r="U325" s="16"/>
      <c r="V325" s="92">
        <v>134</v>
      </c>
      <c r="W325" s="16">
        <f t="shared" si="60"/>
        <v>134</v>
      </c>
      <c r="X325" s="16"/>
      <c r="Y325" s="16">
        <f>ROUNDDOWN(W325/HLOOKUP(D325,Table!$C$3:$D$4,2,0)*8,2)</f>
        <v>2.38</v>
      </c>
      <c r="Z325" s="16"/>
      <c r="AA325" s="16"/>
      <c r="AB325" s="20"/>
      <c r="AC325" s="20">
        <v>43970</v>
      </c>
      <c r="AD325" s="20">
        <v>43977</v>
      </c>
      <c r="AE325" s="20"/>
      <c r="AF325" s="20"/>
      <c r="AG325" s="20"/>
      <c r="AH325" s="32"/>
      <c r="AI325" s="32"/>
      <c r="AJ325" s="32"/>
      <c r="AK325" s="20"/>
      <c r="AL325" s="171" t="s">
        <v>61</v>
      </c>
      <c r="AM325" s="171" t="s">
        <v>61</v>
      </c>
      <c r="AN325" s="171" t="s">
        <v>61</v>
      </c>
    </row>
    <row r="326" spans="2:40" x14ac:dyDescent="0.25">
      <c r="B326" s="45">
        <f t="shared" si="59"/>
        <v>279</v>
      </c>
      <c r="C326" s="17">
        <v>20200519</v>
      </c>
      <c r="D326" s="16" t="s">
        <v>3</v>
      </c>
      <c r="E326" s="92" t="s">
        <v>1000</v>
      </c>
      <c r="F326" s="80" t="s">
        <v>1168</v>
      </c>
      <c r="G326" s="92">
        <v>1474054</v>
      </c>
      <c r="H326" s="57" t="s">
        <v>61</v>
      </c>
      <c r="I326" s="92" t="s">
        <v>399</v>
      </c>
      <c r="J326" s="57" t="s">
        <v>61</v>
      </c>
      <c r="K326" s="16" t="s">
        <v>353</v>
      </c>
      <c r="L326" s="16" t="s">
        <v>1016</v>
      </c>
      <c r="M326" s="92" t="s">
        <v>165</v>
      </c>
      <c r="N326" s="16" t="s">
        <v>1015</v>
      </c>
      <c r="O326" s="18" t="s">
        <v>61</v>
      </c>
      <c r="P326" s="18" t="s">
        <v>492</v>
      </c>
      <c r="Q326" s="19"/>
      <c r="R326" s="57" t="s">
        <v>61</v>
      </c>
      <c r="S326" s="16" t="s">
        <v>69</v>
      </c>
      <c r="T326" s="16"/>
      <c r="U326" s="16"/>
      <c r="V326" s="92">
        <v>39</v>
      </c>
      <c r="W326" s="16">
        <f t="shared" si="60"/>
        <v>39</v>
      </c>
      <c r="X326" s="16">
        <f>W326</f>
        <v>39</v>
      </c>
      <c r="Y326" s="16">
        <f>ROUNDDOWN(W326/HLOOKUP(D326,Table!$C$3:$D$4,2,0)*8,2)</f>
        <v>0.69</v>
      </c>
      <c r="Z326" s="16">
        <v>0.5</v>
      </c>
      <c r="AA326" s="16" t="s">
        <v>18</v>
      </c>
      <c r="AB326" s="20"/>
      <c r="AC326" s="20">
        <v>43970</v>
      </c>
      <c r="AD326" s="20">
        <v>43977</v>
      </c>
      <c r="AE326" s="20">
        <v>43971</v>
      </c>
      <c r="AF326" s="20">
        <v>43971</v>
      </c>
      <c r="AG326" s="20" t="s">
        <v>336</v>
      </c>
      <c r="AH326" s="32">
        <v>0.64</v>
      </c>
      <c r="AI326" s="32">
        <v>1</v>
      </c>
      <c r="AJ326" s="32">
        <v>1</v>
      </c>
      <c r="AK326" s="20" t="s">
        <v>149</v>
      </c>
      <c r="AL326" s="16" t="s">
        <v>1130</v>
      </c>
      <c r="AM326" s="149"/>
      <c r="AN326" s="149"/>
    </row>
    <row r="327" spans="2:40" x14ac:dyDescent="0.25">
      <c r="B327" s="45">
        <f t="shared" si="59"/>
        <v>280</v>
      </c>
      <c r="C327" s="17">
        <v>20200519</v>
      </c>
      <c r="D327" s="16" t="s">
        <v>3</v>
      </c>
      <c r="E327" s="92" t="s">
        <v>1000</v>
      </c>
      <c r="F327" s="80" t="s">
        <v>1109</v>
      </c>
      <c r="G327" s="92">
        <v>1474054</v>
      </c>
      <c r="H327" s="57" t="s">
        <v>61</v>
      </c>
      <c r="I327" s="92" t="s">
        <v>371</v>
      </c>
      <c r="J327" s="57" t="s">
        <v>61</v>
      </c>
      <c r="K327" s="16" t="s">
        <v>353</v>
      </c>
      <c r="L327" s="16" t="s">
        <v>1016</v>
      </c>
      <c r="M327" s="92" t="s">
        <v>165</v>
      </c>
      <c r="N327" s="92" t="s">
        <v>1015</v>
      </c>
      <c r="O327" s="18" t="s">
        <v>61</v>
      </c>
      <c r="P327" s="18" t="s">
        <v>492</v>
      </c>
      <c r="Q327" s="19"/>
      <c r="R327" s="57" t="s">
        <v>61</v>
      </c>
      <c r="S327" s="16" t="s">
        <v>70</v>
      </c>
      <c r="T327" s="16"/>
      <c r="U327" s="16"/>
      <c r="V327" s="92">
        <v>82</v>
      </c>
      <c r="W327" s="16">
        <f t="shared" si="60"/>
        <v>82</v>
      </c>
      <c r="X327" s="16">
        <f>W327</f>
        <v>82</v>
      </c>
      <c r="Y327" s="16">
        <f>ROUNDDOWN(W327/HLOOKUP(D327,Table!$C$3:$D$4,2,0)*8,2)</f>
        <v>1.45</v>
      </c>
      <c r="Z327" s="16">
        <v>1</v>
      </c>
      <c r="AA327" s="16" t="s">
        <v>18</v>
      </c>
      <c r="AB327" s="20"/>
      <c r="AC327" s="20">
        <v>43970</v>
      </c>
      <c r="AD327" s="20">
        <v>43977</v>
      </c>
      <c r="AE327" s="20">
        <v>43971</v>
      </c>
      <c r="AF327" s="20">
        <v>43971</v>
      </c>
      <c r="AG327" s="20" t="s">
        <v>335</v>
      </c>
      <c r="AH327" s="32">
        <v>1</v>
      </c>
      <c r="AI327" s="32">
        <v>1</v>
      </c>
      <c r="AJ327" s="32">
        <v>1</v>
      </c>
      <c r="AK327" s="20" t="s">
        <v>165</v>
      </c>
      <c r="AL327" s="149" t="s">
        <v>61</v>
      </c>
      <c r="AM327" s="149" t="s">
        <v>61</v>
      </c>
      <c r="AN327" s="149" t="s">
        <v>61</v>
      </c>
    </row>
    <row r="328" spans="2:40" x14ac:dyDescent="0.25">
      <c r="B328" s="45">
        <f t="shared" si="59"/>
        <v>281</v>
      </c>
      <c r="C328" s="17">
        <v>20200519</v>
      </c>
      <c r="D328" s="16" t="s">
        <v>2</v>
      </c>
      <c r="E328" s="92" t="s">
        <v>701</v>
      </c>
      <c r="F328" s="18" t="s">
        <v>61</v>
      </c>
      <c r="G328" s="92">
        <v>1474071</v>
      </c>
      <c r="H328" s="57" t="s">
        <v>61</v>
      </c>
      <c r="I328" s="92" t="s">
        <v>1011</v>
      </c>
      <c r="J328" s="57" t="s">
        <v>61</v>
      </c>
      <c r="K328" s="16" t="s">
        <v>161</v>
      </c>
      <c r="L328" s="16" t="s">
        <v>165</v>
      </c>
      <c r="M328" s="92" t="s">
        <v>702</v>
      </c>
      <c r="N328" s="92" t="s">
        <v>1018</v>
      </c>
      <c r="O328" s="92">
        <v>1.2</v>
      </c>
      <c r="P328" s="86" t="s">
        <v>1032</v>
      </c>
      <c r="Q328" s="19"/>
      <c r="R328" s="57" t="s">
        <v>61</v>
      </c>
      <c r="S328" s="16" t="s">
        <v>67</v>
      </c>
      <c r="T328" s="16"/>
      <c r="U328" s="16"/>
      <c r="V328" s="16">
        <v>20</v>
      </c>
      <c r="W328" s="16">
        <f t="shared" si="60"/>
        <v>20</v>
      </c>
      <c r="X328" s="16"/>
      <c r="Y328" s="16">
        <f>ROUNDDOWN(W328/HLOOKUP(D328,Table!$C$3:$D$4,2,0)*8,2)</f>
        <v>1.23</v>
      </c>
      <c r="Z328" s="16"/>
      <c r="AA328" s="16"/>
      <c r="AB328" s="20"/>
      <c r="AC328" s="20">
        <v>43970</v>
      </c>
      <c r="AD328" s="20">
        <v>43977</v>
      </c>
      <c r="AE328" s="20"/>
      <c r="AF328" s="20"/>
      <c r="AG328" s="20"/>
      <c r="AH328" s="32"/>
      <c r="AI328" s="32"/>
      <c r="AJ328" s="32"/>
      <c r="AK328" s="20"/>
      <c r="AL328" s="171" t="s">
        <v>61</v>
      </c>
      <c r="AM328" s="171" t="s">
        <v>61</v>
      </c>
      <c r="AN328" s="171" t="s">
        <v>61</v>
      </c>
    </row>
    <row r="329" spans="2:40" x14ac:dyDescent="0.25">
      <c r="B329" s="45">
        <f t="shared" si="59"/>
        <v>282</v>
      </c>
      <c r="C329" s="17">
        <v>20200519</v>
      </c>
      <c r="D329" s="16" t="s">
        <v>2</v>
      </c>
      <c r="E329" s="92" t="s">
        <v>701</v>
      </c>
      <c r="F329" s="18" t="s">
        <v>61</v>
      </c>
      <c r="G329" s="92">
        <v>1475589</v>
      </c>
      <c r="H329" s="57" t="s">
        <v>61</v>
      </c>
      <c r="I329" s="92" t="s">
        <v>1012</v>
      </c>
      <c r="J329" s="57" t="s">
        <v>61</v>
      </c>
      <c r="K329" s="16" t="s">
        <v>161</v>
      </c>
      <c r="L329" s="16" t="s">
        <v>165</v>
      </c>
      <c r="M329" s="92" t="s">
        <v>702</v>
      </c>
      <c r="N329" s="92" t="s">
        <v>1019</v>
      </c>
      <c r="O329" s="86" t="s">
        <v>1021</v>
      </c>
      <c r="P329" s="86" t="s">
        <v>1033</v>
      </c>
      <c r="Q329" s="19"/>
      <c r="R329" s="57" t="s">
        <v>61</v>
      </c>
      <c r="S329" s="16" t="s">
        <v>69</v>
      </c>
      <c r="T329" s="16"/>
      <c r="U329" s="16"/>
      <c r="V329" s="16">
        <v>10</v>
      </c>
      <c r="W329" s="16">
        <f t="shared" si="60"/>
        <v>10</v>
      </c>
      <c r="X329" s="16">
        <f>W329</f>
        <v>10</v>
      </c>
      <c r="Y329" s="16">
        <f>ROUNDDOWN(W329/HLOOKUP(D329,Table!$C$3:$D$4,2,0)*8,2)</f>
        <v>0.61</v>
      </c>
      <c r="Z329" s="16">
        <v>0.5</v>
      </c>
      <c r="AA329" s="16" t="s">
        <v>18</v>
      </c>
      <c r="AB329" s="20"/>
      <c r="AC329" s="20">
        <v>43970</v>
      </c>
      <c r="AD329" s="20">
        <v>43977</v>
      </c>
      <c r="AE329" s="20">
        <v>43971</v>
      </c>
      <c r="AF329" s="20">
        <v>43971</v>
      </c>
      <c r="AG329" s="20" t="s">
        <v>336</v>
      </c>
      <c r="AH329" s="32">
        <v>0.83</v>
      </c>
      <c r="AI329" s="32">
        <v>0.83</v>
      </c>
      <c r="AJ329" s="32">
        <v>0.71</v>
      </c>
      <c r="AK329" s="20" t="s">
        <v>165</v>
      </c>
      <c r="AL329" s="16" t="s">
        <v>1150</v>
      </c>
      <c r="AM329" s="149"/>
      <c r="AN329" s="149"/>
    </row>
    <row r="330" spans="2:40" x14ac:dyDescent="0.25">
      <c r="B330" s="45">
        <f t="shared" si="59"/>
        <v>283</v>
      </c>
      <c r="C330" s="17">
        <v>20200519</v>
      </c>
      <c r="D330" s="16" t="s">
        <v>2</v>
      </c>
      <c r="E330" s="92" t="s">
        <v>701</v>
      </c>
      <c r="F330" s="18" t="s">
        <v>61</v>
      </c>
      <c r="G330" s="92">
        <v>1475589</v>
      </c>
      <c r="H330" s="57" t="s">
        <v>61</v>
      </c>
      <c r="I330" s="92" t="s">
        <v>1013</v>
      </c>
      <c r="J330" s="57" t="s">
        <v>61</v>
      </c>
      <c r="K330" s="16" t="s">
        <v>161</v>
      </c>
      <c r="L330" s="16" t="s">
        <v>165</v>
      </c>
      <c r="M330" s="92" t="s">
        <v>702</v>
      </c>
      <c r="N330" s="92" t="s">
        <v>1020</v>
      </c>
      <c r="O330" s="92">
        <v>1</v>
      </c>
      <c r="P330" s="86" t="s">
        <v>1033</v>
      </c>
      <c r="Q330" s="19"/>
      <c r="R330" s="57" t="s">
        <v>61</v>
      </c>
      <c r="S330" s="16" t="s">
        <v>70</v>
      </c>
      <c r="T330" s="16"/>
      <c r="U330" s="16"/>
      <c r="V330" s="16">
        <v>11</v>
      </c>
      <c r="W330" s="16">
        <f t="shared" si="60"/>
        <v>11</v>
      </c>
      <c r="X330" s="16">
        <f>W330</f>
        <v>11</v>
      </c>
      <c r="Y330" s="16">
        <f>ROUNDDOWN(W330/HLOOKUP(D330,Table!$C$3:$D$4,2,0)*8,2)</f>
        <v>0.67</v>
      </c>
      <c r="Z330" s="16">
        <v>0.5</v>
      </c>
      <c r="AA330" s="16" t="s">
        <v>18</v>
      </c>
      <c r="AB330" s="20"/>
      <c r="AC330" s="20">
        <v>43970</v>
      </c>
      <c r="AD330" s="20">
        <v>43977</v>
      </c>
      <c r="AE330" s="20">
        <v>43971</v>
      </c>
      <c r="AF330" s="20">
        <v>43971</v>
      </c>
      <c r="AG330" s="20" t="s">
        <v>336</v>
      </c>
      <c r="AH330" s="32">
        <v>1</v>
      </c>
      <c r="AI330" s="32">
        <v>0.85699999999999998</v>
      </c>
      <c r="AJ330" s="32" t="s">
        <v>20</v>
      </c>
      <c r="AK330" s="20" t="s">
        <v>165</v>
      </c>
      <c r="AL330" s="171" t="s">
        <v>1149</v>
      </c>
      <c r="AM330" s="149" t="s">
        <v>61</v>
      </c>
      <c r="AN330" s="149" t="s">
        <v>61</v>
      </c>
    </row>
    <row r="331" spans="2:40" x14ac:dyDescent="0.25">
      <c r="B331" s="107">
        <f t="shared" si="59"/>
        <v>284</v>
      </c>
      <c r="C331" s="17">
        <v>20200519</v>
      </c>
      <c r="D331" s="16" t="s">
        <v>3</v>
      </c>
      <c r="E331" s="16" t="s">
        <v>1022</v>
      </c>
      <c r="F331" s="80" t="s">
        <v>1034</v>
      </c>
      <c r="G331" s="18">
        <v>1445994</v>
      </c>
      <c r="H331" s="57" t="s">
        <v>61</v>
      </c>
      <c r="I331" s="16" t="s">
        <v>1024</v>
      </c>
      <c r="J331" s="57" t="s">
        <v>61</v>
      </c>
      <c r="K331" s="16" t="s">
        <v>161</v>
      </c>
      <c r="L331" s="16" t="s">
        <v>1030</v>
      </c>
      <c r="M331" s="16" t="s">
        <v>1023</v>
      </c>
      <c r="N331" s="16" t="s">
        <v>1031</v>
      </c>
      <c r="O331" s="18" t="s">
        <v>61</v>
      </c>
      <c r="P331" s="18" t="s">
        <v>1029</v>
      </c>
      <c r="Q331" s="19"/>
      <c r="R331" s="57" t="s">
        <v>61</v>
      </c>
      <c r="S331" s="16" t="s">
        <v>64</v>
      </c>
      <c r="T331" s="16"/>
      <c r="U331" s="16"/>
      <c r="V331" s="16">
        <v>114</v>
      </c>
      <c r="W331" s="16">
        <f t="shared" si="60"/>
        <v>114</v>
      </c>
      <c r="X331" s="16"/>
      <c r="Y331" s="16">
        <f>ROUNDDOWN(W331/HLOOKUP(D331,Table!$C$3:$D$4,2,0)*8,2)</f>
        <v>2.02</v>
      </c>
      <c r="Z331" s="16">
        <v>1</v>
      </c>
      <c r="AA331" s="16" t="s">
        <v>74</v>
      </c>
      <c r="AB331" s="20">
        <v>43971</v>
      </c>
      <c r="AC331" s="20">
        <v>43970</v>
      </c>
      <c r="AD331" s="153">
        <v>43971</v>
      </c>
      <c r="AE331" s="20">
        <v>43970</v>
      </c>
      <c r="AF331" s="20">
        <v>43970</v>
      </c>
      <c r="AG331" s="20" t="s">
        <v>335</v>
      </c>
      <c r="AH331" s="32">
        <v>1</v>
      </c>
      <c r="AI331" s="32">
        <v>1</v>
      </c>
      <c r="AJ331" s="32">
        <v>1</v>
      </c>
      <c r="AK331" s="20" t="s">
        <v>165</v>
      </c>
      <c r="AL331" s="16"/>
      <c r="AM331" s="16"/>
      <c r="AN331" s="16"/>
    </row>
    <row r="332" spans="2:40" x14ac:dyDescent="0.25">
      <c r="B332" s="107">
        <f t="shared" si="59"/>
        <v>285</v>
      </c>
      <c r="C332" s="17">
        <v>20200519</v>
      </c>
      <c r="D332" s="16" t="s">
        <v>3</v>
      </c>
      <c r="E332" s="16" t="s">
        <v>1022</v>
      </c>
      <c r="F332" s="80" t="s">
        <v>1035</v>
      </c>
      <c r="G332" s="18">
        <v>1445994</v>
      </c>
      <c r="H332" s="57" t="s">
        <v>61</v>
      </c>
      <c r="I332" s="16" t="s">
        <v>1025</v>
      </c>
      <c r="J332" s="57" t="s">
        <v>61</v>
      </c>
      <c r="K332" s="16" t="s">
        <v>161</v>
      </c>
      <c r="L332" s="16" t="s">
        <v>1030</v>
      </c>
      <c r="M332" s="16" t="s">
        <v>1023</v>
      </c>
      <c r="N332" s="16" t="s">
        <v>1031</v>
      </c>
      <c r="O332" s="18" t="s">
        <v>61</v>
      </c>
      <c r="P332" s="18" t="s">
        <v>1029</v>
      </c>
      <c r="Q332" s="19"/>
      <c r="R332" s="57" t="s">
        <v>61</v>
      </c>
      <c r="S332" s="16" t="s">
        <v>64</v>
      </c>
      <c r="T332" s="16"/>
      <c r="U332" s="16"/>
      <c r="V332" s="16">
        <v>103</v>
      </c>
      <c r="W332" s="16">
        <f t="shared" si="60"/>
        <v>103</v>
      </c>
      <c r="X332" s="16"/>
      <c r="Y332" s="16">
        <f>ROUNDDOWN(W332/HLOOKUP(D332,Table!$C$3:$D$4,2,0)*8,2)</f>
        <v>1.83</v>
      </c>
      <c r="Z332" s="16">
        <v>1</v>
      </c>
      <c r="AA332" s="16" t="s">
        <v>74</v>
      </c>
      <c r="AB332" s="20">
        <v>43971</v>
      </c>
      <c r="AC332" s="20">
        <v>43970</v>
      </c>
      <c r="AD332" s="153">
        <v>43971</v>
      </c>
      <c r="AE332" s="20">
        <v>43970</v>
      </c>
      <c r="AF332" s="20">
        <v>43970</v>
      </c>
      <c r="AG332" s="20" t="s">
        <v>335</v>
      </c>
      <c r="AH332" s="32">
        <v>1</v>
      </c>
      <c r="AI332" s="32">
        <v>1</v>
      </c>
      <c r="AJ332" s="32">
        <v>1</v>
      </c>
      <c r="AK332" s="20" t="s">
        <v>165</v>
      </c>
      <c r="AL332" s="16"/>
      <c r="AM332" s="16"/>
      <c r="AN332" s="16"/>
    </row>
    <row r="333" spans="2:40" x14ac:dyDescent="0.25">
      <c r="B333" s="107">
        <f t="shared" si="59"/>
        <v>286</v>
      </c>
      <c r="C333" s="17">
        <v>20200519</v>
      </c>
      <c r="D333" s="16" t="s">
        <v>3</v>
      </c>
      <c r="E333" s="16" t="s">
        <v>1022</v>
      </c>
      <c r="F333" s="80" t="s">
        <v>1036</v>
      </c>
      <c r="G333" s="18">
        <v>1445994</v>
      </c>
      <c r="H333" s="57" t="s">
        <v>61</v>
      </c>
      <c r="I333" s="16" t="s">
        <v>1026</v>
      </c>
      <c r="J333" s="57" t="s">
        <v>61</v>
      </c>
      <c r="K333" s="16" t="s">
        <v>161</v>
      </c>
      <c r="L333" s="16" t="s">
        <v>1030</v>
      </c>
      <c r="M333" s="16" t="s">
        <v>1023</v>
      </c>
      <c r="N333" s="16" t="s">
        <v>1031</v>
      </c>
      <c r="O333" s="18" t="s">
        <v>61</v>
      </c>
      <c r="P333" s="18" t="s">
        <v>1029</v>
      </c>
      <c r="Q333" s="19"/>
      <c r="R333" s="57" t="s">
        <v>61</v>
      </c>
      <c r="S333" s="16" t="s">
        <v>64</v>
      </c>
      <c r="T333" s="16"/>
      <c r="U333" s="16"/>
      <c r="V333" s="16">
        <v>235</v>
      </c>
      <c r="W333" s="16">
        <f t="shared" si="60"/>
        <v>235</v>
      </c>
      <c r="X333" s="16"/>
      <c r="Y333" s="16">
        <f>ROUNDDOWN(W333/HLOOKUP(D333,Table!$C$3:$D$4,2,0)*8,2)</f>
        <v>4.17</v>
      </c>
      <c r="Z333" s="16">
        <v>1</v>
      </c>
      <c r="AA333" s="16" t="s">
        <v>74</v>
      </c>
      <c r="AB333" s="20">
        <v>43971</v>
      </c>
      <c r="AC333" s="20">
        <v>43970</v>
      </c>
      <c r="AD333" s="153">
        <v>43971</v>
      </c>
      <c r="AE333" s="20">
        <v>43970</v>
      </c>
      <c r="AF333" s="20">
        <v>43970</v>
      </c>
      <c r="AG333" s="20" t="s">
        <v>335</v>
      </c>
      <c r="AH333" s="32">
        <v>1</v>
      </c>
      <c r="AI333" s="32">
        <v>1</v>
      </c>
      <c r="AJ333" s="32">
        <v>1</v>
      </c>
      <c r="AK333" s="20" t="s">
        <v>165</v>
      </c>
      <c r="AL333" s="16"/>
      <c r="AM333" s="16"/>
      <c r="AN333" s="16"/>
    </row>
    <row r="334" spans="2:40" x14ac:dyDescent="0.25">
      <c r="B334" s="107">
        <f t="shared" si="59"/>
        <v>287</v>
      </c>
      <c r="C334" s="17">
        <v>20200519</v>
      </c>
      <c r="D334" s="16" t="s">
        <v>3</v>
      </c>
      <c r="E334" s="16" t="s">
        <v>1022</v>
      </c>
      <c r="F334" s="80" t="s">
        <v>1037</v>
      </c>
      <c r="G334" s="18">
        <v>1445994</v>
      </c>
      <c r="H334" s="57" t="s">
        <v>61</v>
      </c>
      <c r="I334" s="16" t="s">
        <v>1027</v>
      </c>
      <c r="J334" s="57" t="s">
        <v>61</v>
      </c>
      <c r="K334" s="16" t="s">
        <v>161</v>
      </c>
      <c r="L334" s="16" t="s">
        <v>1030</v>
      </c>
      <c r="M334" s="16" t="s">
        <v>1023</v>
      </c>
      <c r="N334" s="16" t="s">
        <v>1031</v>
      </c>
      <c r="O334" s="18" t="s">
        <v>61</v>
      </c>
      <c r="P334" s="18" t="s">
        <v>1029</v>
      </c>
      <c r="Q334" s="19"/>
      <c r="R334" s="57" t="s">
        <v>61</v>
      </c>
      <c r="S334" s="16" t="s">
        <v>64</v>
      </c>
      <c r="T334" s="16"/>
      <c r="U334" s="16"/>
      <c r="V334" s="16">
        <v>635</v>
      </c>
      <c r="W334" s="16">
        <f t="shared" si="60"/>
        <v>635</v>
      </c>
      <c r="X334" s="16"/>
      <c r="Y334" s="16">
        <f>ROUNDDOWN(W334/HLOOKUP(D334,Table!$C$3:$D$4,2,0)*8,2)</f>
        <v>11.28</v>
      </c>
      <c r="Z334" s="16">
        <v>3</v>
      </c>
      <c r="AA334" s="16" t="s">
        <v>74</v>
      </c>
      <c r="AB334" s="20">
        <v>43971</v>
      </c>
      <c r="AC334" s="20">
        <v>43970</v>
      </c>
      <c r="AD334" s="153">
        <v>43971</v>
      </c>
      <c r="AE334" s="20">
        <v>43971</v>
      </c>
      <c r="AF334" s="20">
        <v>43971</v>
      </c>
      <c r="AG334" s="20" t="s">
        <v>336</v>
      </c>
      <c r="AH334" s="32">
        <v>1</v>
      </c>
      <c r="AI334" s="32">
        <v>0.99</v>
      </c>
      <c r="AJ334" s="32">
        <v>1</v>
      </c>
      <c r="AK334" s="20" t="s">
        <v>149</v>
      </c>
      <c r="AL334" s="16" t="s">
        <v>1112</v>
      </c>
      <c r="AM334" s="16"/>
      <c r="AN334" s="16" t="s">
        <v>1175</v>
      </c>
    </row>
    <row r="335" spans="2:40" x14ac:dyDescent="0.25">
      <c r="B335" s="142">
        <f t="shared" si="59"/>
        <v>288</v>
      </c>
      <c r="C335" s="17">
        <v>20200520</v>
      </c>
      <c r="D335" s="16" t="s">
        <v>3</v>
      </c>
      <c r="E335" s="16" t="s">
        <v>1113</v>
      </c>
      <c r="F335" s="80" t="s">
        <v>1152</v>
      </c>
      <c r="G335" s="18">
        <v>1329906</v>
      </c>
      <c r="H335" s="57" t="s">
        <v>61</v>
      </c>
      <c r="I335" s="16" t="s">
        <v>1114</v>
      </c>
      <c r="J335" s="57" t="s">
        <v>61</v>
      </c>
      <c r="K335" s="16" t="s">
        <v>353</v>
      </c>
      <c r="L335" s="17" t="s">
        <v>165</v>
      </c>
      <c r="M335" s="16" t="s">
        <v>1125</v>
      </c>
      <c r="N335" s="16" t="s">
        <v>419</v>
      </c>
      <c r="O335" s="18" t="s">
        <v>61</v>
      </c>
      <c r="P335" s="18" t="s">
        <v>1127</v>
      </c>
      <c r="Q335" s="19"/>
      <c r="R335" s="57" t="s">
        <v>61</v>
      </c>
      <c r="S335" s="16" t="s">
        <v>157</v>
      </c>
      <c r="T335" s="16"/>
      <c r="U335" s="16"/>
      <c r="V335" s="16">
        <v>120</v>
      </c>
      <c r="W335" s="16">
        <f t="shared" ref="W335:W354" si="62">V335</f>
        <v>120</v>
      </c>
      <c r="X335" s="16">
        <v>120</v>
      </c>
      <c r="Y335" s="16">
        <f>ROUNDDOWN(W335/HLOOKUP(D335,Table!$C$3:$D$4,2,0)*8,2)</f>
        <v>2.13</v>
      </c>
      <c r="Z335" s="16">
        <v>2</v>
      </c>
      <c r="AA335" s="16" t="s">
        <v>18</v>
      </c>
      <c r="AB335" s="20"/>
      <c r="AC335" s="20">
        <v>43971</v>
      </c>
      <c r="AD335" s="20">
        <v>43985</v>
      </c>
      <c r="AE335" s="20">
        <v>43971</v>
      </c>
      <c r="AF335" s="20">
        <v>43971</v>
      </c>
      <c r="AG335" s="20" t="s">
        <v>335</v>
      </c>
      <c r="AH335" s="32">
        <v>1</v>
      </c>
      <c r="AI335" s="32">
        <v>1</v>
      </c>
      <c r="AJ335" s="32">
        <v>1</v>
      </c>
      <c r="AK335" s="20" t="s">
        <v>165</v>
      </c>
      <c r="AL335" s="194" t="s">
        <v>61</v>
      </c>
      <c r="AM335" s="194" t="s">
        <v>61</v>
      </c>
      <c r="AN335" s="98" t="s">
        <v>1126</v>
      </c>
    </row>
    <row r="336" spans="2:40" x14ac:dyDescent="0.25">
      <c r="B336" s="142">
        <f t="shared" si="59"/>
        <v>289</v>
      </c>
      <c r="C336" s="17">
        <v>20200520</v>
      </c>
      <c r="D336" s="16" t="s">
        <v>3</v>
      </c>
      <c r="E336" s="16" t="s">
        <v>1113</v>
      </c>
      <c r="F336" s="80" t="s">
        <v>1153</v>
      </c>
      <c r="G336" s="18">
        <v>1329906</v>
      </c>
      <c r="H336" s="57" t="s">
        <v>61</v>
      </c>
      <c r="I336" s="16" t="s">
        <v>1004</v>
      </c>
      <c r="J336" s="57" t="s">
        <v>61</v>
      </c>
      <c r="K336" s="16" t="s">
        <v>353</v>
      </c>
      <c r="L336" s="17" t="s">
        <v>165</v>
      </c>
      <c r="M336" s="16" t="s">
        <v>1125</v>
      </c>
      <c r="N336" s="16" t="s">
        <v>419</v>
      </c>
      <c r="O336" s="18" t="s">
        <v>61</v>
      </c>
      <c r="P336" s="18" t="s">
        <v>1127</v>
      </c>
      <c r="Q336" s="19"/>
      <c r="R336" s="57" t="s">
        <v>61</v>
      </c>
      <c r="S336" s="16" t="s">
        <v>68</v>
      </c>
      <c r="T336" s="16"/>
      <c r="U336" s="16"/>
      <c r="V336" s="16">
        <v>800</v>
      </c>
      <c r="W336" s="16">
        <f t="shared" si="62"/>
        <v>800</v>
      </c>
      <c r="X336" s="16"/>
      <c r="Y336" s="16">
        <f>ROUNDDOWN(W336/HLOOKUP(D336,Table!$C$3:$D$4,2,0)*8,2)</f>
        <v>14.22</v>
      </c>
      <c r="Z336" s="16"/>
      <c r="AA336" s="16"/>
      <c r="AB336" s="20"/>
      <c r="AC336" s="20">
        <v>43971</v>
      </c>
      <c r="AD336" s="20">
        <v>43985</v>
      </c>
      <c r="AE336" s="20"/>
      <c r="AF336" s="20"/>
      <c r="AG336" s="20"/>
      <c r="AH336" s="32"/>
      <c r="AI336" s="32"/>
      <c r="AJ336" s="32"/>
      <c r="AK336" s="20"/>
      <c r="AL336" s="16"/>
      <c r="AM336" s="16"/>
      <c r="AN336" s="98" t="s">
        <v>1126</v>
      </c>
    </row>
    <row r="337" spans="2:40" x14ac:dyDescent="0.25">
      <c r="B337" s="142">
        <f t="shared" si="59"/>
        <v>290</v>
      </c>
      <c r="C337" s="17">
        <v>20200520</v>
      </c>
      <c r="D337" s="16" t="s">
        <v>3</v>
      </c>
      <c r="E337" s="16" t="s">
        <v>1113</v>
      </c>
      <c r="F337" s="80" t="s">
        <v>1154</v>
      </c>
      <c r="G337" s="18">
        <v>1329906</v>
      </c>
      <c r="H337" s="57" t="s">
        <v>61</v>
      </c>
      <c r="I337" s="16" t="s">
        <v>1115</v>
      </c>
      <c r="J337" s="57" t="s">
        <v>61</v>
      </c>
      <c r="K337" s="16" t="s">
        <v>353</v>
      </c>
      <c r="L337" s="17" t="s">
        <v>165</v>
      </c>
      <c r="M337" s="16" t="s">
        <v>1125</v>
      </c>
      <c r="N337" s="16" t="s">
        <v>419</v>
      </c>
      <c r="O337" s="18" t="s">
        <v>61</v>
      </c>
      <c r="P337" s="18" t="s">
        <v>1127</v>
      </c>
      <c r="Q337" s="19"/>
      <c r="R337" s="57" t="s">
        <v>61</v>
      </c>
      <c r="S337" s="16" t="s">
        <v>157</v>
      </c>
      <c r="T337" s="16"/>
      <c r="U337" s="16"/>
      <c r="V337" s="16">
        <v>236</v>
      </c>
      <c r="W337" s="16">
        <f t="shared" si="62"/>
        <v>236</v>
      </c>
      <c r="X337" s="16">
        <v>236</v>
      </c>
      <c r="Y337" s="16">
        <f>ROUNDDOWN(W337/HLOOKUP(D337,Table!$C$3:$D$4,2,0)*8,2)</f>
        <v>4.1900000000000004</v>
      </c>
      <c r="Z337" s="16">
        <v>2</v>
      </c>
      <c r="AA337" s="16" t="s">
        <v>18</v>
      </c>
      <c r="AB337" s="20"/>
      <c r="AC337" s="20">
        <v>43971</v>
      </c>
      <c r="AD337" s="20">
        <v>43985</v>
      </c>
      <c r="AE337" s="20">
        <v>43971</v>
      </c>
      <c r="AF337" s="20">
        <v>43971</v>
      </c>
      <c r="AG337" s="20" t="s">
        <v>335</v>
      </c>
      <c r="AH337" s="32">
        <v>1</v>
      </c>
      <c r="AI337" s="32">
        <v>1</v>
      </c>
      <c r="AJ337" s="32">
        <v>1</v>
      </c>
      <c r="AK337" s="20" t="s">
        <v>165</v>
      </c>
      <c r="AL337" s="194" t="s">
        <v>61</v>
      </c>
      <c r="AM337" s="194" t="s">
        <v>61</v>
      </c>
      <c r="AN337" s="98" t="s">
        <v>1126</v>
      </c>
    </row>
    <row r="338" spans="2:40" x14ac:dyDescent="0.25">
      <c r="B338" s="142">
        <f t="shared" si="59"/>
        <v>291</v>
      </c>
      <c r="C338" s="17">
        <v>20200520</v>
      </c>
      <c r="D338" s="16" t="s">
        <v>3</v>
      </c>
      <c r="E338" s="16" t="s">
        <v>1113</v>
      </c>
      <c r="F338" s="80" t="s">
        <v>1155</v>
      </c>
      <c r="G338" s="18">
        <v>1329906</v>
      </c>
      <c r="H338" s="57" t="s">
        <v>61</v>
      </c>
      <c r="I338" s="16" t="s">
        <v>1116</v>
      </c>
      <c r="J338" s="57" t="s">
        <v>61</v>
      </c>
      <c r="K338" s="16" t="s">
        <v>353</v>
      </c>
      <c r="L338" s="17" t="s">
        <v>165</v>
      </c>
      <c r="M338" s="16" t="s">
        <v>1125</v>
      </c>
      <c r="N338" s="16" t="s">
        <v>419</v>
      </c>
      <c r="O338" s="18" t="s">
        <v>61</v>
      </c>
      <c r="P338" s="18" t="s">
        <v>1127</v>
      </c>
      <c r="Q338" s="19"/>
      <c r="R338" s="57" t="s">
        <v>61</v>
      </c>
      <c r="S338" s="16" t="s">
        <v>157</v>
      </c>
      <c r="T338" s="16"/>
      <c r="U338" s="16"/>
      <c r="V338" s="16">
        <v>236</v>
      </c>
      <c r="W338" s="16">
        <f t="shared" si="62"/>
        <v>236</v>
      </c>
      <c r="X338" s="16">
        <f>W338</f>
        <v>236</v>
      </c>
      <c r="Y338" s="16">
        <f>ROUNDDOWN(W338/HLOOKUP(D338,Table!$C$3:$D$4,2,0)*8,2)</f>
        <v>4.1900000000000004</v>
      </c>
      <c r="Z338" s="16">
        <v>2</v>
      </c>
      <c r="AA338" s="16" t="s">
        <v>18</v>
      </c>
      <c r="AB338" s="20"/>
      <c r="AC338" s="20">
        <v>43971</v>
      </c>
      <c r="AD338" s="20">
        <v>43985</v>
      </c>
      <c r="AE338" s="20">
        <v>43971</v>
      </c>
      <c r="AF338" s="20">
        <v>43971</v>
      </c>
      <c r="AG338" s="20" t="s">
        <v>335</v>
      </c>
      <c r="AH338" s="32">
        <v>1</v>
      </c>
      <c r="AI338" s="32">
        <v>1</v>
      </c>
      <c r="AJ338" s="32">
        <v>1</v>
      </c>
      <c r="AK338" s="20" t="s">
        <v>165</v>
      </c>
      <c r="AL338" s="194" t="s">
        <v>61</v>
      </c>
      <c r="AM338" s="194" t="s">
        <v>61</v>
      </c>
      <c r="AN338" s="98" t="s">
        <v>1126</v>
      </c>
    </row>
    <row r="339" spans="2:40" x14ac:dyDescent="0.25">
      <c r="B339" s="142">
        <f t="shared" si="59"/>
        <v>292</v>
      </c>
      <c r="C339" s="17">
        <v>20200520</v>
      </c>
      <c r="D339" s="16" t="s">
        <v>3</v>
      </c>
      <c r="E339" s="16" t="s">
        <v>1113</v>
      </c>
      <c r="F339" s="80" t="s">
        <v>1156</v>
      </c>
      <c r="G339" s="18">
        <v>1329906</v>
      </c>
      <c r="H339" s="57" t="s">
        <v>61</v>
      </c>
      <c r="I339" s="16" t="s">
        <v>1117</v>
      </c>
      <c r="J339" s="57" t="s">
        <v>61</v>
      </c>
      <c r="K339" s="16" t="s">
        <v>353</v>
      </c>
      <c r="L339" s="17" t="s">
        <v>165</v>
      </c>
      <c r="M339" s="16" t="s">
        <v>1125</v>
      </c>
      <c r="N339" s="16" t="s">
        <v>419</v>
      </c>
      <c r="O339" s="18" t="s">
        <v>61</v>
      </c>
      <c r="P339" s="18" t="s">
        <v>1127</v>
      </c>
      <c r="Q339" s="19"/>
      <c r="R339" s="57" t="s">
        <v>61</v>
      </c>
      <c r="S339" s="16" t="s">
        <v>68</v>
      </c>
      <c r="T339" s="16"/>
      <c r="U339" s="16"/>
      <c r="V339" s="16">
        <v>288</v>
      </c>
      <c r="W339" s="16">
        <f t="shared" si="62"/>
        <v>288</v>
      </c>
      <c r="X339" s="16"/>
      <c r="Y339" s="16">
        <f>ROUNDDOWN(W339/HLOOKUP(D339,Table!$C$3:$D$4,2,0)*8,2)</f>
        <v>5.12</v>
      </c>
      <c r="Z339" s="16"/>
      <c r="AA339" s="16"/>
      <c r="AB339" s="20"/>
      <c r="AC339" s="20">
        <v>43971</v>
      </c>
      <c r="AD339" s="20">
        <v>43985</v>
      </c>
      <c r="AE339" s="20"/>
      <c r="AF339" s="20"/>
      <c r="AG339" s="20"/>
      <c r="AH339" s="32"/>
      <c r="AI339" s="32"/>
      <c r="AJ339" s="32"/>
      <c r="AK339" s="20"/>
      <c r="AL339" s="16"/>
      <c r="AM339" s="16"/>
      <c r="AN339" s="98" t="s">
        <v>1126</v>
      </c>
    </row>
    <row r="340" spans="2:40" x14ac:dyDescent="0.25">
      <c r="B340" s="142">
        <f t="shared" si="59"/>
        <v>293</v>
      </c>
      <c r="C340" s="17">
        <v>20200520</v>
      </c>
      <c r="D340" s="16" t="s">
        <v>3</v>
      </c>
      <c r="E340" s="16" t="s">
        <v>1113</v>
      </c>
      <c r="F340" s="80" t="s">
        <v>1157</v>
      </c>
      <c r="G340" s="18">
        <v>1329906</v>
      </c>
      <c r="H340" s="57" t="s">
        <v>61</v>
      </c>
      <c r="I340" s="16" t="s">
        <v>1118</v>
      </c>
      <c r="J340" s="57" t="s">
        <v>61</v>
      </c>
      <c r="K340" s="16" t="s">
        <v>353</v>
      </c>
      <c r="L340" s="17" t="s">
        <v>165</v>
      </c>
      <c r="M340" s="16" t="s">
        <v>1125</v>
      </c>
      <c r="N340" s="16" t="s">
        <v>419</v>
      </c>
      <c r="O340" s="18" t="s">
        <v>61</v>
      </c>
      <c r="P340" s="18" t="s">
        <v>1127</v>
      </c>
      <c r="Q340" s="19"/>
      <c r="R340" s="57" t="s">
        <v>61</v>
      </c>
      <c r="S340" s="16" t="s">
        <v>70</v>
      </c>
      <c r="T340" s="16"/>
      <c r="U340" s="16"/>
      <c r="V340" s="16">
        <v>124</v>
      </c>
      <c r="W340" s="16">
        <f t="shared" si="62"/>
        <v>124</v>
      </c>
      <c r="X340" s="16">
        <f>W340</f>
        <v>124</v>
      </c>
      <c r="Y340" s="16">
        <f>ROUNDDOWN(W340/HLOOKUP(D340,Table!$C$3:$D$4,2,0)*8,2)</f>
        <v>2.2000000000000002</v>
      </c>
      <c r="Z340" s="16">
        <v>0.5</v>
      </c>
      <c r="AA340" s="16" t="s">
        <v>18</v>
      </c>
      <c r="AB340" s="20"/>
      <c r="AC340" s="20">
        <v>43971</v>
      </c>
      <c r="AD340" s="20">
        <v>43985</v>
      </c>
      <c r="AE340" s="20">
        <v>43971</v>
      </c>
      <c r="AF340" s="20">
        <v>43971</v>
      </c>
      <c r="AG340" s="20" t="s">
        <v>336</v>
      </c>
      <c r="AH340" s="32">
        <v>1</v>
      </c>
      <c r="AI340" s="32">
        <v>1</v>
      </c>
      <c r="AJ340" s="32">
        <v>0.5</v>
      </c>
      <c r="AK340" s="20" t="s">
        <v>165</v>
      </c>
      <c r="AL340" s="184" t="s">
        <v>1142</v>
      </c>
      <c r="AM340" s="183" t="s">
        <v>61</v>
      </c>
      <c r="AN340" s="98" t="s">
        <v>1126</v>
      </c>
    </row>
    <row r="341" spans="2:40" x14ac:dyDescent="0.25">
      <c r="B341" s="142">
        <f t="shared" si="59"/>
        <v>294</v>
      </c>
      <c r="C341" s="17">
        <v>20200520</v>
      </c>
      <c r="D341" s="16" t="s">
        <v>3</v>
      </c>
      <c r="E341" s="16" t="s">
        <v>1113</v>
      </c>
      <c r="F341" s="80" t="s">
        <v>1158</v>
      </c>
      <c r="G341" s="18">
        <v>1329906</v>
      </c>
      <c r="H341" s="57" t="s">
        <v>61</v>
      </c>
      <c r="I341" s="16" t="s">
        <v>1119</v>
      </c>
      <c r="J341" s="57" t="s">
        <v>61</v>
      </c>
      <c r="K341" s="16" t="s">
        <v>353</v>
      </c>
      <c r="L341" s="17" t="s">
        <v>165</v>
      </c>
      <c r="M341" s="16" t="s">
        <v>1125</v>
      </c>
      <c r="N341" s="16" t="s">
        <v>419</v>
      </c>
      <c r="O341" s="18" t="s">
        <v>61</v>
      </c>
      <c r="P341" s="18" t="s">
        <v>1127</v>
      </c>
      <c r="Q341" s="19"/>
      <c r="R341" s="57" t="s">
        <v>61</v>
      </c>
      <c r="S341" s="16" t="s">
        <v>69</v>
      </c>
      <c r="T341" s="16"/>
      <c r="U341" s="16"/>
      <c r="V341" s="16">
        <v>724</v>
      </c>
      <c r="W341" s="16">
        <f t="shared" si="62"/>
        <v>724</v>
      </c>
      <c r="X341" s="16"/>
      <c r="Y341" s="16">
        <f>ROUNDDOWN(W341/HLOOKUP(D341,Table!$C$3:$D$4,2,0)*8,2)</f>
        <v>12.87</v>
      </c>
      <c r="Z341" s="16"/>
      <c r="AA341" s="16"/>
      <c r="AB341" s="20"/>
      <c r="AC341" s="20">
        <v>43971</v>
      </c>
      <c r="AD341" s="20">
        <v>43985</v>
      </c>
      <c r="AE341" s="20"/>
      <c r="AF341" s="20"/>
      <c r="AG341" s="20"/>
      <c r="AH341" s="32"/>
      <c r="AI341" s="32"/>
      <c r="AJ341" s="32"/>
      <c r="AK341" s="20"/>
      <c r="AL341" s="16"/>
      <c r="AM341" s="16"/>
      <c r="AN341" s="98" t="s">
        <v>1126</v>
      </c>
    </row>
    <row r="342" spans="2:40" x14ac:dyDescent="0.25">
      <c r="B342" s="142">
        <f t="shared" si="59"/>
        <v>295</v>
      </c>
      <c r="C342" s="17">
        <v>20200520</v>
      </c>
      <c r="D342" s="16" t="s">
        <v>3</v>
      </c>
      <c r="E342" s="16" t="s">
        <v>1113</v>
      </c>
      <c r="F342" s="80" t="s">
        <v>1159</v>
      </c>
      <c r="G342" s="18">
        <v>1329906</v>
      </c>
      <c r="H342" s="57" t="s">
        <v>61</v>
      </c>
      <c r="I342" s="16" t="s">
        <v>532</v>
      </c>
      <c r="J342" s="57" t="s">
        <v>61</v>
      </c>
      <c r="K342" s="16" t="s">
        <v>353</v>
      </c>
      <c r="L342" s="17" t="s">
        <v>165</v>
      </c>
      <c r="M342" s="16" t="s">
        <v>1125</v>
      </c>
      <c r="N342" s="16" t="s">
        <v>419</v>
      </c>
      <c r="O342" s="18" t="s">
        <v>61</v>
      </c>
      <c r="P342" s="18" t="s">
        <v>1127</v>
      </c>
      <c r="Q342" s="19"/>
      <c r="R342" s="57" t="s">
        <v>61</v>
      </c>
      <c r="S342" s="16" t="s">
        <v>68</v>
      </c>
      <c r="T342" s="16"/>
      <c r="U342" s="16"/>
      <c r="V342" s="16">
        <v>796</v>
      </c>
      <c r="W342" s="16">
        <f t="shared" si="62"/>
        <v>796</v>
      </c>
      <c r="X342" s="16"/>
      <c r="Y342" s="16">
        <f>ROUNDDOWN(W342/HLOOKUP(D342,Table!$C$3:$D$4,2,0)*8,2)</f>
        <v>14.15</v>
      </c>
      <c r="Z342" s="16"/>
      <c r="AA342" s="16"/>
      <c r="AB342" s="20"/>
      <c r="AC342" s="20">
        <v>43971</v>
      </c>
      <c r="AD342" s="20">
        <v>43985</v>
      </c>
      <c r="AE342" s="20"/>
      <c r="AF342" s="20"/>
      <c r="AG342" s="20"/>
      <c r="AH342" s="32"/>
      <c r="AI342" s="32"/>
      <c r="AJ342" s="32"/>
      <c r="AK342" s="20"/>
      <c r="AL342" s="16"/>
      <c r="AM342" s="16"/>
      <c r="AN342" s="98" t="s">
        <v>1126</v>
      </c>
    </row>
    <row r="343" spans="2:40" x14ac:dyDescent="0.25">
      <c r="B343" s="142">
        <f t="shared" si="59"/>
        <v>296</v>
      </c>
      <c r="C343" s="17">
        <v>20200520</v>
      </c>
      <c r="D343" s="16" t="s">
        <v>3</v>
      </c>
      <c r="E343" s="16" t="s">
        <v>1113</v>
      </c>
      <c r="F343" s="80" t="s">
        <v>1160</v>
      </c>
      <c r="G343" s="18">
        <v>1329906</v>
      </c>
      <c r="H343" s="57" t="s">
        <v>61</v>
      </c>
      <c r="I343" s="16" t="s">
        <v>1009</v>
      </c>
      <c r="J343" s="57" t="s">
        <v>61</v>
      </c>
      <c r="K343" s="16" t="s">
        <v>353</v>
      </c>
      <c r="L343" s="17" t="s">
        <v>165</v>
      </c>
      <c r="M343" s="16" t="s">
        <v>1125</v>
      </c>
      <c r="N343" s="16" t="s">
        <v>419</v>
      </c>
      <c r="O343" s="18" t="s">
        <v>61</v>
      </c>
      <c r="P343" s="18" t="s">
        <v>1127</v>
      </c>
      <c r="Q343" s="19"/>
      <c r="R343" s="57" t="s">
        <v>61</v>
      </c>
      <c r="S343" s="16" t="s">
        <v>69</v>
      </c>
      <c r="T343" s="16"/>
      <c r="U343" s="16"/>
      <c r="V343" s="16">
        <v>476</v>
      </c>
      <c r="W343" s="16">
        <f t="shared" si="62"/>
        <v>476</v>
      </c>
      <c r="X343" s="16"/>
      <c r="Y343" s="16">
        <f>ROUNDDOWN(W343/HLOOKUP(D343,Table!$C$3:$D$4,2,0)*8,2)</f>
        <v>8.4600000000000009</v>
      </c>
      <c r="Z343" s="16"/>
      <c r="AA343" s="16"/>
      <c r="AB343" s="20"/>
      <c r="AC343" s="20">
        <v>43971</v>
      </c>
      <c r="AD343" s="20">
        <v>43985</v>
      </c>
      <c r="AE343" s="20"/>
      <c r="AF343" s="20"/>
      <c r="AG343" s="20"/>
      <c r="AH343" s="32"/>
      <c r="AI343" s="32"/>
      <c r="AJ343" s="32"/>
      <c r="AK343" s="20"/>
      <c r="AL343" s="16"/>
      <c r="AM343" s="16"/>
      <c r="AN343" s="98" t="s">
        <v>1126</v>
      </c>
    </row>
    <row r="344" spans="2:40" x14ac:dyDescent="0.25">
      <c r="B344" s="142">
        <f t="shared" si="59"/>
        <v>297</v>
      </c>
      <c r="C344" s="17">
        <v>20200520</v>
      </c>
      <c r="D344" s="16" t="s">
        <v>3</v>
      </c>
      <c r="E344" s="16" t="s">
        <v>1113</v>
      </c>
      <c r="F344" s="80" t="s">
        <v>1161</v>
      </c>
      <c r="G344" s="18">
        <v>1329906</v>
      </c>
      <c r="H344" s="57" t="s">
        <v>61</v>
      </c>
      <c r="I344" s="16" t="s">
        <v>1120</v>
      </c>
      <c r="J344" s="57" t="s">
        <v>61</v>
      </c>
      <c r="K344" s="16" t="s">
        <v>353</v>
      </c>
      <c r="L344" s="17" t="s">
        <v>165</v>
      </c>
      <c r="M344" s="16" t="s">
        <v>1125</v>
      </c>
      <c r="N344" s="16" t="s">
        <v>419</v>
      </c>
      <c r="O344" s="18" t="s">
        <v>61</v>
      </c>
      <c r="P344" s="18" t="s">
        <v>1127</v>
      </c>
      <c r="Q344" s="19"/>
      <c r="R344" s="57" t="s">
        <v>61</v>
      </c>
      <c r="S344" s="16" t="s">
        <v>68</v>
      </c>
      <c r="T344" s="16"/>
      <c r="U344" s="16"/>
      <c r="V344" s="16">
        <v>424</v>
      </c>
      <c r="W344" s="16">
        <f t="shared" si="62"/>
        <v>424</v>
      </c>
      <c r="X344" s="16"/>
      <c r="Y344" s="16">
        <f>ROUNDDOWN(W344/HLOOKUP(D344,Table!$C$3:$D$4,2,0)*8,2)</f>
        <v>7.53</v>
      </c>
      <c r="Z344" s="16"/>
      <c r="AA344" s="16"/>
      <c r="AB344" s="20"/>
      <c r="AC344" s="20">
        <v>43971</v>
      </c>
      <c r="AD344" s="20">
        <v>43985</v>
      </c>
      <c r="AE344" s="20"/>
      <c r="AF344" s="20"/>
      <c r="AG344" s="20"/>
      <c r="AH344" s="32"/>
      <c r="AI344" s="32"/>
      <c r="AJ344" s="32"/>
      <c r="AK344" s="20"/>
      <c r="AL344" s="16"/>
      <c r="AM344" s="16"/>
      <c r="AN344" s="98" t="s">
        <v>1126</v>
      </c>
    </row>
    <row r="345" spans="2:40" s="199" customFormat="1" x14ac:dyDescent="0.25">
      <c r="B345" s="142">
        <f>B344+1</f>
        <v>298</v>
      </c>
      <c r="C345" s="196">
        <v>20200520</v>
      </c>
      <c r="D345" s="196" t="s">
        <v>3</v>
      </c>
      <c r="E345" s="196" t="s">
        <v>1113</v>
      </c>
      <c r="F345" s="201" t="s">
        <v>1162</v>
      </c>
      <c r="G345" s="200">
        <v>1329906</v>
      </c>
      <c r="H345" s="57" t="s">
        <v>61</v>
      </c>
      <c r="I345" s="196" t="s">
        <v>1121</v>
      </c>
      <c r="J345" s="57" t="s">
        <v>61</v>
      </c>
      <c r="K345" s="196" t="s">
        <v>353</v>
      </c>
      <c r="L345" s="196" t="s">
        <v>165</v>
      </c>
      <c r="M345" s="196" t="s">
        <v>1125</v>
      </c>
      <c r="N345" s="196" t="s">
        <v>419</v>
      </c>
      <c r="O345" s="200" t="s">
        <v>61</v>
      </c>
      <c r="P345" s="200" t="s">
        <v>1127</v>
      </c>
      <c r="Q345" s="19"/>
      <c r="R345" s="57" t="s">
        <v>61</v>
      </c>
      <c r="S345" s="196" t="s">
        <v>68</v>
      </c>
      <c r="T345" s="196"/>
      <c r="U345" s="196"/>
      <c r="V345" s="196">
        <v>948</v>
      </c>
      <c r="W345" s="196">
        <f>V345</f>
        <v>948</v>
      </c>
      <c r="X345" s="196">
        <f>W345</f>
        <v>948</v>
      </c>
      <c r="Y345" s="196">
        <f>ROUNDDOWN(W345/HLOOKUP(D345,Table!$C$3:$D$4,2,0)*8,2)</f>
        <v>16.850000000000001</v>
      </c>
      <c r="Z345" s="196">
        <f>Y345</f>
        <v>16.850000000000001</v>
      </c>
      <c r="AA345" s="196" t="s">
        <v>18</v>
      </c>
      <c r="AB345" s="20"/>
      <c r="AC345" s="197">
        <v>43971</v>
      </c>
      <c r="AD345" s="197">
        <v>43976</v>
      </c>
      <c r="AE345" s="197">
        <v>43972</v>
      </c>
      <c r="AF345" s="197">
        <v>43972</v>
      </c>
      <c r="AG345" s="197" t="s">
        <v>335</v>
      </c>
      <c r="AH345" s="198">
        <v>1</v>
      </c>
      <c r="AI345" s="198">
        <v>1</v>
      </c>
      <c r="AJ345" s="198">
        <v>1</v>
      </c>
      <c r="AK345" s="197" t="s">
        <v>165</v>
      </c>
      <c r="AL345" s="196"/>
      <c r="AM345" s="196"/>
      <c r="AN345" s="98" t="s">
        <v>1126</v>
      </c>
    </row>
    <row r="346" spans="2:40" x14ac:dyDescent="0.25">
      <c r="B346" s="142">
        <f t="shared" si="59"/>
        <v>299</v>
      </c>
      <c r="C346" s="17">
        <v>20200520</v>
      </c>
      <c r="D346" s="16" t="s">
        <v>3</v>
      </c>
      <c r="E346" s="16" t="s">
        <v>1113</v>
      </c>
      <c r="F346" s="80" t="s">
        <v>1163</v>
      </c>
      <c r="G346" s="18">
        <v>1329906</v>
      </c>
      <c r="H346" s="57" t="s">
        <v>61</v>
      </c>
      <c r="I346" s="16" t="s">
        <v>694</v>
      </c>
      <c r="J346" s="57" t="s">
        <v>61</v>
      </c>
      <c r="K346" s="16" t="s">
        <v>353</v>
      </c>
      <c r="L346" s="17" t="s">
        <v>165</v>
      </c>
      <c r="M346" s="16" t="s">
        <v>1125</v>
      </c>
      <c r="N346" s="16" t="s">
        <v>419</v>
      </c>
      <c r="O346" s="18" t="s">
        <v>61</v>
      </c>
      <c r="P346" s="18" t="s">
        <v>1127</v>
      </c>
      <c r="Q346" s="19"/>
      <c r="R346" s="57" t="s">
        <v>61</v>
      </c>
      <c r="S346" s="16" t="s">
        <v>70</v>
      </c>
      <c r="T346" s="16"/>
      <c r="U346" s="16"/>
      <c r="V346" s="16">
        <v>360</v>
      </c>
      <c r="W346" s="16">
        <f t="shared" si="62"/>
        <v>360</v>
      </c>
      <c r="X346" s="16">
        <f t="shared" ref="X346:X352" si="63">W346</f>
        <v>360</v>
      </c>
      <c r="Y346" s="16">
        <f>ROUNDDOWN(W346/HLOOKUP(D346,Table!$C$3:$D$4,2,0)*8,2)</f>
        <v>6.4</v>
      </c>
      <c r="Z346" s="16">
        <v>0.5</v>
      </c>
      <c r="AA346" s="16" t="s">
        <v>18</v>
      </c>
      <c r="AB346" s="20"/>
      <c r="AC346" s="20">
        <v>43971</v>
      </c>
      <c r="AD346" s="162">
        <v>43976</v>
      </c>
      <c r="AE346" s="20">
        <v>43971</v>
      </c>
      <c r="AF346" s="20">
        <v>43971</v>
      </c>
      <c r="AG346" s="20" t="s">
        <v>335</v>
      </c>
      <c r="AH346" s="32">
        <v>1</v>
      </c>
      <c r="AI346" s="32">
        <v>1</v>
      </c>
      <c r="AJ346" s="32">
        <v>1</v>
      </c>
      <c r="AK346" s="20" t="s">
        <v>165</v>
      </c>
      <c r="AL346" s="183" t="s">
        <v>61</v>
      </c>
      <c r="AM346" s="183" t="s">
        <v>61</v>
      </c>
      <c r="AN346" s="98" t="s">
        <v>1126</v>
      </c>
    </row>
    <row r="347" spans="2:40" x14ac:dyDescent="0.25">
      <c r="B347" s="142">
        <f t="shared" si="59"/>
        <v>300</v>
      </c>
      <c r="C347" s="17">
        <v>20200520</v>
      </c>
      <c r="D347" s="16" t="s">
        <v>3</v>
      </c>
      <c r="E347" s="16" t="s">
        <v>1113</v>
      </c>
      <c r="F347" s="80" t="s">
        <v>1164</v>
      </c>
      <c r="G347" s="18">
        <v>1329906</v>
      </c>
      <c r="H347" s="57" t="s">
        <v>61</v>
      </c>
      <c r="I347" s="16" t="s">
        <v>1122</v>
      </c>
      <c r="J347" s="57" t="s">
        <v>61</v>
      </c>
      <c r="K347" s="16" t="s">
        <v>353</v>
      </c>
      <c r="L347" s="17" t="s">
        <v>165</v>
      </c>
      <c r="M347" s="16" t="s">
        <v>1125</v>
      </c>
      <c r="N347" s="16" t="s">
        <v>419</v>
      </c>
      <c r="O347" s="18" t="s">
        <v>61</v>
      </c>
      <c r="P347" s="18" t="s">
        <v>1127</v>
      </c>
      <c r="Q347" s="19"/>
      <c r="R347" s="57" t="s">
        <v>61</v>
      </c>
      <c r="S347" s="16" t="s">
        <v>70</v>
      </c>
      <c r="T347" s="16"/>
      <c r="U347" s="16"/>
      <c r="V347" s="16">
        <v>604</v>
      </c>
      <c r="W347" s="16">
        <f t="shared" si="62"/>
        <v>604</v>
      </c>
      <c r="X347" s="16">
        <f t="shared" si="63"/>
        <v>604</v>
      </c>
      <c r="Y347" s="16">
        <f>ROUNDDOWN(W347/HLOOKUP(D347,Table!$C$3:$D$4,2,0)*8,2)</f>
        <v>10.73</v>
      </c>
      <c r="Z347" s="16">
        <v>1</v>
      </c>
      <c r="AA347" s="16" t="s">
        <v>18</v>
      </c>
      <c r="AB347" s="20"/>
      <c r="AC347" s="20">
        <v>43971</v>
      </c>
      <c r="AD347" s="162">
        <v>43976</v>
      </c>
      <c r="AE347" s="20">
        <v>43971</v>
      </c>
      <c r="AF347" s="20">
        <v>43971</v>
      </c>
      <c r="AG347" s="20" t="s">
        <v>335</v>
      </c>
      <c r="AH347" s="32">
        <v>1</v>
      </c>
      <c r="AI347" s="32">
        <v>1</v>
      </c>
      <c r="AJ347" s="32">
        <v>1</v>
      </c>
      <c r="AK347" s="20" t="s">
        <v>165</v>
      </c>
      <c r="AL347" s="183" t="s">
        <v>61</v>
      </c>
      <c r="AM347" s="183" t="s">
        <v>61</v>
      </c>
      <c r="AN347" s="98" t="s">
        <v>1126</v>
      </c>
    </row>
    <row r="348" spans="2:40" x14ac:dyDescent="0.25">
      <c r="B348" s="142">
        <f t="shared" si="59"/>
        <v>301</v>
      </c>
      <c r="C348" s="17">
        <v>20200520</v>
      </c>
      <c r="D348" s="16" t="s">
        <v>3</v>
      </c>
      <c r="E348" s="16" t="s">
        <v>1113</v>
      </c>
      <c r="F348" s="80" t="s">
        <v>1165</v>
      </c>
      <c r="G348" s="18">
        <v>1329906</v>
      </c>
      <c r="H348" s="57" t="s">
        <v>61</v>
      </c>
      <c r="I348" s="16" t="s">
        <v>536</v>
      </c>
      <c r="J348" s="57" t="s">
        <v>61</v>
      </c>
      <c r="K348" s="16" t="s">
        <v>353</v>
      </c>
      <c r="L348" s="17" t="s">
        <v>165</v>
      </c>
      <c r="M348" s="16" t="s">
        <v>1125</v>
      </c>
      <c r="N348" s="16" t="s">
        <v>419</v>
      </c>
      <c r="O348" s="18" t="s">
        <v>61</v>
      </c>
      <c r="P348" s="18" t="s">
        <v>1127</v>
      </c>
      <c r="Q348" s="19"/>
      <c r="R348" s="57" t="s">
        <v>61</v>
      </c>
      <c r="S348" s="16" t="s">
        <v>69</v>
      </c>
      <c r="T348" s="16"/>
      <c r="U348" s="16"/>
      <c r="V348" s="16">
        <v>708</v>
      </c>
      <c r="W348" s="16">
        <f t="shared" si="62"/>
        <v>708</v>
      </c>
      <c r="X348" s="16">
        <f t="shared" si="63"/>
        <v>708</v>
      </c>
      <c r="Y348" s="16">
        <f>ROUNDDOWN(W348/HLOOKUP(D348,Table!$C$3:$D$4,2,0)*8,2)</f>
        <v>12.58</v>
      </c>
      <c r="Z348" s="16">
        <v>8</v>
      </c>
      <c r="AA348" s="16" t="s">
        <v>18</v>
      </c>
      <c r="AB348" s="20"/>
      <c r="AC348" s="20">
        <v>43971</v>
      </c>
      <c r="AD348" s="162">
        <v>43976</v>
      </c>
      <c r="AE348" s="20">
        <v>43972</v>
      </c>
      <c r="AF348" s="20">
        <v>43972</v>
      </c>
      <c r="AG348" s="20" t="s">
        <v>335</v>
      </c>
      <c r="AH348" s="32">
        <v>1</v>
      </c>
      <c r="AI348" s="32">
        <v>1</v>
      </c>
      <c r="AJ348" s="32">
        <v>1</v>
      </c>
      <c r="AK348" s="20" t="s">
        <v>165</v>
      </c>
      <c r="AL348" s="16"/>
      <c r="AM348" s="16"/>
      <c r="AN348" s="98" t="s">
        <v>1126</v>
      </c>
    </row>
    <row r="349" spans="2:40" x14ac:dyDescent="0.25">
      <c r="B349" s="142">
        <f t="shared" ref="B349:B357" si="64">B348+1</f>
        <v>302</v>
      </c>
      <c r="C349" s="17">
        <v>20200520</v>
      </c>
      <c r="D349" s="16" t="s">
        <v>3</v>
      </c>
      <c r="E349" s="92" t="s">
        <v>1113</v>
      </c>
      <c r="F349" s="80" t="s">
        <v>1162</v>
      </c>
      <c r="G349" s="92">
        <v>1470767</v>
      </c>
      <c r="H349" s="57" t="s">
        <v>61</v>
      </c>
      <c r="I349" s="92" t="s">
        <v>1121</v>
      </c>
      <c r="J349" s="57" t="s">
        <v>61</v>
      </c>
      <c r="K349" s="16" t="s">
        <v>353</v>
      </c>
      <c r="L349" s="17" t="s">
        <v>165</v>
      </c>
      <c r="M349" s="16" t="s">
        <v>1125</v>
      </c>
      <c r="N349" s="92" t="s">
        <v>419</v>
      </c>
      <c r="O349" s="18" t="s">
        <v>61</v>
      </c>
      <c r="P349" s="86" t="s">
        <v>1140</v>
      </c>
      <c r="Q349" s="19"/>
      <c r="R349" s="57" t="s">
        <v>61</v>
      </c>
      <c r="S349" s="16" t="s">
        <v>69</v>
      </c>
      <c r="T349" s="16"/>
      <c r="U349" s="16"/>
      <c r="V349" s="92">
        <v>474</v>
      </c>
      <c r="W349" s="16">
        <f>V349</f>
        <v>474</v>
      </c>
      <c r="X349" s="16">
        <f t="shared" si="63"/>
        <v>474</v>
      </c>
      <c r="Y349" s="16">
        <f>ROUNDDOWN(W349/HLOOKUP(D349,Table!$C$3:$D$4,2,0)*8,2)</f>
        <v>8.42</v>
      </c>
      <c r="Z349" s="16">
        <v>4</v>
      </c>
      <c r="AA349" s="16" t="s">
        <v>18</v>
      </c>
      <c r="AB349" s="20"/>
      <c r="AC349" s="20">
        <v>43971</v>
      </c>
      <c r="AD349" s="162">
        <v>43976</v>
      </c>
      <c r="AE349" s="20">
        <v>43972</v>
      </c>
      <c r="AF349" s="20">
        <v>43972</v>
      </c>
      <c r="AG349" s="20" t="s">
        <v>335</v>
      </c>
      <c r="AH349" s="32">
        <v>1</v>
      </c>
      <c r="AI349" s="32">
        <v>1</v>
      </c>
      <c r="AJ349" s="32">
        <v>1</v>
      </c>
      <c r="AK349" s="20" t="s">
        <v>165</v>
      </c>
      <c r="AL349" s="16"/>
      <c r="AM349" s="16"/>
      <c r="AN349" s="98" t="s">
        <v>1126</v>
      </c>
    </row>
    <row r="350" spans="2:40" x14ac:dyDescent="0.25">
      <c r="B350" s="142">
        <f t="shared" si="64"/>
        <v>303</v>
      </c>
      <c r="C350" s="17">
        <v>20200520</v>
      </c>
      <c r="D350" s="16" t="s">
        <v>3</v>
      </c>
      <c r="E350" s="92" t="s">
        <v>1135</v>
      </c>
      <c r="F350" s="80" t="s">
        <v>1169</v>
      </c>
      <c r="G350" s="92">
        <v>1470769</v>
      </c>
      <c r="H350" s="57" t="s">
        <v>61</v>
      </c>
      <c r="I350" s="92" t="s">
        <v>1121</v>
      </c>
      <c r="J350" s="57" t="s">
        <v>61</v>
      </c>
      <c r="K350" s="16" t="s">
        <v>353</v>
      </c>
      <c r="L350" s="17" t="s">
        <v>165</v>
      </c>
      <c r="M350" s="92" t="s">
        <v>1138</v>
      </c>
      <c r="N350" s="92" t="s">
        <v>1139</v>
      </c>
      <c r="O350" s="18" t="s">
        <v>61</v>
      </c>
      <c r="P350" s="86" t="s">
        <v>1140</v>
      </c>
      <c r="Q350" s="19"/>
      <c r="R350" s="57" t="s">
        <v>61</v>
      </c>
      <c r="S350" s="16" t="s">
        <v>69</v>
      </c>
      <c r="T350" s="16"/>
      <c r="U350" s="16"/>
      <c r="V350" s="92">
        <v>474</v>
      </c>
      <c r="W350" s="16">
        <f>V350</f>
        <v>474</v>
      </c>
      <c r="X350" s="16">
        <f t="shared" si="63"/>
        <v>474</v>
      </c>
      <c r="Y350" s="16">
        <f>ROUNDDOWN(W350/HLOOKUP(D350,Table!$C$3:$D$4,2,0)*8,2)</f>
        <v>8.42</v>
      </c>
      <c r="Z350" s="16">
        <v>4</v>
      </c>
      <c r="AA350" s="16" t="s">
        <v>18</v>
      </c>
      <c r="AB350" s="20"/>
      <c r="AC350" s="20">
        <v>43971</v>
      </c>
      <c r="AD350" s="162">
        <v>43976</v>
      </c>
      <c r="AE350" s="20">
        <v>43972</v>
      </c>
      <c r="AF350" s="20">
        <v>43972</v>
      </c>
      <c r="AG350" s="20" t="s">
        <v>335</v>
      </c>
      <c r="AH350" s="32">
        <v>1</v>
      </c>
      <c r="AI350" s="32">
        <v>1</v>
      </c>
      <c r="AJ350" s="32">
        <v>1</v>
      </c>
      <c r="AK350" s="20" t="s">
        <v>165</v>
      </c>
      <c r="AL350" s="16"/>
      <c r="AM350" s="16"/>
      <c r="AN350" s="98" t="s">
        <v>1126</v>
      </c>
    </row>
    <row r="351" spans="2:40" x14ac:dyDescent="0.25">
      <c r="B351" s="142">
        <f t="shared" si="64"/>
        <v>304</v>
      </c>
      <c r="C351" s="17">
        <v>20200520</v>
      </c>
      <c r="D351" s="16" t="s">
        <v>3</v>
      </c>
      <c r="E351" s="92" t="s">
        <v>1135</v>
      </c>
      <c r="F351" s="80" t="s">
        <v>1181</v>
      </c>
      <c r="G351" s="92">
        <v>1459843</v>
      </c>
      <c r="H351" s="57" t="s">
        <v>61</v>
      </c>
      <c r="I351" s="92" t="s">
        <v>1136</v>
      </c>
      <c r="J351" s="57" t="s">
        <v>61</v>
      </c>
      <c r="K351" s="16" t="s">
        <v>353</v>
      </c>
      <c r="L351" s="17" t="s">
        <v>165</v>
      </c>
      <c r="M351" s="16" t="s">
        <v>1138</v>
      </c>
      <c r="N351" s="92" t="s">
        <v>1139</v>
      </c>
      <c r="O351" s="18" t="s">
        <v>61</v>
      </c>
      <c r="P351" s="86" t="s">
        <v>1141</v>
      </c>
      <c r="Q351" s="19"/>
      <c r="R351" s="57" t="s">
        <v>61</v>
      </c>
      <c r="S351" s="16" t="s">
        <v>68</v>
      </c>
      <c r="T351" s="16"/>
      <c r="U351" s="16"/>
      <c r="V351" s="92">
        <v>20</v>
      </c>
      <c r="W351" s="16">
        <f>V351</f>
        <v>20</v>
      </c>
      <c r="X351" s="16">
        <f t="shared" si="63"/>
        <v>20</v>
      </c>
      <c r="Y351" s="16">
        <f>ROUNDDOWN(W351/HLOOKUP(D351,Table!$C$3:$D$4,2,0)*8,2)</f>
        <v>0.35</v>
      </c>
      <c r="Z351" s="16">
        <f>Y351</f>
        <v>0.35</v>
      </c>
      <c r="AA351" s="16" t="s">
        <v>18</v>
      </c>
      <c r="AB351" s="20"/>
      <c r="AC351" s="20">
        <v>43971</v>
      </c>
      <c r="AD351" s="162">
        <v>43976</v>
      </c>
      <c r="AE351" s="20">
        <v>43972</v>
      </c>
      <c r="AF351" s="20">
        <v>43972</v>
      </c>
      <c r="AG351" s="20" t="s">
        <v>335</v>
      </c>
      <c r="AH351" s="32">
        <v>1</v>
      </c>
      <c r="AI351" s="32">
        <v>1</v>
      </c>
      <c r="AJ351" s="32">
        <v>1</v>
      </c>
      <c r="AK351" s="20" t="s">
        <v>165</v>
      </c>
      <c r="AL351" s="16"/>
      <c r="AM351" s="16"/>
      <c r="AN351" s="98" t="s">
        <v>1126</v>
      </c>
    </row>
    <row r="352" spans="2:40" x14ac:dyDescent="0.25">
      <c r="B352" s="142">
        <f t="shared" si="64"/>
        <v>305</v>
      </c>
      <c r="C352" s="17">
        <v>20200520</v>
      </c>
      <c r="D352" s="16" t="s">
        <v>3</v>
      </c>
      <c r="E352" s="92" t="s">
        <v>1135</v>
      </c>
      <c r="F352" s="80" t="s">
        <v>1180</v>
      </c>
      <c r="G352" s="92">
        <v>1459843</v>
      </c>
      <c r="H352" s="57" t="s">
        <v>61</v>
      </c>
      <c r="I352" s="92" t="s">
        <v>1137</v>
      </c>
      <c r="J352" s="57" t="s">
        <v>61</v>
      </c>
      <c r="K352" s="16" t="s">
        <v>353</v>
      </c>
      <c r="L352" s="17" t="s">
        <v>165</v>
      </c>
      <c r="M352" s="16" t="s">
        <v>1138</v>
      </c>
      <c r="N352" s="92" t="s">
        <v>1139</v>
      </c>
      <c r="O352" s="18" t="s">
        <v>61</v>
      </c>
      <c r="P352" s="86" t="s">
        <v>1141</v>
      </c>
      <c r="Q352" s="19"/>
      <c r="R352" s="57" t="s">
        <v>61</v>
      </c>
      <c r="S352" s="16" t="s">
        <v>68</v>
      </c>
      <c r="T352" s="16"/>
      <c r="U352" s="16"/>
      <c r="V352" s="92">
        <v>64</v>
      </c>
      <c r="W352" s="16">
        <f>V352</f>
        <v>64</v>
      </c>
      <c r="X352" s="16">
        <f t="shared" si="63"/>
        <v>64</v>
      </c>
      <c r="Y352" s="16">
        <f>ROUNDDOWN(W352/HLOOKUP(D352,Table!$C$3:$D$4,2,0)*8,2)</f>
        <v>1.1299999999999999</v>
      </c>
      <c r="Z352" s="16">
        <f>Y352</f>
        <v>1.1299999999999999</v>
      </c>
      <c r="AA352" s="16" t="s">
        <v>18</v>
      </c>
      <c r="AB352" s="20"/>
      <c r="AC352" s="20">
        <v>43971</v>
      </c>
      <c r="AD352" s="162">
        <v>43976</v>
      </c>
      <c r="AE352" s="20">
        <v>43972</v>
      </c>
      <c r="AF352" s="20">
        <v>43972</v>
      </c>
      <c r="AG352" s="20" t="s">
        <v>335</v>
      </c>
      <c r="AH352" s="32">
        <v>1</v>
      </c>
      <c r="AI352" s="32">
        <v>1</v>
      </c>
      <c r="AJ352" s="32">
        <v>1</v>
      </c>
      <c r="AK352" s="20" t="s">
        <v>165</v>
      </c>
      <c r="AL352" s="16"/>
      <c r="AM352" s="16"/>
      <c r="AN352" s="98" t="s">
        <v>1126</v>
      </c>
    </row>
    <row r="353" spans="2:40" x14ac:dyDescent="0.25">
      <c r="B353" s="142">
        <f t="shared" si="64"/>
        <v>306</v>
      </c>
      <c r="C353" s="17">
        <v>20200520</v>
      </c>
      <c r="D353" s="16" t="s">
        <v>3</v>
      </c>
      <c r="E353" s="16" t="s">
        <v>1113</v>
      </c>
      <c r="F353" s="80" t="s">
        <v>1166</v>
      </c>
      <c r="G353" s="18">
        <v>1373116</v>
      </c>
      <c r="H353" s="57" t="s">
        <v>61</v>
      </c>
      <c r="I353" s="16" t="s">
        <v>1123</v>
      </c>
      <c r="J353" s="57" t="s">
        <v>61</v>
      </c>
      <c r="K353" s="16" t="s">
        <v>353</v>
      </c>
      <c r="L353" s="17" t="s">
        <v>165</v>
      </c>
      <c r="M353" s="16" t="s">
        <v>1125</v>
      </c>
      <c r="N353" s="16" t="s">
        <v>419</v>
      </c>
      <c r="O353" s="18" t="s">
        <v>61</v>
      </c>
      <c r="P353" s="18" t="s">
        <v>1127</v>
      </c>
      <c r="Q353" s="19"/>
      <c r="R353" s="57" t="s">
        <v>61</v>
      </c>
      <c r="S353" s="16" t="s">
        <v>67</v>
      </c>
      <c r="T353" s="16"/>
      <c r="U353" s="16"/>
      <c r="V353" s="16">
        <v>2892</v>
      </c>
      <c r="W353" s="16">
        <f t="shared" si="62"/>
        <v>2892</v>
      </c>
      <c r="X353" s="16"/>
      <c r="Y353" s="16">
        <f>ROUNDDOWN(W353/HLOOKUP(D353,Table!$C$3:$D$4,2,0)*8,2)</f>
        <v>51.41</v>
      </c>
      <c r="Z353" s="16"/>
      <c r="AA353" s="16"/>
      <c r="AB353" s="20"/>
      <c r="AC353" s="20">
        <v>43971</v>
      </c>
      <c r="AD353" s="20">
        <v>43985</v>
      </c>
      <c r="AE353" s="20"/>
      <c r="AF353" s="20"/>
      <c r="AG353" s="20"/>
      <c r="AH353" s="32"/>
      <c r="AI353" s="32"/>
      <c r="AJ353" s="32"/>
      <c r="AK353" s="20"/>
      <c r="AL353" s="16"/>
      <c r="AM353" s="16"/>
      <c r="AN353" s="98" t="s">
        <v>1126</v>
      </c>
    </row>
    <row r="354" spans="2:40" x14ac:dyDescent="0.25">
      <c r="B354" s="142">
        <f t="shared" si="64"/>
        <v>307</v>
      </c>
      <c r="C354" s="17">
        <v>20200520</v>
      </c>
      <c r="D354" s="16" t="s">
        <v>3</v>
      </c>
      <c r="E354" s="16" t="s">
        <v>1113</v>
      </c>
      <c r="F354" s="80" t="s">
        <v>1167</v>
      </c>
      <c r="G354" s="18">
        <v>1373116</v>
      </c>
      <c r="H354" s="57" t="s">
        <v>61</v>
      </c>
      <c r="I354" s="16" t="s">
        <v>1124</v>
      </c>
      <c r="J354" s="57" t="s">
        <v>61</v>
      </c>
      <c r="K354" s="16" t="s">
        <v>353</v>
      </c>
      <c r="L354" s="17" t="s">
        <v>165</v>
      </c>
      <c r="M354" s="16" t="s">
        <v>1125</v>
      </c>
      <c r="N354" s="16" t="s">
        <v>419</v>
      </c>
      <c r="O354" s="18" t="s">
        <v>61</v>
      </c>
      <c r="P354" s="18" t="s">
        <v>1127</v>
      </c>
      <c r="Q354" s="19"/>
      <c r="R354" s="57" t="s">
        <v>61</v>
      </c>
      <c r="S354" s="16" t="s">
        <v>69</v>
      </c>
      <c r="T354" s="16"/>
      <c r="U354" s="16"/>
      <c r="V354" s="16">
        <v>808</v>
      </c>
      <c r="W354" s="16">
        <f t="shared" si="62"/>
        <v>808</v>
      </c>
      <c r="X354" s="16"/>
      <c r="Y354" s="16">
        <f>ROUNDDOWN(W354/HLOOKUP(D354,Table!$C$3:$D$4,2,0)*8,2)</f>
        <v>14.36</v>
      </c>
      <c r="Z354" s="16"/>
      <c r="AA354" s="16"/>
      <c r="AB354" s="20"/>
      <c r="AC354" s="20">
        <v>43971</v>
      </c>
      <c r="AD354" s="20">
        <v>43985</v>
      </c>
      <c r="AE354" s="20"/>
      <c r="AF354" s="20"/>
      <c r="AG354" s="20"/>
      <c r="AH354" s="32"/>
      <c r="AI354" s="32"/>
      <c r="AJ354" s="32"/>
      <c r="AK354" s="20"/>
      <c r="AL354" s="16"/>
      <c r="AM354" s="16"/>
      <c r="AN354" s="98" t="s">
        <v>1126</v>
      </c>
    </row>
    <row r="355" spans="2:40" x14ac:dyDescent="0.25">
      <c r="B355" s="130">
        <f t="shared" si="64"/>
        <v>308</v>
      </c>
      <c r="C355" s="17">
        <v>20200520</v>
      </c>
      <c r="D355" s="16" t="s">
        <v>3</v>
      </c>
      <c r="E355" s="16" t="s">
        <v>1144</v>
      </c>
      <c r="F355" s="80" t="s">
        <v>1182</v>
      </c>
      <c r="G355" s="18">
        <v>1452940</v>
      </c>
      <c r="H355" s="57" t="s">
        <v>61</v>
      </c>
      <c r="I355" s="16" t="s">
        <v>183</v>
      </c>
      <c r="J355" s="57" t="s">
        <v>61</v>
      </c>
      <c r="K355" s="16" t="s">
        <v>161</v>
      </c>
      <c r="L355" s="16" t="s">
        <v>165</v>
      </c>
      <c r="M355" s="16" t="s">
        <v>1146</v>
      </c>
      <c r="N355" s="16" t="s">
        <v>1148</v>
      </c>
      <c r="O355" s="18" t="s">
        <v>61</v>
      </c>
      <c r="P355" s="18" t="s">
        <v>493</v>
      </c>
      <c r="Q355" s="19"/>
      <c r="R355" s="57" t="s">
        <v>61</v>
      </c>
      <c r="S355" s="16" t="s">
        <v>64</v>
      </c>
      <c r="T355" s="16"/>
      <c r="U355" s="16"/>
      <c r="V355" s="16">
        <v>35</v>
      </c>
      <c r="W355" s="16">
        <f t="shared" ref="W355:W360" si="65">V355</f>
        <v>35</v>
      </c>
      <c r="X355" s="16">
        <f>W355</f>
        <v>35</v>
      </c>
      <c r="Y355" s="16">
        <f>ROUNDDOWN(W355/HLOOKUP(D355,Table!$C$3:$D$4,2,0)*8,2)</f>
        <v>0.62</v>
      </c>
      <c r="Z355" s="16">
        <v>0.5</v>
      </c>
      <c r="AA355" s="16" t="s">
        <v>18</v>
      </c>
      <c r="AB355" s="20"/>
      <c r="AC355" s="20">
        <v>43971</v>
      </c>
      <c r="AD355" s="162">
        <v>43973</v>
      </c>
      <c r="AE355" s="20">
        <v>43971</v>
      </c>
      <c r="AF355" s="20">
        <v>43971</v>
      </c>
      <c r="AG355" s="20" t="s">
        <v>335</v>
      </c>
      <c r="AH355" s="32">
        <v>1</v>
      </c>
      <c r="AI355" s="32">
        <v>1</v>
      </c>
      <c r="AJ355" s="32">
        <v>1</v>
      </c>
      <c r="AK355" s="20" t="s">
        <v>165</v>
      </c>
      <c r="AL355" s="16"/>
      <c r="AM355" s="16"/>
      <c r="AN355" s="16"/>
    </row>
    <row r="356" spans="2:40" x14ac:dyDescent="0.25">
      <c r="B356" s="130">
        <f t="shared" si="64"/>
        <v>309</v>
      </c>
      <c r="C356" s="17">
        <v>20200520</v>
      </c>
      <c r="D356" s="16" t="s">
        <v>3</v>
      </c>
      <c r="E356" s="16" t="s">
        <v>1144</v>
      </c>
      <c r="F356" s="80" t="s">
        <v>1183</v>
      </c>
      <c r="G356" s="18">
        <v>1452940</v>
      </c>
      <c r="H356" s="57" t="s">
        <v>61</v>
      </c>
      <c r="I356" s="16" t="s">
        <v>791</v>
      </c>
      <c r="J356" s="57" t="s">
        <v>61</v>
      </c>
      <c r="K356" s="16" t="s">
        <v>161</v>
      </c>
      <c r="L356" s="16" t="s">
        <v>165</v>
      </c>
      <c r="M356" s="16" t="s">
        <v>1146</v>
      </c>
      <c r="N356" s="16" t="s">
        <v>1148</v>
      </c>
      <c r="O356" s="18" t="s">
        <v>61</v>
      </c>
      <c r="P356" s="18" t="s">
        <v>493</v>
      </c>
      <c r="Q356" s="19"/>
      <c r="R356" s="57" t="s">
        <v>61</v>
      </c>
      <c r="S356" s="16" t="s">
        <v>64</v>
      </c>
      <c r="T356" s="16"/>
      <c r="U356" s="16"/>
      <c r="V356" s="16">
        <v>249</v>
      </c>
      <c r="W356" s="16">
        <f t="shared" si="65"/>
        <v>249</v>
      </c>
      <c r="X356" s="16">
        <f>W356</f>
        <v>249</v>
      </c>
      <c r="Y356" s="16">
        <f>ROUNDDOWN(W356/HLOOKUP(D356,Table!$C$3:$D$4,2,0)*8,2)</f>
        <v>4.42</v>
      </c>
      <c r="Z356" s="16">
        <v>1</v>
      </c>
      <c r="AA356" s="16" t="s">
        <v>18</v>
      </c>
      <c r="AB356" s="20"/>
      <c r="AC356" s="20">
        <v>43971</v>
      </c>
      <c r="AD356" s="162">
        <v>43973</v>
      </c>
      <c r="AE356" s="20">
        <v>43971</v>
      </c>
      <c r="AF356" s="20">
        <v>43971</v>
      </c>
      <c r="AG356" s="20" t="s">
        <v>335</v>
      </c>
      <c r="AH356" s="32">
        <v>1</v>
      </c>
      <c r="AI356" s="32">
        <v>1</v>
      </c>
      <c r="AJ356" s="32">
        <v>1</v>
      </c>
      <c r="AK356" s="20" t="s">
        <v>165</v>
      </c>
      <c r="AL356" s="16"/>
      <c r="AM356" s="16"/>
      <c r="AN356" s="16"/>
    </row>
    <row r="357" spans="2:40" x14ac:dyDescent="0.25">
      <c r="B357" s="130">
        <f t="shared" si="64"/>
        <v>310</v>
      </c>
      <c r="C357" s="17">
        <v>20200520</v>
      </c>
      <c r="D357" s="16" t="s">
        <v>3</v>
      </c>
      <c r="E357" s="16" t="s">
        <v>1145</v>
      </c>
      <c r="F357" s="80" t="s">
        <v>1184</v>
      </c>
      <c r="G357" s="18">
        <v>1474097</v>
      </c>
      <c r="H357" s="57" t="s">
        <v>61</v>
      </c>
      <c r="I357" s="16" t="s">
        <v>939</v>
      </c>
      <c r="J357" s="57" t="s">
        <v>61</v>
      </c>
      <c r="K357" s="16" t="s">
        <v>161</v>
      </c>
      <c r="L357" s="16" t="s">
        <v>345</v>
      </c>
      <c r="M357" s="16" t="s">
        <v>1147</v>
      </c>
      <c r="N357" s="16" t="s">
        <v>347</v>
      </c>
      <c r="O357" s="18" t="s">
        <v>61</v>
      </c>
      <c r="P357" s="18" t="s">
        <v>342</v>
      </c>
      <c r="Q357" s="19"/>
      <c r="R357" s="57" t="s">
        <v>61</v>
      </c>
      <c r="S357" s="16" t="s">
        <v>6</v>
      </c>
      <c r="T357" s="16"/>
      <c r="U357" s="16"/>
      <c r="V357" s="16">
        <v>641</v>
      </c>
      <c r="W357" s="98">
        <v>60</v>
      </c>
      <c r="X357" s="16">
        <f>W357</f>
        <v>60</v>
      </c>
      <c r="Y357" s="16">
        <f>ROUNDDOWN(W357/HLOOKUP(D357,Table!$C$3:$D$4,2,0)*8,2)</f>
        <v>1.06</v>
      </c>
      <c r="Z357" s="16">
        <v>1</v>
      </c>
      <c r="AA357" s="16" t="s">
        <v>18</v>
      </c>
      <c r="AB357" s="20"/>
      <c r="AC357" s="20">
        <v>43971</v>
      </c>
      <c r="AD357" s="20">
        <v>43973</v>
      </c>
      <c r="AE357" s="20">
        <v>43972</v>
      </c>
      <c r="AF357" s="20">
        <v>43972</v>
      </c>
      <c r="AG357" s="20" t="s">
        <v>335</v>
      </c>
      <c r="AH357" s="32">
        <v>1</v>
      </c>
      <c r="AI357" s="32">
        <v>1</v>
      </c>
      <c r="AJ357" s="32">
        <v>1</v>
      </c>
      <c r="AK357" s="20" t="s">
        <v>165</v>
      </c>
      <c r="AL357" s="16"/>
      <c r="AM357" s="16"/>
      <c r="AN357" s="16" t="s">
        <v>1202</v>
      </c>
    </row>
    <row r="358" spans="2:40" x14ac:dyDescent="0.25">
      <c r="B358" s="130">
        <f t="shared" ref="B358:B364" si="66">B357+1</f>
        <v>311</v>
      </c>
      <c r="C358" s="17">
        <v>20200520</v>
      </c>
      <c r="D358" s="16" t="s">
        <v>3</v>
      </c>
      <c r="E358" s="16" t="s">
        <v>1170</v>
      </c>
      <c r="F358" s="80" t="s">
        <v>1185</v>
      </c>
      <c r="G358" s="18">
        <v>1478932</v>
      </c>
      <c r="H358" s="57" t="s">
        <v>61</v>
      </c>
      <c r="I358" s="16" t="s">
        <v>1172</v>
      </c>
      <c r="J358" s="57" t="s">
        <v>61</v>
      </c>
      <c r="K358" s="16" t="s">
        <v>161</v>
      </c>
      <c r="L358" s="16" t="s">
        <v>1177</v>
      </c>
      <c r="M358" s="16" t="s">
        <v>165</v>
      </c>
      <c r="N358" s="16" t="s">
        <v>1173</v>
      </c>
      <c r="O358" s="18" t="s">
        <v>61</v>
      </c>
      <c r="P358" s="18" t="s">
        <v>1174</v>
      </c>
      <c r="Q358" s="19"/>
      <c r="R358" s="57" t="s">
        <v>61</v>
      </c>
      <c r="S358" s="16" t="s">
        <v>64</v>
      </c>
      <c r="T358" s="16"/>
      <c r="U358" s="16"/>
      <c r="V358" s="16">
        <v>81</v>
      </c>
      <c r="W358" s="16">
        <f t="shared" si="65"/>
        <v>81</v>
      </c>
      <c r="X358" s="16">
        <f>W358</f>
        <v>81</v>
      </c>
      <c r="Y358" s="16">
        <f>ROUNDDOWN(W358/HLOOKUP(D358,Table!$C$3:$D$4,2,0)*8,2)</f>
        <v>1.44</v>
      </c>
      <c r="Z358" s="16">
        <v>1</v>
      </c>
      <c r="AA358" s="16" t="s">
        <v>21</v>
      </c>
      <c r="AB358" s="20">
        <v>43972</v>
      </c>
      <c r="AC358" s="20">
        <v>43971</v>
      </c>
      <c r="AD358" s="20">
        <v>43972</v>
      </c>
      <c r="AE358" s="20">
        <v>43972</v>
      </c>
      <c r="AF358" s="20">
        <v>43972</v>
      </c>
      <c r="AG358" s="20" t="s">
        <v>335</v>
      </c>
      <c r="AH358" s="32">
        <v>1</v>
      </c>
      <c r="AI358" s="32">
        <v>1</v>
      </c>
      <c r="AJ358" s="32">
        <v>1</v>
      </c>
      <c r="AK358" s="20" t="s">
        <v>165</v>
      </c>
      <c r="AL358" s="16"/>
      <c r="AM358" s="16"/>
      <c r="AN358" s="16"/>
    </row>
    <row r="359" spans="2:40" x14ac:dyDescent="0.25">
      <c r="B359" s="130">
        <f t="shared" si="66"/>
        <v>312</v>
      </c>
      <c r="C359" s="17">
        <v>20200520</v>
      </c>
      <c r="D359" s="16" t="s">
        <v>3</v>
      </c>
      <c r="E359" s="16" t="s">
        <v>1170</v>
      </c>
      <c r="F359" s="80" t="s">
        <v>1186</v>
      </c>
      <c r="G359" s="18">
        <v>1478932</v>
      </c>
      <c r="H359" s="57" t="s">
        <v>61</v>
      </c>
      <c r="I359" s="16" t="s">
        <v>1172</v>
      </c>
      <c r="J359" s="57" t="s">
        <v>61</v>
      </c>
      <c r="K359" s="16" t="s">
        <v>161</v>
      </c>
      <c r="L359" s="16" t="s">
        <v>1178</v>
      </c>
      <c r="M359" s="16" t="s">
        <v>165</v>
      </c>
      <c r="N359" s="16" t="s">
        <v>500</v>
      </c>
      <c r="O359" s="18" t="s">
        <v>61</v>
      </c>
      <c r="P359" s="18" t="s">
        <v>1174</v>
      </c>
      <c r="Q359" s="19"/>
      <c r="R359" s="57" t="s">
        <v>61</v>
      </c>
      <c r="S359" s="16" t="s">
        <v>64</v>
      </c>
      <c r="T359" s="16"/>
      <c r="U359" s="16"/>
      <c r="V359" s="16">
        <v>81</v>
      </c>
      <c r="W359" s="16">
        <f t="shared" si="65"/>
        <v>81</v>
      </c>
      <c r="X359" s="16">
        <f t="shared" ref="X359:X360" si="67">W359</f>
        <v>81</v>
      </c>
      <c r="Y359" s="16">
        <f>ROUNDDOWN(W359/HLOOKUP(D359,Table!$C$3:$D$4,2,0)*8,2)</f>
        <v>1.44</v>
      </c>
      <c r="Z359" s="16">
        <v>1</v>
      </c>
      <c r="AA359" s="16" t="s">
        <v>21</v>
      </c>
      <c r="AB359" s="20">
        <v>43972</v>
      </c>
      <c r="AC359" s="20">
        <v>43971</v>
      </c>
      <c r="AD359" s="20">
        <v>43972</v>
      </c>
      <c r="AE359" s="20">
        <v>43972</v>
      </c>
      <c r="AF359" s="20">
        <v>43972</v>
      </c>
      <c r="AG359" s="20" t="s">
        <v>335</v>
      </c>
      <c r="AH359" s="32">
        <v>1</v>
      </c>
      <c r="AI359" s="32">
        <v>1</v>
      </c>
      <c r="AJ359" s="32">
        <v>1</v>
      </c>
      <c r="AK359" s="20" t="s">
        <v>165</v>
      </c>
      <c r="AL359" s="16"/>
      <c r="AM359" s="16"/>
      <c r="AN359" s="16"/>
    </row>
    <row r="360" spans="2:40" x14ac:dyDescent="0.25">
      <c r="B360" s="130">
        <f t="shared" si="66"/>
        <v>313</v>
      </c>
      <c r="C360" s="17">
        <v>20200520</v>
      </c>
      <c r="D360" s="16" t="s">
        <v>3</v>
      </c>
      <c r="E360" s="16" t="s">
        <v>1171</v>
      </c>
      <c r="F360" s="80" t="s">
        <v>459</v>
      </c>
      <c r="G360" s="18">
        <v>1478344</v>
      </c>
      <c r="H360" s="57" t="s">
        <v>61</v>
      </c>
      <c r="I360" s="16" t="s">
        <v>168</v>
      </c>
      <c r="J360" s="57" t="s">
        <v>61</v>
      </c>
      <c r="K360" s="16" t="s">
        <v>161</v>
      </c>
      <c r="L360" s="16" t="s">
        <v>324</v>
      </c>
      <c r="M360" s="16" t="s">
        <v>165</v>
      </c>
      <c r="N360" s="16" t="s">
        <v>326</v>
      </c>
      <c r="O360" s="18" t="s">
        <v>61</v>
      </c>
      <c r="P360" s="18" t="s">
        <v>167</v>
      </c>
      <c r="Q360" s="19"/>
      <c r="R360" s="57" t="s">
        <v>61</v>
      </c>
      <c r="S360" s="16" t="s">
        <v>64</v>
      </c>
      <c r="T360" s="16"/>
      <c r="U360" s="16"/>
      <c r="V360" s="16">
        <v>42</v>
      </c>
      <c r="W360" s="16">
        <f t="shared" si="65"/>
        <v>42</v>
      </c>
      <c r="X360" s="16">
        <f t="shared" si="67"/>
        <v>42</v>
      </c>
      <c r="Y360" s="16">
        <f>ROUNDDOWN(W360/HLOOKUP(D360,Table!$C$3:$D$4,2,0)*8,2)</f>
        <v>0.74</v>
      </c>
      <c r="Z360" s="16">
        <v>1</v>
      </c>
      <c r="AA360" s="16" t="s">
        <v>21</v>
      </c>
      <c r="AB360" s="20">
        <v>43972</v>
      </c>
      <c r="AC360" s="20">
        <v>43971</v>
      </c>
      <c r="AD360" s="20">
        <v>43972</v>
      </c>
      <c r="AE360" s="20">
        <v>43972</v>
      </c>
      <c r="AF360" s="20">
        <v>43972</v>
      </c>
      <c r="AG360" s="20" t="s">
        <v>335</v>
      </c>
      <c r="AH360" s="32">
        <v>1</v>
      </c>
      <c r="AI360" s="32">
        <v>1</v>
      </c>
      <c r="AJ360" s="32">
        <v>1</v>
      </c>
      <c r="AK360" s="20" t="s">
        <v>165</v>
      </c>
      <c r="AL360" s="16"/>
      <c r="AM360" s="16"/>
      <c r="AN360" s="16"/>
    </row>
    <row r="361" spans="2:40" x14ac:dyDescent="0.25">
      <c r="B361" s="107">
        <f t="shared" si="66"/>
        <v>314</v>
      </c>
      <c r="C361" s="17">
        <v>20200521</v>
      </c>
      <c r="D361" s="16" t="s">
        <v>3</v>
      </c>
      <c r="E361" s="16" t="s">
        <v>1187</v>
      </c>
      <c r="F361" s="18" t="s">
        <v>1197</v>
      </c>
      <c r="G361" s="18">
        <v>1455638</v>
      </c>
      <c r="H361" s="57" t="s">
        <v>61</v>
      </c>
      <c r="I361" s="16" t="s">
        <v>1190</v>
      </c>
      <c r="J361" s="57" t="s">
        <v>61</v>
      </c>
      <c r="K361" s="16" t="s">
        <v>161</v>
      </c>
      <c r="L361" s="16" t="s">
        <v>1194</v>
      </c>
      <c r="M361" s="16" t="s">
        <v>165</v>
      </c>
      <c r="N361" s="16" t="s">
        <v>1195</v>
      </c>
      <c r="O361" s="18"/>
      <c r="P361" s="18" t="s">
        <v>550</v>
      </c>
      <c r="Q361" s="19"/>
      <c r="R361" s="57" t="s">
        <v>61</v>
      </c>
      <c r="S361" s="16" t="s">
        <v>65</v>
      </c>
      <c r="T361" s="16"/>
      <c r="U361" s="16"/>
      <c r="V361" s="16">
        <v>66</v>
      </c>
      <c r="W361" s="16">
        <f>V361</f>
        <v>66</v>
      </c>
      <c r="X361" s="16"/>
      <c r="Y361" s="16">
        <f>ROUNDDOWN(W361/HLOOKUP(D361,Table!$C$3:$D$4,2,0)*8,2)</f>
        <v>1.17</v>
      </c>
      <c r="Z361" s="16"/>
      <c r="AA361" s="16"/>
      <c r="AB361" s="20"/>
      <c r="AC361" s="20">
        <v>43972</v>
      </c>
      <c r="AD361" s="162">
        <v>43973</v>
      </c>
      <c r="AE361" s="20"/>
      <c r="AF361" s="20"/>
      <c r="AG361" s="20"/>
      <c r="AH361" s="32"/>
      <c r="AI361" s="32"/>
      <c r="AJ361" s="32"/>
      <c r="AK361" s="20"/>
      <c r="AL361" s="16"/>
      <c r="AM361" s="16"/>
      <c r="AN361" s="16"/>
    </row>
    <row r="362" spans="2:40" x14ac:dyDescent="0.25">
      <c r="B362" s="107">
        <f t="shared" si="66"/>
        <v>315</v>
      </c>
      <c r="C362" s="17">
        <v>20200521</v>
      </c>
      <c r="D362" s="16" t="s">
        <v>3</v>
      </c>
      <c r="E362" s="16" t="s">
        <v>1187</v>
      </c>
      <c r="F362" s="18" t="s">
        <v>1197</v>
      </c>
      <c r="G362" s="18">
        <v>1455638</v>
      </c>
      <c r="H362" s="57" t="s">
        <v>61</v>
      </c>
      <c r="I362" s="16" t="s">
        <v>1191</v>
      </c>
      <c r="J362" s="57" t="s">
        <v>61</v>
      </c>
      <c r="K362" s="16" t="s">
        <v>161</v>
      </c>
      <c r="L362" s="16" t="s">
        <v>1194</v>
      </c>
      <c r="M362" s="16" t="s">
        <v>165</v>
      </c>
      <c r="N362" s="16" t="s">
        <v>1195</v>
      </c>
      <c r="O362" s="18"/>
      <c r="P362" s="18" t="s">
        <v>550</v>
      </c>
      <c r="Q362" s="19"/>
      <c r="R362" s="57" t="s">
        <v>61</v>
      </c>
      <c r="S362" s="16" t="s">
        <v>65</v>
      </c>
      <c r="T362" s="16"/>
      <c r="U362" s="16"/>
      <c r="V362" s="16">
        <v>149</v>
      </c>
      <c r="W362" s="16">
        <f>V362</f>
        <v>149</v>
      </c>
      <c r="X362" s="16"/>
      <c r="Y362" s="16">
        <f>ROUNDDOWN(W362/HLOOKUP(D362,Table!$C$3:$D$4,2,0)*8,2)</f>
        <v>2.64</v>
      </c>
      <c r="Z362" s="16"/>
      <c r="AA362" s="16"/>
      <c r="AB362" s="20"/>
      <c r="AC362" s="20">
        <v>43972</v>
      </c>
      <c r="AD362" s="162">
        <v>43973</v>
      </c>
      <c r="AE362" s="20"/>
      <c r="AF362" s="20"/>
      <c r="AG362" s="20"/>
      <c r="AH362" s="32"/>
      <c r="AI362" s="32"/>
      <c r="AJ362" s="32"/>
      <c r="AK362" s="20"/>
      <c r="AL362" s="16"/>
      <c r="AM362" s="16"/>
      <c r="AN362" s="16"/>
    </row>
    <row r="363" spans="2:40" x14ac:dyDescent="0.25">
      <c r="B363" s="107">
        <f t="shared" si="66"/>
        <v>316</v>
      </c>
      <c r="C363" s="17">
        <v>20200521</v>
      </c>
      <c r="D363" s="16" t="s">
        <v>3</v>
      </c>
      <c r="E363" s="16" t="s">
        <v>1187</v>
      </c>
      <c r="F363" s="18" t="s">
        <v>1198</v>
      </c>
      <c r="G363" s="18">
        <v>1455638</v>
      </c>
      <c r="H363" s="57" t="s">
        <v>61</v>
      </c>
      <c r="I363" s="16" t="s">
        <v>1192</v>
      </c>
      <c r="J363" s="57" t="s">
        <v>61</v>
      </c>
      <c r="K363" s="16" t="s">
        <v>161</v>
      </c>
      <c r="L363" s="16" t="s">
        <v>1194</v>
      </c>
      <c r="M363" s="16" t="s">
        <v>165</v>
      </c>
      <c r="N363" s="16" t="s">
        <v>1195</v>
      </c>
      <c r="O363" s="18"/>
      <c r="P363" s="18" t="s">
        <v>550</v>
      </c>
      <c r="Q363" s="19"/>
      <c r="R363" s="57" t="s">
        <v>61</v>
      </c>
      <c r="S363" s="16" t="s">
        <v>65</v>
      </c>
      <c r="T363" s="16"/>
      <c r="U363" s="16"/>
      <c r="V363" s="16">
        <v>4</v>
      </c>
      <c r="W363" s="16">
        <f>V363</f>
        <v>4</v>
      </c>
      <c r="X363" s="16"/>
      <c r="Y363" s="16">
        <f>ROUNDDOWN(W363/HLOOKUP(D363,Table!$C$3:$D$4,2,0)*8,2)</f>
        <v>7.0000000000000007E-2</v>
      </c>
      <c r="Z363" s="16"/>
      <c r="AA363" s="16"/>
      <c r="AB363" s="20"/>
      <c r="AC363" s="20">
        <v>43972</v>
      </c>
      <c r="AD363" s="162">
        <v>43973</v>
      </c>
      <c r="AE363" s="20"/>
      <c r="AF363" s="20"/>
      <c r="AG363" s="20"/>
      <c r="AH363" s="32"/>
      <c r="AI363" s="32"/>
      <c r="AJ363" s="32"/>
      <c r="AK363" s="20"/>
      <c r="AL363" s="16"/>
      <c r="AM363" s="16"/>
      <c r="AN363" s="16"/>
    </row>
    <row r="364" spans="2:40" x14ac:dyDescent="0.25">
      <c r="B364" s="107">
        <f t="shared" si="66"/>
        <v>317</v>
      </c>
      <c r="C364" s="17">
        <v>20200521</v>
      </c>
      <c r="D364" s="16" t="s">
        <v>3</v>
      </c>
      <c r="E364" s="16" t="s">
        <v>1188</v>
      </c>
      <c r="F364" s="18" t="s">
        <v>1199</v>
      </c>
      <c r="G364" s="18">
        <v>1479500</v>
      </c>
      <c r="H364" s="57" t="s">
        <v>61</v>
      </c>
      <c r="I364" s="16" t="s">
        <v>1193</v>
      </c>
      <c r="J364" s="57" t="s">
        <v>61</v>
      </c>
      <c r="K364" s="16" t="s">
        <v>161</v>
      </c>
      <c r="L364" s="16" t="s">
        <v>165</v>
      </c>
      <c r="M364" s="16" t="s">
        <v>1189</v>
      </c>
      <c r="N364" s="16" t="s">
        <v>1196</v>
      </c>
      <c r="O364" s="18"/>
      <c r="P364" s="18" t="s">
        <v>818</v>
      </c>
      <c r="Q364" s="19"/>
      <c r="R364" s="57" t="s">
        <v>61</v>
      </c>
      <c r="S364" s="16" t="s">
        <v>65</v>
      </c>
      <c r="T364" s="16"/>
      <c r="U364" s="16"/>
      <c r="V364" s="16">
        <v>825</v>
      </c>
      <c r="W364" s="16">
        <f>V364</f>
        <v>825</v>
      </c>
      <c r="X364" s="16"/>
      <c r="Y364" s="16">
        <f>ROUNDDOWN(W364/HLOOKUP(D364,Table!$C$3:$D$4,2,0)*8,2)</f>
        <v>14.66</v>
      </c>
      <c r="Z364" s="16"/>
      <c r="AA364" s="16"/>
      <c r="AB364" s="20"/>
      <c r="AC364" s="20">
        <v>43972</v>
      </c>
      <c r="AD364" s="162">
        <v>43973</v>
      </c>
      <c r="AE364" s="20"/>
      <c r="AF364" s="20"/>
      <c r="AG364" s="20"/>
      <c r="AH364" s="32"/>
      <c r="AI364" s="32"/>
      <c r="AJ364" s="32"/>
      <c r="AK364" s="20"/>
      <c r="AL364" s="16"/>
      <c r="AM364" s="16"/>
      <c r="AN364" s="16"/>
    </row>
    <row r="365" spans="2:40" x14ac:dyDescent="0.25">
      <c r="B365" s="21"/>
      <c r="C365" s="17"/>
      <c r="D365" s="16"/>
      <c r="E365" s="16"/>
      <c r="F365" s="18"/>
      <c r="G365" s="18"/>
      <c r="H365" s="57" t="s">
        <v>61</v>
      </c>
      <c r="I365" s="16"/>
      <c r="J365" s="57" t="s">
        <v>61</v>
      </c>
      <c r="K365" s="16"/>
      <c r="L365" s="16"/>
      <c r="M365" s="16"/>
      <c r="N365" s="16"/>
      <c r="O365" s="18"/>
      <c r="P365" s="18"/>
      <c r="Q365" s="19"/>
      <c r="R365" s="57" t="s">
        <v>61</v>
      </c>
      <c r="S365" s="16"/>
      <c r="T365" s="16"/>
      <c r="U365" s="16"/>
      <c r="V365" s="16"/>
      <c r="W365" s="16"/>
      <c r="X365" s="16"/>
      <c r="Y365" s="16"/>
      <c r="Z365" s="16"/>
      <c r="AA365" s="16"/>
      <c r="AB365" s="20"/>
      <c r="AC365" s="20"/>
      <c r="AD365" s="20"/>
      <c r="AE365" s="20"/>
      <c r="AF365" s="20"/>
      <c r="AG365" s="20"/>
      <c r="AH365" s="32"/>
      <c r="AI365" s="32"/>
      <c r="AJ365" s="32"/>
      <c r="AK365" s="20"/>
      <c r="AL365" s="16"/>
      <c r="AM365" s="16"/>
      <c r="AN365" s="16"/>
    </row>
    <row r="366" spans="2:40" x14ac:dyDescent="0.25">
      <c r="B366" s="21"/>
      <c r="C366" s="17"/>
      <c r="D366" s="16"/>
      <c r="E366" s="16"/>
      <c r="F366" s="18"/>
      <c r="G366" s="18"/>
      <c r="H366" s="57" t="s">
        <v>61</v>
      </c>
      <c r="I366" s="16"/>
      <c r="J366" s="57" t="s">
        <v>61</v>
      </c>
      <c r="K366" s="16"/>
      <c r="L366" s="16"/>
      <c r="M366" s="16"/>
      <c r="N366" s="16"/>
      <c r="O366" s="18"/>
      <c r="P366" s="18"/>
      <c r="Q366" s="19"/>
      <c r="R366" s="57" t="s">
        <v>61</v>
      </c>
      <c r="S366" s="16"/>
      <c r="T366" s="16"/>
      <c r="U366" s="16"/>
      <c r="V366" s="16"/>
      <c r="W366" s="16"/>
      <c r="X366" s="16"/>
      <c r="Y366" s="16"/>
      <c r="Z366" s="16"/>
      <c r="AA366" s="16"/>
      <c r="AB366" s="20"/>
      <c r="AC366" s="20"/>
      <c r="AD366" s="20"/>
      <c r="AE366" s="20"/>
      <c r="AF366" s="20"/>
      <c r="AG366" s="20"/>
      <c r="AH366" s="32"/>
      <c r="AI366" s="32"/>
      <c r="AJ366" s="32"/>
      <c r="AK366" s="20"/>
      <c r="AL366" s="16"/>
      <c r="AM366" s="16"/>
      <c r="AN366" s="16"/>
    </row>
    <row r="367" spans="2:40" x14ac:dyDescent="0.25">
      <c r="B367" s="21"/>
      <c r="C367" s="17"/>
      <c r="D367" s="16"/>
      <c r="E367" s="16"/>
      <c r="F367" s="18"/>
      <c r="G367" s="18"/>
      <c r="H367" s="57" t="s">
        <v>61</v>
      </c>
      <c r="I367" s="16"/>
      <c r="J367" s="57" t="s">
        <v>61</v>
      </c>
      <c r="K367" s="16"/>
      <c r="L367" s="16"/>
      <c r="M367" s="16"/>
      <c r="N367" s="16"/>
      <c r="O367" s="18"/>
      <c r="P367" s="18"/>
      <c r="Q367" s="19"/>
      <c r="R367" s="57" t="s">
        <v>61</v>
      </c>
      <c r="S367" s="16"/>
      <c r="T367" s="16"/>
      <c r="U367" s="16"/>
      <c r="V367" s="16"/>
      <c r="W367" s="16"/>
      <c r="X367" s="16"/>
      <c r="Y367" s="16"/>
      <c r="Z367" s="16"/>
      <c r="AA367" s="16"/>
      <c r="AB367" s="20"/>
      <c r="AC367" s="20"/>
      <c r="AD367" s="20"/>
      <c r="AE367" s="20"/>
      <c r="AF367" s="20"/>
      <c r="AG367" s="20"/>
      <c r="AH367" s="32"/>
      <c r="AI367" s="32"/>
      <c r="AJ367" s="32"/>
      <c r="AK367" s="20"/>
      <c r="AL367" s="16"/>
      <c r="AM367" s="16"/>
      <c r="AN367" s="16"/>
    </row>
    <row r="368" spans="2:40" x14ac:dyDescent="0.25">
      <c r="B368" s="21"/>
      <c r="C368" s="17"/>
      <c r="D368" s="16"/>
      <c r="E368" s="16"/>
      <c r="F368" s="18"/>
      <c r="G368" s="18"/>
      <c r="H368" s="57" t="s">
        <v>61</v>
      </c>
      <c r="I368" s="16"/>
      <c r="J368" s="57" t="s">
        <v>61</v>
      </c>
      <c r="K368" s="16"/>
      <c r="L368" s="16"/>
      <c r="M368" s="16"/>
      <c r="N368" s="16"/>
      <c r="O368" s="18"/>
      <c r="P368" s="18"/>
      <c r="Q368" s="19"/>
      <c r="R368" s="57" t="s">
        <v>61</v>
      </c>
      <c r="S368" s="16"/>
      <c r="T368" s="16"/>
      <c r="U368" s="16"/>
      <c r="V368" s="16"/>
      <c r="W368" s="16"/>
      <c r="X368" s="16"/>
      <c r="Y368" s="16"/>
      <c r="Z368" s="16"/>
      <c r="AA368" s="16"/>
      <c r="AB368" s="20"/>
      <c r="AC368" s="20"/>
      <c r="AD368" s="20"/>
      <c r="AE368" s="20"/>
      <c r="AF368" s="20"/>
      <c r="AG368" s="20"/>
      <c r="AH368" s="32"/>
      <c r="AI368" s="32"/>
      <c r="AJ368" s="32"/>
      <c r="AK368" s="20"/>
      <c r="AL368" s="16"/>
      <c r="AM368" s="16"/>
      <c r="AN368" s="16"/>
    </row>
    <row r="369" spans="2:40" x14ac:dyDescent="0.25">
      <c r="B369" s="21"/>
      <c r="C369" s="17"/>
      <c r="D369" s="16"/>
      <c r="E369" s="16"/>
      <c r="F369" s="18"/>
      <c r="G369" s="18"/>
      <c r="H369" s="57" t="s">
        <v>61</v>
      </c>
      <c r="I369" s="16"/>
      <c r="J369" s="57" t="s">
        <v>61</v>
      </c>
      <c r="K369" s="16"/>
      <c r="L369" s="16"/>
      <c r="M369" s="16"/>
      <c r="N369" s="16"/>
      <c r="O369" s="18"/>
      <c r="P369" s="18"/>
      <c r="Q369" s="19"/>
      <c r="R369" s="57" t="s">
        <v>61</v>
      </c>
      <c r="S369" s="16"/>
      <c r="T369" s="16"/>
      <c r="U369" s="16"/>
      <c r="V369" s="16"/>
      <c r="W369" s="16"/>
      <c r="X369" s="16"/>
      <c r="Y369" s="16"/>
      <c r="Z369" s="16"/>
      <c r="AA369" s="16"/>
      <c r="AB369" s="20"/>
      <c r="AC369" s="20"/>
      <c r="AD369" s="20"/>
      <c r="AE369" s="20"/>
      <c r="AF369" s="20"/>
      <c r="AG369" s="20"/>
      <c r="AH369" s="32"/>
      <c r="AI369" s="32"/>
      <c r="AJ369" s="32"/>
      <c r="AK369" s="20"/>
      <c r="AL369" s="16"/>
      <c r="AM369" s="16"/>
      <c r="AN369" s="16"/>
    </row>
    <row r="370" spans="2:40" x14ac:dyDescent="0.25">
      <c r="B370" s="21"/>
      <c r="C370" s="17"/>
      <c r="D370" s="16"/>
      <c r="E370" s="16"/>
      <c r="F370" s="18"/>
      <c r="G370" s="18"/>
      <c r="H370" s="57" t="s">
        <v>61</v>
      </c>
      <c r="I370" s="16"/>
      <c r="J370" s="57" t="s">
        <v>61</v>
      </c>
      <c r="K370" s="16"/>
      <c r="L370" s="16"/>
      <c r="M370" s="16"/>
      <c r="N370" s="16"/>
      <c r="O370" s="18"/>
      <c r="P370" s="18"/>
      <c r="Q370" s="19"/>
      <c r="R370" s="57" t="s">
        <v>61</v>
      </c>
      <c r="S370" s="16"/>
      <c r="T370" s="16"/>
      <c r="U370" s="16"/>
      <c r="V370" s="16"/>
      <c r="W370" s="16"/>
      <c r="X370" s="16"/>
      <c r="Y370" s="16"/>
      <c r="Z370" s="16"/>
      <c r="AA370" s="16"/>
      <c r="AB370" s="20"/>
      <c r="AC370" s="20"/>
      <c r="AD370" s="20"/>
      <c r="AE370" s="20"/>
      <c r="AF370" s="20"/>
      <c r="AG370" s="20"/>
      <c r="AH370" s="32"/>
      <c r="AI370" s="32"/>
      <c r="AJ370" s="32"/>
      <c r="AK370" s="20"/>
      <c r="AL370" s="16"/>
      <c r="AM370" s="16"/>
      <c r="AN370" s="16"/>
    </row>
    <row r="371" spans="2:40" x14ac:dyDescent="0.25">
      <c r="B371" s="21"/>
      <c r="C371" s="17"/>
      <c r="D371" s="16"/>
      <c r="E371" s="16"/>
      <c r="F371" s="18"/>
      <c r="G371" s="18"/>
      <c r="H371" s="57" t="s">
        <v>61</v>
      </c>
      <c r="I371" s="16"/>
      <c r="J371" s="57" t="s">
        <v>61</v>
      </c>
      <c r="K371" s="16"/>
      <c r="L371" s="16"/>
      <c r="M371" s="16"/>
      <c r="N371" s="16"/>
      <c r="O371" s="18"/>
      <c r="P371" s="18"/>
      <c r="Q371" s="19"/>
      <c r="R371" s="57" t="s">
        <v>61</v>
      </c>
      <c r="S371" s="16"/>
      <c r="T371" s="16"/>
      <c r="U371" s="16"/>
      <c r="V371" s="16"/>
      <c r="W371" s="16"/>
      <c r="X371" s="16"/>
      <c r="Y371" s="16"/>
      <c r="Z371" s="16"/>
      <c r="AA371" s="16"/>
      <c r="AB371" s="20"/>
      <c r="AC371" s="20"/>
      <c r="AD371" s="20"/>
      <c r="AE371" s="20"/>
      <c r="AF371" s="20"/>
      <c r="AG371" s="20"/>
      <c r="AH371" s="32"/>
      <c r="AI371" s="32"/>
      <c r="AJ371" s="32"/>
      <c r="AK371" s="20"/>
      <c r="AL371" s="16"/>
      <c r="AM371" s="16"/>
      <c r="AN371" s="16"/>
    </row>
    <row r="372" spans="2:40" x14ac:dyDescent="0.25">
      <c r="B372" s="21"/>
      <c r="C372" s="17"/>
      <c r="D372" s="16"/>
      <c r="E372" s="16"/>
      <c r="F372" s="18"/>
      <c r="G372" s="18"/>
      <c r="H372" s="57" t="s">
        <v>61</v>
      </c>
      <c r="I372" s="16"/>
      <c r="J372" s="57" t="s">
        <v>61</v>
      </c>
      <c r="K372" s="16"/>
      <c r="L372" s="16"/>
      <c r="M372" s="16"/>
      <c r="N372" s="16"/>
      <c r="O372" s="18"/>
      <c r="P372" s="18"/>
      <c r="Q372" s="19"/>
      <c r="R372" s="57" t="s">
        <v>61</v>
      </c>
      <c r="S372" s="16"/>
      <c r="T372" s="16"/>
      <c r="U372" s="16"/>
      <c r="V372" s="16"/>
      <c r="W372" s="16"/>
      <c r="X372" s="16"/>
      <c r="Y372" s="16"/>
      <c r="Z372" s="16"/>
      <c r="AA372" s="16"/>
      <c r="AB372" s="20"/>
      <c r="AC372" s="20"/>
      <c r="AD372" s="20"/>
      <c r="AE372" s="20"/>
      <c r="AF372" s="20"/>
      <c r="AG372" s="20"/>
      <c r="AH372" s="32"/>
      <c r="AI372" s="32"/>
      <c r="AJ372" s="32"/>
      <c r="AK372" s="20"/>
      <c r="AL372" s="16"/>
      <c r="AM372" s="16"/>
      <c r="AN372" s="16"/>
    </row>
    <row r="373" spans="2:40" x14ac:dyDescent="0.25">
      <c r="B373" s="21"/>
      <c r="C373" s="17"/>
      <c r="D373" s="16"/>
      <c r="E373" s="16"/>
      <c r="F373" s="18"/>
      <c r="G373" s="18"/>
      <c r="H373" s="57" t="s">
        <v>61</v>
      </c>
      <c r="I373" s="16"/>
      <c r="J373" s="57" t="s">
        <v>61</v>
      </c>
      <c r="K373" s="16"/>
      <c r="L373" s="16"/>
      <c r="M373" s="16"/>
      <c r="N373" s="16"/>
      <c r="O373" s="18"/>
      <c r="P373" s="18"/>
      <c r="Q373" s="19"/>
      <c r="R373" s="57" t="s">
        <v>61</v>
      </c>
      <c r="S373" s="16"/>
      <c r="T373" s="16"/>
      <c r="U373" s="16"/>
      <c r="V373" s="16"/>
      <c r="W373" s="16"/>
      <c r="X373" s="16"/>
      <c r="Y373" s="16"/>
      <c r="Z373" s="16"/>
      <c r="AA373" s="16"/>
      <c r="AB373" s="20"/>
      <c r="AC373" s="20"/>
      <c r="AD373" s="20"/>
      <c r="AE373" s="20"/>
      <c r="AF373" s="20"/>
      <c r="AG373" s="20"/>
      <c r="AH373" s="32"/>
      <c r="AI373" s="32"/>
      <c r="AJ373" s="32"/>
      <c r="AK373" s="20"/>
      <c r="AL373" s="16"/>
      <c r="AM373" s="16"/>
      <c r="AN373" s="16"/>
    </row>
    <row r="374" spans="2:40" x14ac:dyDescent="0.25">
      <c r="B374" s="21"/>
      <c r="C374" s="17"/>
      <c r="D374" s="16"/>
      <c r="E374" s="16"/>
      <c r="F374" s="18"/>
      <c r="G374" s="18"/>
      <c r="H374" s="57" t="s">
        <v>61</v>
      </c>
      <c r="I374" s="16"/>
      <c r="J374" s="57" t="s">
        <v>61</v>
      </c>
      <c r="K374" s="16"/>
      <c r="L374" s="16"/>
      <c r="M374" s="16"/>
      <c r="N374" s="16"/>
      <c r="O374" s="18"/>
      <c r="P374" s="18"/>
      <c r="Q374" s="19"/>
      <c r="R374" s="57" t="s">
        <v>61</v>
      </c>
      <c r="S374" s="16"/>
      <c r="T374" s="16"/>
      <c r="U374" s="16"/>
      <c r="V374" s="16"/>
      <c r="W374" s="16"/>
      <c r="X374" s="16"/>
      <c r="Y374" s="16"/>
      <c r="Z374" s="16"/>
      <c r="AA374" s="16"/>
      <c r="AB374" s="20"/>
      <c r="AC374" s="20"/>
      <c r="AD374" s="20"/>
      <c r="AE374" s="20"/>
      <c r="AF374" s="20"/>
      <c r="AG374" s="20"/>
      <c r="AH374" s="32"/>
      <c r="AI374" s="32"/>
      <c r="AJ374" s="32"/>
      <c r="AK374" s="20"/>
      <c r="AL374" s="16"/>
      <c r="AM374" s="16"/>
      <c r="AN374" s="16"/>
    </row>
    <row r="375" spans="2:40" x14ac:dyDescent="0.25">
      <c r="B375" s="21"/>
      <c r="C375" s="17"/>
      <c r="D375" s="16"/>
      <c r="E375" s="16"/>
      <c r="F375" s="18"/>
      <c r="G375" s="18"/>
      <c r="H375" s="57" t="s">
        <v>61</v>
      </c>
      <c r="I375" s="16"/>
      <c r="J375" s="57" t="s">
        <v>61</v>
      </c>
      <c r="K375" s="16"/>
      <c r="L375" s="16"/>
      <c r="M375" s="16"/>
      <c r="N375" s="16"/>
      <c r="O375" s="18"/>
      <c r="P375" s="18"/>
      <c r="Q375" s="19"/>
      <c r="R375" s="57" t="s">
        <v>61</v>
      </c>
      <c r="S375" s="16"/>
      <c r="T375" s="16"/>
      <c r="U375" s="16"/>
      <c r="V375" s="16"/>
      <c r="W375" s="16"/>
      <c r="X375" s="16"/>
      <c r="Y375" s="16"/>
      <c r="Z375" s="16"/>
      <c r="AA375" s="16"/>
      <c r="AB375" s="20"/>
      <c r="AC375" s="20"/>
      <c r="AD375" s="20"/>
      <c r="AE375" s="20"/>
      <c r="AF375" s="20"/>
      <c r="AG375" s="20"/>
      <c r="AH375" s="32"/>
      <c r="AI375" s="32"/>
      <c r="AJ375" s="32"/>
      <c r="AK375" s="20"/>
      <c r="AL375" s="16"/>
      <c r="AM375" s="16"/>
      <c r="AN375" s="16"/>
    </row>
    <row r="376" spans="2:40" x14ac:dyDescent="0.25">
      <c r="B376" s="21"/>
      <c r="C376" s="17"/>
      <c r="D376" s="16"/>
      <c r="E376" s="16"/>
      <c r="F376" s="18"/>
      <c r="G376" s="18"/>
      <c r="H376" s="57" t="s">
        <v>61</v>
      </c>
      <c r="I376" s="16"/>
      <c r="J376" s="57" t="s">
        <v>61</v>
      </c>
      <c r="K376" s="16"/>
      <c r="L376" s="16"/>
      <c r="M376" s="16"/>
      <c r="N376" s="16"/>
      <c r="O376" s="18"/>
      <c r="P376" s="18"/>
      <c r="Q376" s="19"/>
      <c r="R376" s="57" t="s">
        <v>61</v>
      </c>
      <c r="S376" s="16"/>
      <c r="T376" s="16"/>
      <c r="U376" s="16"/>
      <c r="V376" s="16"/>
      <c r="W376" s="16"/>
      <c r="X376" s="16"/>
      <c r="Y376" s="16"/>
      <c r="Z376" s="16"/>
      <c r="AA376" s="16"/>
      <c r="AB376" s="20"/>
      <c r="AC376" s="20"/>
      <c r="AD376" s="20"/>
      <c r="AE376" s="20"/>
      <c r="AF376" s="20"/>
      <c r="AG376" s="20"/>
      <c r="AH376" s="32"/>
      <c r="AI376" s="32"/>
      <c r="AJ376" s="32"/>
      <c r="AK376" s="20"/>
      <c r="AL376" s="16"/>
      <c r="AM376" s="16"/>
      <c r="AN376" s="16"/>
    </row>
    <row r="377" spans="2:40" x14ac:dyDescent="0.25">
      <c r="B377" s="21"/>
      <c r="C377" s="17"/>
      <c r="D377" s="16"/>
      <c r="E377" s="16"/>
      <c r="F377" s="18"/>
      <c r="G377" s="18"/>
      <c r="H377" s="57" t="s">
        <v>61</v>
      </c>
      <c r="I377" s="16"/>
      <c r="J377" s="57" t="s">
        <v>61</v>
      </c>
      <c r="K377" s="16"/>
      <c r="L377" s="16"/>
      <c r="M377" s="16"/>
      <c r="N377" s="16"/>
      <c r="O377" s="18"/>
      <c r="P377" s="18"/>
      <c r="Q377" s="19"/>
      <c r="R377" s="57" t="s">
        <v>61</v>
      </c>
      <c r="S377" s="16"/>
      <c r="T377" s="16"/>
      <c r="U377" s="16"/>
      <c r="V377" s="16"/>
      <c r="W377" s="16"/>
      <c r="X377" s="16"/>
      <c r="Y377" s="16"/>
      <c r="Z377" s="16"/>
      <c r="AA377" s="16"/>
      <c r="AB377" s="20"/>
      <c r="AC377" s="20"/>
      <c r="AD377" s="20"/>
      <c r="AE377" s="20"/>
      <c r="AF377" s="20"/>
      <c r="AG377" s="20"/>
      <c r="AH377" s="32"/>
      <c r="AI377" s="32"/>
      <c r="AJ377" s="32"/>
      <c r="AK377" s="20"/>
      <c r="AL377" s="16"/>
      <c r="AM377" s="16"/>
      <c r="AN377" s="16"/>
    </row>
    <row r="378" spans="2:40" x14ac:dyDescent="0.25">
      <c r="B378" s="21"/>
      <c r="C378" s="17"/>
      <c r="D378" s="16"/>
      <c r="E378" s="16"/>
      <c r="F378" s="18"/>
      <c r="G378" s="18"/>
      <c r="H378" s="57" t="s">
        <v>61</v>
      </c>
      <c r="I378" s="16"/>
      <c r="J378" s="57" t="s">
        <v>61</v>
      </c>
      <c r="K378" s="16"/>
      <c r="L378" s="16"/>
      <c r="M378" s="16"/>
      <c r="N378" s="16"/>
      <c r="O378" s="18"/>
      <c r="P378" s="18"/>
      <c r="Q378" s="19"/>
      <c r="R378" s="57" t="s">
        <v>61</v>
      </c>
      <c r="S378" s="16"/>
      <c r="T378" s="16"/>
      <c r="U378" s="16"/>
      <c r="V378" s="16"/>
      <c r="W378" s="16"/>
      <c r="X378" s="16"/>
      <c r="Y378" s="16"/>
      <c r="Z378" s="16"/>
      <c r="AA378" s="16"/>
      <c r="AB378" s="20"/>
      <c r="AC378" s="20"/>
      <c r="AD378" s="20"/>
      <c r="AE378" s="20"/>
      <c r="AF378" s="20"/>
      <c r="AG378" s="20"/>
      <c r="AH378" s="32"/>
      <c r="AI378" s="32"/>
      <c r="AJ378" s="32"/>
      <c r="AK378" s="20"/>
      <c r="AL378" s="16"/>
      <c r="AM378" s="16"/>
      <c r="AN378" s="16"/>
    </row>
    <row r="379" spans="2:40" x14ac:dyDescent="0.25">
      <c r="B379" s="21"/>
      <c r="C379" s="17"/>
      <c r="D379" s="16"/>
      <c r="E379" s="16"/>
      <c r="F379" s="18"/>
      <c r="G379" s="18"/>
      <c r="H379" s="57" t="s">
        <v>61</v>
      </c>
      <c r="I379" s="16"/>
      <c r="J379" s="57" t="s">
        <v>61</v>
      </c>
      <c r="K379" s="16"/>
      <c r="L379" s="16"/>
      <c r="M379" s="16"/>
      <c r="N379" s="16"/>
      <c r="O379" s="18"/>
      <c r="P379" s="18"/>
      <c r="Q379" s="19"/>
      <c r="R379" s="57" t="s">
        <v>61</v>
      </c>
      <c r="S379" s="16"/>
      <c r="T379" s="16"/>
      <c r="U379" s="16"/>
      <c r="V379" s="16"/>
      <c r="W379" s="16"/>
      <c r="X379" s="16"/>
      <c r="Y379" s="16"/>
      <c r="Z379" s="16"/>
      <c r="AA379" s="16"/>
      <c r="AB379" s="20"/>
      <c r="AC379" s="20"/>
      <c r="AD379" s="20"/>
      <c r="AE379" s="20"/>
      <c r="AF379" s="20"/>
      <c r="AG379" s="20"/>
      <c r="AH379" s="32"/>
      <c r="AI379" s="32"/>
      <c r="AJ379" s="32"/>
      <c r="AK379" s="20"/>
      <c r="AL379" s="16"/>
      <c r="AM379" s="16"/>
      <c r="AN379" s="16"/>
    </row>
    <row r="380" spans="2:40" x14ac:dyDescent="0.25">
      <c r="B380" s="21"/>
      <c r="C380" s="17"/>
      <c r="D380" s="16"/>
      <c r="E380" s="16"/>
      <c r="F380" s="18"/>
      <c r="G380" s="18"/>
      <c r="H380" s="57" t="s">
        <v>61</v>
      </c>
      <c r="I380" s="16"/>
      <c r="J380" s="57" t="s">
        <v>61</v>
      </c>
      <c r="K380" s="16"/>
      <c r="L380" s="16"/>
      <c r="M380" s="16"/>
      <c r="N380" s="16"/>
      <c r="O380" s="18"/>
      <c r="P380" s="18"/>
      <c r="Q380" s="19"/>
      <c r="R380" s="57" t="s">
        <v>61</v>
      </c>
      <c r="S380" s="16"/>
      <c r="T380" s="16"/>
      <c r="U380" s="16"/>
      <c r="V380" s="16"/>
      <c r="W380" s="16"/>
      <c r="X380" s="16"/>
      <c r="Y380" s="16"/>
      <c r="Z380" s="16"/>
      <c r="AA380" s="16"/>
      <c r="AB380" s="20"/>
      <c r="AC380" s="20"/>
      <c r="AD380" s="20"/>
      <c r="AE380" s="20"/>
      <c r="AF380" s="20"/>
      <c r="AG380" s="20"/>
      <c r="AH380" s="32"/>
      <c r="AI380" s="32"/>
      <c r="AJ380" s="32"/>
      <c r="AK380" s="20"/>
      <c r="AL380" s="16"/>
      <c r="AM380" s="16"/>
      <c r="AN380" s="16"/>
    </row>
    <row r="381" spans="2:40" x14ac:dyDescent="0.25">
      <c r="B381" s="21"/>
      <c r="C381" s="17"/>
      <c r="D381" s="16"/>
      <c r="E381" s="16"/>
      <c r="F381" s="18"/>
      <c r="G381" s="18"/>
      <c r="H381" s="57" t="s">
        <v>61</v>
      </c>
      <c r="I381" s="16"/>
      <c r="J381" s="57" t="s">
        <v>61</v>
      </c>
      <c r="K381" s="16"/>
      <c r="L381" s="16"/>
      <c r="M381" s="16"/>
      <c r="N381" s="16"/>
      <c r="O381" s="18"/>
      <c r="P381" s="18"/>
      <c r="Q381" s="19"/>
      <c r="R381" s="57" t="s">
        <v>61</v>
      </c>
      <c r="S381" s="16"/>
      <c r="T381" s="16"/>
      <c r="U381" s="16"/>
      <c r="V381" s="16"/>
      <c r="W381" s="16"/>
      <c r="X381" s="16"/>
      <c r="Y381" s="16"/>
      <c r="Z381" s="16"/>
      <c r="AA381" s="16"/>
      <c r="AB381" s="20"/>
      <c r="AC381" s="20"/>
      <c r="AD381" s="20"/>
      <c r="AE381" s="20"/>
      <c r="AF381" s="20"/>
      <c r="AG381" s="20"/>
      <c r="AH381" s="32"/>
      <c r="AI381" s="32"/>
      <c r="AJ381" s="32"/>
      <c r="AK381" s="20"/>
      <c r="AL381" s="16"/>
      <c r="AM381" s="16"/>
      <c r="AN381" s="16"/>
    </row>
    <row r="382" spans="2:40" x14ac:dyDescent="0.25">
      <c r="B382" s="21"/>
      <c r="C382" s="17"/>
      <c r="D382" s="16"/>
      <c r="E382" s="16"/>
      <c r="F382" s="18"/>
      <c r="G382" s="18"/>
      <c r="H382" s="57" t="s">
        <v>61</v>
      </c>
      <c r="I382" s="16"/>
      <c r="J382" s="57" t="s">
        <v>61</v>
      </c>
      <c r="K382" s="16"/>
      <c r="L382" s="16"/>
      <c r="M382" s="16"/>
      <c r="N382" s="16"/>
      <c r="O382" s="18"/>
      <c r="P382" s="18"/>
      <c r="Q382" s="19"/>
      <c r="R382" s="57" t="s">
        <v>61</v>
      </c>
      <c r="S382" s="16"/>
      <c r="T382" s="16"/>
      <c r="U382" s="16"/>
      <c r="V382" s="16"/>
      <c r="W382" s="16"/>
      <c r="X382" s="16"/>
      <c r="Y382" s="16"/>
      <c r="Z382" s="16"/>
      <c r="AA382" s="16"/>
      <c r="AB382" s="20"/>
      <c r="AC382" s="20"/>
      <c r="AD382" s="20"/>
      <c r="AE382" s="20"/>
      <c r="AF382" s="20"/>
      <c r="AG382" s="20"/>
      <c r="AH382" s="32"/>
      <c r="AI382" s="32"/>
      <c r="AJ382" s="32"/>
      <c r="AK382" s="20"/>
      <c r="AL382" s="16"/>
      <c r="AM382" s="16"/>
      <c r="AN382" s="16"/>
    </row>
    <row r="383" spans="2:40" x14ac:dyDescent="0.25">
      <c r="B383" s="21"/>
      <c r="C383" s="17"/>
      <c r="D383" s="16"/>
      <c r="E383" s="16"/>
      <c r="F383" s="18"/>
      <c r="G383" s="18"/>
      <c r="H383" s="57" t="s">
        <v>61</v>
      </c>
      <c r="I383" s="16"/>
      <c r="J383" s="57" t="s">
        <v>61</v>
      </c>
      <c r="K383" s="16"/>
      <c r="L383" s="16"/>
      <c r="M383" s="16"/>
      <c r="N383" s="16"/>
      <c r="O383" s="18"/>
      <c r="P383" s="18"/>
      <c r="Q383" s="19"/>
      <c r="R383" s="57" t="s">
        <v>61</v>
      </c>
      <c r="S383" s="16"/>
      <c r="T383" s="16"/>
      <c r="U383" s="16"/>
      <c r="V383" s="16"/>
      <c r="W383" s="16"/>
      <c r="X383" s="16"/>
      <c r="Y383" s="16"/>
      <c r="Z383" s="16"/>
      <c r="AA383" s="16"/>
      <c r="AB383" s="20"/>
      <c r="AC383" s="20"/>
      <c r="AD383" s="20"/>
      <c r="AE383" s="20"/>
      <c r="AF383" s="20"/>
      <c r="AG383" s="20"/>
      <c r="AH383" s="32"/>
      <c r="AI383" s="32"/>
      <c r="AJ383" s="32"/>
      <c r="AK383" s="20"/>
      <c r="AL383" s="16"/>
      <c r="AM383" s="16"/>
      <c r="AN383" s="16"/>
    </row>
    <row r="384" spans="2:40" x14ac:dyDescent="0.25">
      <c r="B384" s="21"/>
      <c r="C384" s="17"/>
      <c r="D384" s="16"/>
      <c r="E384" s="16"/>
      <c r="F384" s="18"/>
      <c r="G384" s="18"/>
      <c r="H384" s="57" t="s">
        <v>61</v>
      </c>
      <c r="I384" s="16"/>
      <c r="J384" s="57" t="s">
        <v>61</v>
      </c>
      <c r="K384" s="16"/>
      <c r="L384" s="16"/>
      <c r="M384" s="16"/>
      <c r="N384" s="16"/>
      <c r="O384" s="18"/>
      <c r="P384" s="18"/>
      <c r="Q384" s="19"/>
      <c r="R384" s="57" t="s">
        <v>61</v>
      </c>
      <c r="S384" s="16"/>
      <c r="T384" s="16"/>
      <c r="U384" s="16"/>
      <c r="V384" s="16"/>
      <c r="W384" s="16"/>
      <c r="X384" s="16"/>
      <c r="Y384" s="16"/>
      <c r="Z384" s="16"/>
      <c r="AA384" s="16"/>
      <c r="AB384" s="20"/>
      <c r="AC384" s="20"/>
      <c r="AD384" s="20"/>
      <c r="AE384" s="20"/>
      <c r="AF384" s="20"/>
      <c r="AG384" s="20"/>
      <c r="AH384" s="32"/>
      <c r="AI384" s="32"/>
      <c r="AJ384" s="32"/>
      <c r="AK384" s="20"/>
      <c r="AL384" s="16"/>
      <c r="AM384" s="16"/>
      <c r="AN384" s="16"/>
    </row>
    <row r="385" spans="2:40" x14ac:dyDescent="0.25">
      <c r="B385" s="21"/>
      <c r="C385" s="17"/>
      <c r="D385" s="16"/>
      <c r="E385" s="16"/>
      <c r="F385" s="18"/>
      <c r="G385" s="18"/>
      <c r="H385" s="57" t="s">
        <v>61</v>
      </c>
      <c r="I385" s="16"/>
      <c r="J385" s="57" t="s">
        <v>61</v>
      </c>
      <c r="K385" s="16"/>
      <c r="L385" s="16"/>
      <c r="M385" s="16"/>
      <c r="N385" s="16"/>
      <c r="O385" s="18"/>
      <c r="P385" s="18"/>
      <c r="Q385" s="19"/>
      <c r="R385" s="57" t="s">
        <v>61</v>
      </c>
      <c r="S385" s="16"/>
      <c r="T385" s="16"/>
      <c r="U385" s="16"/>
      <c r="V385" s="16"/>
      <c r="W385" s="16"/>
      <c r="X385" s="16"/>
      <c r="Y385" s="16"/>
      <c r="Z385" s="16"/>
      <c r="AA385" s="16"/>
      <c r="AB385" s="20"/>
      <c r="AC385" s="20"/>
      <c r="AD385" s="20"/>
      <c r="AE385" s="20"/>
      <c r="AF385" s="20"/>
      <c r="AG385" s="20"/>
      <c r="AH385" s="32"/>
      <c r="AI385" s="32"/>
      <c r="AJ385" s="32"/>
      <c r="AK385" s="20"/>
      <c r="AL385" s="16"/>
      <c r="AM385" s="16"/>
      <c r="AN385" s="16"/>
    </row>
    <row r="386" spans="2:40" x14ac:dyDescent="0.25">
      <c r="B386" s="21"/>
      <c r="C386" s="17"/>
      <c r="D386" s="16"/>
      <c r="E386" s="16"/>
      <c r="F386" s="18"/>
      <c r="G386" s="18"/>
      <c r="H386" s="57" t="s">
        <v>61</v>
      </c>
      <c r="I386" s="16"/>
      <c r="J386" s="57" t="s">
        <v>61</v>
      </c>
      <c r="K386" s="16"/>
      <c r="L386" s="16"/>
      <c r="M386" s="16"/>
      <c r="N386" s="16"/>
      <c r="O386" s="18"/>
      <c r="P386" s="18"/>
      <c r="Q386" s="19"/>
      <c r="R386" s="57" t="s">
        <v>61</v>
      </c>
      <c r="S386" s="16"/>
      <c r="T386" s="16"/>
      <c r="U386" s="16"/>
      <c r="V386" s="16"/>
      <c r="W386" s="16"/>
      <c r="X386" s="16"/>
      <c r="Y386" s="16"/>
      <c r="Z386" s="16"/>
      <c r="AA386" s="16"/>
      <c r="AB386" s="20"/>
      <c r="AC386" s="20"/>
      <c r="AD386" s="20"/>
      <c r="AE386" s="20"/>
      <c r="AF386" s="20"/>
      <c r="AG386" s="20"/>
      <c r="AH386" s="32"/>
      <c r="AI386" s="32"/>
      <c r="AJ386" s="32"/>
      <c r="AK386" s="20"/>
      <c r="AL386" s="16"/>
      <c r="AM386" s="16"/>
      <c r="AN386" s="16"/>
    </row>
    <row r="387" spans="2:40" x14ac:dyDescent="0.25">
      <c r="B387" s="21"/>
      <c r="C387" s="17"/>
      <c r="D387" s="16"/>
      <c r="E387" s="16"/>
      <c r="F387" s="18"/>
      <c r="G387" s="18"/>
      <c r="H387" s="57" t="s">
        <v>61</v>
      </c>
      <c r="I387" s="16"/>
      <c r="J387" s="57" t="s">
        <v>61</v>
      </c>
      <c r="K387" s="16"/>
      <c r="L387" s="16"/>
      <c r="M387" s="16"/>
      <c r="N387" s="16"/>
      <c r="O387" s="18"/>
      <c r="P387" s="18"/>
      <c r="Q387" s="19"/>
      <c r="R387" s="57" t="s">
        <v>61</v>
      </c>
      <c r="S387" s="16"/>
      <c r="T387" s="16"/>
      <c r="U387" s="16"/>
      <c r="V387" s="16"/>
      <c r="W387" s="16"/>
      <c r="X387" s="16"/>
      <c r="Y387" s="16"/>
      <c r="Z387" s="16"/>
      <c r="AA387" s="16"/>
      <c r="AB387" s="20"/>
      <c r="AC387" s="20"/>
      <c r="AD387" s="20"/>
      <c r="AE387" s="20"/>
      <c r="AF387" s="20"/>
      <c r="AG387" s="20"/>
      <c r="AH387" s="32"/>
      <c r="AI387" s="32"/>
      <c r="AJ387" s="32"/>
      <c r="AK387" s="20"/>
      <c r="AL387" s="16"/>
      <c r="AM387" s="16"/>
      <c r="AN387" s="16"/>
    </row>
    <row r="388" spans="2:40" x14ac:dyDescent="0.25">
      <c r="B388" s="21"/>
      <c r="C388" s="17"/>
      <c r="D388" s="16"/>
      <c r="E388" s="16"/>
      <c r="F388" s="18"/>
      <c r="G388" s="18"/>
      <c r="H388" s="57" t="s">
        <v>61</v>
      </c>
      <c r="I388" s="16"/>
      <c r="J388" s="57" t="s">
        <v>61</v>
      </c>
      <c r="K388" s="16"/>
      <c r="L388" s="16"/>
      <c r="M388" s="16"/>
      <c r="N388" s="16"/>
      <c r="O388" s="18"/>
      <c r="P388" s="18"/>
      <c r="Q388" s="19"/>
      <c r="R388" s="57" t="s">
        <v>61</v>
      </c>
      <c r="S388" s="16"/>
      <c r="T388" s="16"/>
      <c r="U388" s="16"/>
      <c r="V388" s="16"/>
      <c r="W388" s="16"/>
      <c r="X388" s="16"/>
      <c r="Y388" s="16"/>
      <c r="Z388" s="16"/>
      <c r="AA388" s="16"/>
      <c r="AB388" s="20"/>
      <c r="AC388" s="20"/>
      <c r="AD388" s="20"/>
      <c r="AE388" s="20"/>
      <c r="AF388" s="20"/>
      <c r="AG388" s="20"/>
      <c r="AH388" s="32"/>
      <c r="AI388" s="32"/>
      <c r="AJ388" s="32"/>
      <c r="AK388" s="20"/>
      <c r="AL388" s="16"/>
      <c r="AM388" s="16"/>
      <c r="AN388" s="16"/>
    </row>
    <row r="389" spans="2:40" x14ac:dyDescent="0.25">
      <c r="B389" s="21"/>
      <c r="C389" s="17"/>
      <c r="D389" s="16"/>
      <c r="E389" s="16"/>
      <c r="F389" s="18"/>
      <c r="G389" s="18"/>
      <c r="H389" s="57" t="s">
        <v>61</v>
      </c>
      <c r="I389" s="16"/>
      <c r="J389" s="57" t="s">
        <v>61</v>
      </c>
      <c r="K389" s="16"/>
      <c r="L389" s="16"/>
      <c r="M389" s="16"/>
      <c r="N389" s="16"/>
      <c r="O389" s="18"/>
      <c r="P389" s="18"/>
      <c r="Q389" s="19"/>
      <c r="R389" s="57" t="s">
        <v>61</v>
      </c>
      <c r="S389" s="16"/>
      <c r="T389" s="16"/>
      <c r="U389" s="16"/>
      <c r="V389" s="16"/>
      <c r="W389" s="16"/>
      <c r="X389" s="16"/>
      <c r="Y389" s="16"/>
      <c r="Z389" s="16"/>
      <c r="AA389" s="16"/>
      <c r="AB389" s="20"/>
      <c r="AC389" s="20"/>
      <c r="AD389" s="20"/>
      <c r="AE389" s="20"/>
      <c r="AF389" s="20"/>
      <c r="AG389" s="20"/>
      <c r="AH389" s="32"/>
      <c r="AI389" s="32"/>
      <c r="AJ389" s="32"/>
      <c r="AK389" s="20"/>
      <c r="AL389" s="16"/>
      <c r="AM389" s="16"/>
      <c r="AN389" s="16"/>
    </row>
    <row r="390" spans="2:40" x14ac:dyDescent="0.25">
      <c r="B390" s="21"/>
      <c r="C390" s="17"/>
      <c r="D390" s="16"/>
      <c r="E390" s="16"/>
      <c r="F390" s="18"/>
      <c r="G390" s="18"/>
      <c r="H390" s="57" t="s">
        <v>61</v>
      </c>
      <c r="I390" s="16"/>
      <c r="J390" s="57" t="s">
        <v>61</v>
      </c>
      <c r="K390" s="16"/>
      <c r="L390" s="16"/>
      <c r="M390" s="16"/>
      <c r="N390" s="16"/>
      <c r="O390" s="18"/>
      <c r="P390" s="18"/>
      <c r="Q390" s="19"/>
      <c r="R390" s="57" t="s">
        <v>61</v>
      </c>
      <c r="S390" s="16"/>
      <c r="T390" s="16"/>
      <c r="U390" s="16"/>
      <c r="V390" s="16"/>
      <c r="W390" s="16"/>
      <c r="X390" s="16"/>
      <c r="Y390" s="16"/>
      <c r="Z390" s="16"/>
      <c r="AA390" s="16"/>
      <c r="AB390" s="20"/>
      <c r="AC390" s="20"/>
      <c r="AD390" s="20"/>
      <c r="AE390" s="20"/>
      <c r="AF390" s="20"/>
      <c r="AG390" s="20"/>
      <c r="AH390" s="32"/>
      <c r="AI390" s="32"/>
      <c r="AJ390" s="32"/>
      <c r="AK390" s="20"/>
      <c r="AL390" s="16"/>
      <c r="AM390" s="16"/>
      <c r="AN390" s="16"/>
    </row>
    <row r="391" spans="2:40" x14ac:dyDescent="0.25">
      <c r="B391" s="21"/>
      <c r="C391" s="17"/>
      <c r="D391" s="16"/>
      <c r="E391" s="16"/>
      <c r="F391" s="18"/>
      <c r="G391" s="18"/>
      <c r="H391" s="57" t="s">
        <v>61</v>
      </c>
      <c r="I391" s="16"/>
      <c r="J391" s="57" t="s">
        <v>61</v>
      </c>
      <c r="K391" s="16"/>
      <c r="L391" s="16"/>
      <c r="M391" s="16"/>
      <c r="N391" s="16"/>
      <c r="O391" s="18"/>
      <c r="P391" s="18"/>
      <c r="Q391" s="19"/>
      <c r="R391" s="57" t="s">
        <v>61</v>
      </c>
      <c r="S391" s="16"/>
      <c r="T391" s="16"/>
      <c r="U391" s="16"/>
      <c r="V391" s="16"/>
      <c r="W391" s="16"/>
      <c r="X391" s="16"/>
      <c r="Y391" s="16"/>
      <c r="Z391" s="16"/>
      <c r="AA391" s="16"/>
      <c r="AB391" s="20"/>
      <c r="AC391" s="20"/>
      <c r="AD391" s="20"/>
      <c r="AE391" s="20"/>
      <c r="AF391" s="20"/>
      <c r="AG391" s="20"/>
      <c r="AH391" s="32"/>
      <c r="AI391" s="32"/>
      <c r="AJ391" s="32"/>
      <c r="AK391" s="20"/>
      <c r="AL391" s="16"/>
      <c r="AM391" s="16"/>
      <c r="AN391" s="16"/>
    </row>
    <row r="392" spans="2:40" x14ac:dyDescent="0.25">
      <c r="B392" s="21"/>
      <c r="C392" s="17"/>
      <c r="D392" s="16"/>
      <c r="E392" s="16"/>
      <c r="F392" s="18"/>
      <c r="G392" s="18"/>
      <c r="H392" s="57" t="s">
        <v>61</v>
      </c>
      <c r="I392" s="16"/>
      <c r="J392" s="57" t="s">
        <v>61</v>
      </c>
      <c r="K392" s="16"/>
      <c r="L392" s="16"/>
      <c r="M392" s="16"/>
      <c r="N392" s="16"/>
      <c r="O392" s="18"/>
      <c r="P392" s="18"/>
      <c r="Q392" s="19"/>
      <c r="R392" s="57" t="s">
        <v>61</v>
      </c>
      <c r="S392" s="16"/>
      <c r="T392" s="16"/>
      <c r="U392" s="16"/>
      <c r="V392" s="16"/>
      <c r="W392" s="16"/>
      <c r="X392" s="16"/>
      <c r="Y392" s="16"/>
      <c r="Z392" s="16"/>
      <c r="AA392" s="16"/>
      <c r="AB392" s="20"/>
      <c r="AC392" s="20"/>
      <c r="AD392" s="20"/>
      <c r="AE392" s="20"/>
      <c r="AF392" s="20"/>
      <c r="AG392" s="20"/>
      <c r="AH392" s="32"/>
      <c r="AI392" s="32"/>
      <c r="AJ392" s="32"/>
      <c r="AK392" s="20"/>
      <c r="AL392" s="16"/>
      <c r="AM392" s="16"/>
      <c r="AN392" s="16"/>
    </row>
    <row r="393" spans="2:40" x14ac:dyDescent="0.25">
      <c r="B393" s="21"/>
      <c r="C393" s="17"/>
      <c r="D393" s="16"/>
      <c r="E393" s="16"/>
      <c r="F393" s="18"/>
      <c r="G393" s="18"/>
      <c r="H393" s="57" t="s">
        <v>61</v>
      </c>
      <c r="I393" s="16"/>
      <c r="J393" s="57" t="s">
        <v>61</v>
      </c>
      <c r="K393" s="16"/>
      <c r="L393" s="16"/>
      <c r="M393" s="16"/>
      <c r="N393" s="16"/>
      <c r="O393" s="18"/>
      <c r="P393" s="18"/>
      <c r="Q393" s="19"/>
      <c r="R393" s="57" t="s">
        <v>61</v>
      </c>
      <c r="S393" s="16"/>
      <c r="T393" s="16"/>
      <c r="U393" s="16"/>
      <c r="V393" s="16"/>
      <c r="W393" s="16"/>
      <c r="X393" s="16"/>
      <c r="Y393" s="16"/>
      <c r="Z393" s="16"/>
      <c r="AA393" s="16"/>
      <c r="AB393" s="20"/>
      <c r="AC393" s="20"/>
      <c r="AD393" s="20"/>
      <c r="AE393" s="20"/>
      <c r="AF393" s="20"/>
      <c r="AG393" s="20"/>
      <c r="AH393" s="32"/>
      <c r="AI393" s="32"/>
      <c r="AJ393" s="32"/>
      <c r="AK393" s="20"/>
      <c r="AL393" s="16"/>
      <c r="AM393" s="16"/>
      <c r="AN393" s="16"/>
    </row>
    <row r="394" spans="2:40" x14ac:dyDescent="0.25">
      <c r="B394" s="21"/>
      <c r="C394" s="17"/>
      <c r="D394" s="16"/>
      <c r="E394" s="16"/>
      <c r="F394" s="18"/>
      <c r="G394" s="18"/>
      <c r="H394" s="57" t="s">
        <v>61</v>
      </c>
      <c r="I394" s="16"/>
      <c r="J394" s="57" t="s">
        <v>61</v>
      </c>
      <c r="K394" s="16"/>
      <c r="L394" s="16"/>
      <c r="M394" s="16"/>
      <c r="N394" s="16"/>
      <c r="O394" s="18"/>
      <c r="P394" s="18"/>
      <c r="Q394" s="19"/>
      <c r="R394" s="57" t="s">
        <v>61</v>
      </c>
      <c r="S394" s="16"/>
      <c r="T394" s="16"/>
      <c r="U394" s="16"/>
      <c r="V394" s="16"/>
      <c r="W394" s="16"/>
      <c r="X394" s="16"/>
      <c r="Y394" s="16"/>
      <c r="Z394" s="16"/>
      <c r="AA394" s="16"/>
      <c r="AB394" s="20"/>
      <c r="AC394" s="20"/>
      <c r="AD394" s="20"/>
      <c r="AE394" s="20"/>
      <c r="AF394" s="20"/>
      <c r="AG394" s="20"/>
      <c r="AH394" s="32"/>
      <c r="AI394" s="32"/>
      <c r="AJ394" s="32"/>
      <c r="AK394" s="20"/>
      <c r="AL394" s="16"/>
      <c r="AM394" s="16"/>
      <c r="AN394" s="16"/>
    </row>
    <row r="395" spans="2:40" x14ac:dyDescent="0.25">
      <c r="B395" s="21"/>
      <c r="C395" s="17"/>
      <c r="D395" s="16"/>
      <c r="E395" s="16"/>
      <c r="F395" s="18"/>
      <c r="G395" s="18"/>
      <c r="H395" s="57" t="s">
        <v>61</v>
      </c>
      <c r="I395" s="16"/>
      <c r="J395" s="57" t="s">
        <v>61</v>
      </c>
      <c r="K395" s="16"/>
      <c r="L395" s="16"/>
      <c r="M395" s="16"/>
      <c r="N395" s="16"/>
      <c r="O395" s="18"/>
      <c r="P395" s="18"/>
      <c r="Q395" s="19"/>
      <c r="R395" s="57" t="s">
        <v>61</v>
      </c>
      <c r="S395" s="16"/>
      <c r="T395" s="16"/>
      <c r="U395" s="16"/>
      <c r="V395" s="16"/>
      <c r="W395" s="16"/>
      <c r="X395" s="16"/>
      <c r="Y395" s="16"/>
      <c r="Z395" s="16"/>
      <c r="AA395" s="16"/>
      <c r="AB395" s="20"/>
      <c r="AC395" s="20"/>
      <c r="AD395" s="20"/>
      <c r="AE395" s="20"/>
      <c r="AF395" s="20"/>
      <c r="AG395" s="20"/>
      <c r="AH395" s="32"/>
      <c r="AI395" s="32"/>
      <c r="AJ395" s="32"/>
      <c r="AK395" s="20"/>
      <c r="AL395" s="16"/>
      <c r="AM395" s="16"/>
      <c r="AN395" s="16"/>
    </row>
    <row r="396" spans="2:40" x14ac:dyDescent="0.25">
      <c r="B396" s="21"/>
      <c r="C396" s="17"/>
      <c r="D396" s="16"/>
      <c r="E396" s="16"/>
      <c r="F396" s="18"/>
      <c r="G396" s="18"/>
      <c r="H396" s="57" t="s">
        <v>61</v>
      </c>
      <c r="I396" s="16"/>
      <c r="J396" s="57" t="s">
        <v>61</v>
      </c>
      <c r="K396" s="16"/>
      <c r="L396" s="16"/>
      <c r="M396" s="16"/>
      <c r="N396" s="16"/>
      <c r="O396" s="18"/>
      <c r="P396" s="18"/>
      <c r="Q396" s="19"/>
      <c r="R396" s="57" t="s">
        <v>61</v>
      </c>
      <c r="S396" s="16"/>
      <c r="T396" s="16"/>
      <c r="U396" s="16"/>
      <c r="V396" s="16"/>
      <c r="W396" s="16"/>
      <c r="X396" s="16"/>
      <c r="Y396" s="16"/>
      <c r="Z396" s="16"/>
      <c r="AA396" s="16"/>
      <c r="AB396" s="20"/>
      <c r="AC396" s="20"/>
      <c r="AD396" s="20"/>
      <c r="AE396" s="20"/>
      <c r="AF396" s="20"/>
      <c r="AG396" s="20"/>
      <c r="AH396" s="32"/>
      <c r="AI396" s="32"/>
      <c r="AJ396" s="32"/>
      <c r="AK396" s="20"/>
      <c r="AL396" s="16"/>
      <c r="AM396" s="16"/>
      <c r="AN396" s="16"/>
    </row>
    <row r="397" spans="2:40" x14ac:dyDescent="0.25">
      <c r="B397" s="21"/>
      <c r="C397" s="17"/>
      <c r="D397" s="16"/>
      <c r="E397" s="16"/>
      <c r="F397" s="18"/>
      <c r="G397" s="18"/>
      <c r="H397" s="57" t="s">
        <v>61</v>
      </c>
      <c r="I397" s="16"/>
      <c r="J397" s="57" t="s">
        <v>61</v>
      </c>
      <c r="K397" s="16"/>
      <c r="L397" s="16"/>
      <c r="M397" s="16"/>
      <c r="N397" s="16"/>
      <c r="O397" s="18"/>
      <c r="P397" s="18"/>
      <c r="Q397" s="19"/>
      <c r="R397" s="57" t="s">
        <v>61</v>
      </c>
      <c r="S397" s="16"/>
      <c r="T397" s="16"/>
      <c r="U397" s="16"/>
      <c r="V397" s="16"/>
      <c r="W397" s="16"/>
      <c r="X397" s="16"/>
      <c r="Y397" s="16"/>
      <c r="Z397" s="16"/>
      <c r="AA397" s="16"/>
      <c r="AB397" s="20"/>
      <c r="AC397" s="20"/>
      <c r="AD397" s="20"/>
      <c r="AE397" s="20"/>
      <c r="AF397" s="20"/>
      <c r="AG397" s="20"/>
      <c r="AH397" s="32"/>
      <c r="AI397" s="32"/>
      <c r="AJ397" s="32"/>
      <c r="AK397" s="20"/>
      <c r="AL397" s="16"/>
      <c r="AM397" s="16"/>
      <c r="AN397" s="16"/>
    </row>
    <row r="398" spans="2:40" x14ac:dyDescent="0.25">
      <c r="B398" s="21"/>
      <c r="C398" s="17"/>
      <c r="D398" s="16"/>
      <c r="E398" s="16"/>
      <c r="F398" s="18"/>
      <c r="G398" s="18"/>
      <c r="H398" s="57" t="s">
        <v>61</v>
      </c>
      <c r="I398" s="16"/>
      <c r="J398" s="57" t="s">
        <v>61</v>
      </c>
      <c r="K398" s="16"/>
      <c r="L398" s="16"/>
      <c r="M398" s="16"/>
      <c r="N398" s="16"/>
      <c r="O398" s="18"/>
      <c r="P398" s="18"/>
      <c r="Q398" s="19"/>
      <c r="R398" s="57" t="s">
        <v>61</v>
      </c>
      <c r="S398" s="16"/>
      <c r="T398" s="16"/>
      <c r="U398" s="16"/>
      <c r="V398" s="16"/>
      <c r="W398" s="16"/>
      <c r="X398" s="16"/>
      <c r="Y398" s="16"/>
      <c r="Z398" s="16"/>
      <c r="AA398" s="16"/>
      <c r="AB398" s="20"/>
      <c r="AC398" s="20"/>
      <c r="AD398" s="20"/>
      <c r="AE398" s="20"/>
      <c r="AF398" s="20"/>
      <c r="AG398" s="20"/>
      <c r="AH398" s="32"/>
      <c r="AI398" s="32"/>
      <c r="AJ398" s="32"/>
      <c r="AK398" s="20"/>
      <c r="AL398" s="16"/>
      <c r="AM398" s="16"/>
      <c r="AN398" s="16"/>
    </row>
    <row r="399" spans="2:40" x14ac:dyDescent="0.25">
      <c r="B399" s="21"/>
      <c r="C399" s="17"/>
      <c r="D399" s="16"/>
      <c r="E399" s="16"/>
      <c r="F399" s="18"/>
      <c r="G399" s="18"/>
      <c r="H399" s="57" t="s">
        <v>61</v>
      </c>
      <c r="I399" s="16"/>
      <c r="J399" s="57" t="s">
        <v>61</v>
      </c>
      <c r="K399" s="16"/>
      <c r="L399" s="16"/>
      <c r="M399" s="16"/>
      <c r="N399" s="16"/>
      <c r="O399" s="18"/>
      <c r="P399" s="18"/>
      <c r="Q399" s="19"/>
      <c r="R399" s="57" t="s">
        <v>61</v>
      </c>
      <c r="S399" s="16"/>
      <c r="T399" s="16"/>
      <c r="U399" s="16"/>
      <c r="V399" s="16"/>
      <c r="W399" s="16"/>
      <c r="X399" s="16"/>
      <c r="Y399" s="16"/>
      <c r="Z399" s="16"/>
      <c r="AA399" s="16"/>
      <c r="AB399" s="20"/>
      <c r="AC399" s="20"/>
      <c r="AD399" s="20"/>
      <c r="AE399" s="20"/>
      <c r="AF399" s="20"/>
      <c r="AG399" s="20"/>
      <c r="AH399" s="32"/>
      <c r="AI399" s="32"/>
      <c r="AJ399" s="32"/>
      <c r="AK399" s="20"/>
      <c r="AL399" s="16"/>
      <c r="AM399" s="16"/>
      <c r="AN399" s="16"/>
    </row>
    <row r="400" spans="2:40" x14ac:dyDescent="0.25">
      <c r="B400" s="21"/>
      <c r="C400" s="17"/>
      <c r="D400" s="16"/>
      <c r="E400" s="16"/>
      <c r="F400" s="18"/>
      <c r="G400" s="18"/>
      <c r="H400" s="57" t="s">
        <v>61</v>
      </c>
      <c r="I400" s="16"/>
      <c r="J400" s="57" t="s">
        <v>61</v>
      </c>
      <c r="K400" s="16"/>
      <c r="L400" s="16"/>
      <c r="M400" s="16"/>
      <c r="N400" s="16"/>
      <c r="O400" s="18"/>
      <c r="P400" s="18"/>
      <c r="Q400" s="19"/>
      <c r="R400" s="57" t="s">
        <v>61</v>
      </c>
      <c r="S400" s="16"/>
      <c r="T400" s="16"/>
      <c r="U400" s="16"/>
      <c r="V400" s="16"/>
      <c r="W400" s="16"/>
      <c r="X400" s="16"/>
      <c r="Y400" s="16"/>
      <c r="Z400" s="16"/>
      <c r="AA400" s="16"/>
      <c r="AB400" s="20"/>
      <c r="AC400" s="20"/>
      <c r="AD400" s="20"/>
      <c r="AE400" s="20"/>
      <c r="AF400" s="20"/>
      <c r="AG400" s="20"/>
      <c r="AH400" s="32"/>
      <c r="AI400" s="32"/>
      <c r="AJ400" s="32"/>
      <c r="AK400" s="20"/>
      <c r="AL400" s="16"/>
      <c r="AM400" s="16"/>
      <c r="AN400" s="16"/>
    </row>
    <row r="401" spans="2:40" x14ac:dyDescent="0.25">
      <c r="B401" s="21"/>
      <c r="C401" s="17"/>
      <c r="D401" s="16"/>
      <c r="E401" s="16"/>
      <c r="F401" s="18"/>
      <c r="G401" s="18"/>
      <c r="H401" s="57" t="s">
        <v>61</v>
      </c>
      <c r="I401" s="16"/>
      <c r="J401" s="57" t="s">
        <v>61</v>
      </c>
      <c r="K401" s="16"/>
      <c r="L401" s="16"/>
      <c r="M401" s="16"/>
      <c r="N401" s="16"/>
      <c r="O401" s="18"/>
      <c r="P401" s="18"/>
      <c r="Q401" s="19"/>
      <c r="R401" s="57" t="s">
        <v>61</v>
      </c>
      <c r="S401" s="16"/>
      <c r="T401" s="16"/>
      <c r="U401" s="16"/>
      <c r="V401" s="16"/>
      <c r="W401" s="16"/>
      <c r="X401" s="16"/>
      <c r="Y401" s="16"/>
      <c r="Z401" s="16"/>
      <c r="AA401" s="16"/>
      <c r="AB401" s="20"/>
      <c r="AC401" s="20"/>
      <c r="AD401" s="20"/>
      <c r="AE401" s="20"/>
      <c r="AF401" s="20"/>
      <c r="AG401" s="20"/>
      <c r="AH401" s="32"/>
      <c r="AI401" s="32"/>
      <c r="AJ401" s="32"/>
      <c r="AK401" s="20"/>
      <c r="AL401" s="16"/>
      <c r="AM401" s="16"/>
      <c r="AN401" s="16"/>
    </row>
    <row r="402" spans="2:40" x14ac:dyDescent="0.25">
      <c r="B402" s="21"/>
      <c r="C402" s="17"/>
      <c r="D402" s="16"/>
      <c r="E402" s="16"/>
      <c r="F402" s="18"/>
      <c r="G402" s="18"/>
      <c r="H402" s="57" t="s">
        <v>61</v>
      </c>
      <c r="I402" s="16"/>
      <c r="J402" s="57" t="s">
        <v>61</v>
      </c>
      <c r="K402" s="16"/>
      <c r="L402" s="16"/>
      <c r="M402" s="16"/>
      <c r="N402" s="16"/>
      <c r="O402" s="18"/>
      <c r="P402" s="18"/>
      <c r="Q402" s="19"/>
      <c r="R402" s="57" t="s">
        <v>61</v>
      </c>
      <c r="S402" s="16"/>
      <c r="T402" s="16"/>
      <c r="U402" s="16"/>
      <c r="V402" s="16"/>
      <c r="W402" s="16"/>
      <c r="X402" s="16"/>
      <c r="Y402" s="16"/>
      <c r="Z402" s="16"/>
      <c r="AA402" s="16"/>
      <c r="AB402" s="20"/>
      <c r="AC402" s="20"/>
      <c r="AD402" s="20"/>
      <c r="AE402" s="20"/>
      <c r="AF402" s="20"/>
      <c r="AG402" s="20"/>
      <c r="AH402" s="32"/>
      <c r="AI402" s="32"/>
      <c r="AJ402" s="32"/>
      <c r="AK402" s="20"/>
      <c r="AL402" s="16"/>
      <c r="AM402" s="16"/>
      <c r="AN402" s="16"/>
    </row>
    <row r="403" spans="2:40" x14ac:dyDescent="0.25">
      <c r="B403" s="21"/>
      <c r="C403" s="17"/>
      <c r="D403" s="16"/>
      <c r="E403" s="16"/>
      <c r="F403" s="18"/>
      <c r="G403" s="18"/>
      <c r="H403" s="57" t="s">
        <v>61</v>
      </c>
      <c r="I403" s="16"/>
      <c r="J403" s="57" t="s">
        <v>61</v>
      </c>
      <c r="K403" s="16"/>
      <c r="L403" s="16"/>
      <c r="M403" s="16"/>
      <c r="N403" s="16"/>
      <c r="O403" s="18"/>
      <c r="P403" s="18"/>
      <c r="Q403" s="19"/>
      <c r="R403" s="57" t="s">
        <v>61</v>
      </c>
      <c r="S403" s="16"/>
      <c r="T403" s="16"/>
      <c r="U403" s="16"/>
      <c r="V403" s="16"/>
      <c r="W403" s="16"/>
      <c r="X403" s="16"/>
      <c r="Y403" s="16"/>
      <c r="Z403" s="16"/>
      <c r="AA403" s="16"/>
      <c r="AB403" s="20"/>
      <c r="AC403" s="20"/>
      <c r="AD403" s="20"/>
      <c r="AE403" s="20"/>
      <c r="AF403" s="20"/>
      <c r="AG403" s="20"/>
      <c r="AH403" s="32"/>
      <c r="AI403" s="32"/>
      <c r="AJ403" s="32"/>
      <c r="AK403" s="20"/>
      <c r="AL403" s="16"/>
      <c r="AM403" s="16"/>
      <c r="AN403" s="16"/>
    </row>
    <row r="404" spans="2:40" x14ac:dyDescent="0.25">
      <c r="B404" s="21"/>
      <c r="C404" s="17"/>
      <c r="D404" s="16"/>
      <c r="E404" s="16"/>
      <c r="F404" s="18"/>
      <c r="G404" s="18"/>
      <c r="H404" s="57" t="s">
        <v>61</v>
      </c>
      <c r="I404" s="16"/>
      <c r="J404" s="57" t="s">
        <v>61</v>
      </c>
      <c r="K404" s="16"/>
      <c r="L404" s="16"/>
      <c r="M404" s="16"/>
      <c r="N404" s="16"/>
      <c r="O404" s="18"/>
      <c r="P404" s="18"/>
      <c r="Q404" s="19"/>
      <c r="R404" s="57" t="s">
        <v>61</v>
      </c>
      <c r="S404" s="16"/>
      <c r="T404" s="16"/>
      <c r="U404" s="16"/>
      <c r="V404" s="16"/>
      <c r="W404" s="16"/>
      <c r="X404" s="16"/>
      <c r="Y404" s="16"/>
      <c r="Z404" s="16"/>
      <c r="AA404" s="16"/>
      <c r="AB404" s="20"/>
      <c r="AC404" s="20"/>
      <c r="AD404" s="20"/>
      <c r="AE404" s="20"/>
      <c r="AF404" s="20"/>
      <c r="AG404" s="20"/>
      <c r="AH404" s="32"/>
      <c r="AI404" s="32"/>
      <c r="AJ404" s="32"/>
      <c r="AK404" s="20"/>
      <c r="AL404" s="16"/>
      <c r="AM404" s="16"/>
      <c r="AN404" s="16"/>
    </row>
    <row r="405" spans="2:40" x14ac:dyDescent="0.25">
      <c r="B405" s="21"/>
      <c r="C405" s="17"/>
      <c r="D405" s="16"/>
      <c r="E405" s="16"/>
      <c r="F405" s="18"/>
      <c r="G405" s="18"/>
      <c r="H405" s="57" t="s">
        <v>61</v>
      </c>
      <c r="I405" s="16"/>
      <c r="J405" s="57" t="s">
        <v>61</v>
      </c>
      <c r="K405" s="16"/>
      <c r="L405" s="16"/>
      <c r="M405" s="16"/>
      <c r="N405" s="16"/>
      <c r="O405" s="18"/>
      <c r="P405" s="18"/>
      <c r="Q405" s="19"/>
      <c r="R405" s="57" t="s">
        <v>61</v>
      </c>
      <c r="S405" s="16"/>
      <c r="T405" s="16"/>
      <c r="U405" s="16"/>
      <c r="V405" s="16"/>
      <c r="W405" s="16"/>
      <c r="X405" s="16"/>
      <c r="Y405" s="16"/>
      <c r="Z405" s="16"/>
      <c r="AA405" s="16"/>
      <c r="AB405" s="20"/>
      <c r="AC405" s="20"/>
      <c r="AD405" s="20"/>
      <c r="AE405" s="20"/>
      <c r="AF405" s="20"/>
      <c r="AG405" s="20"/>
      <c r="AH405" s="32"/>
      <c r="AI405" s="32"/>
      <c r="AJ405" s="32"/>
      <c r="AK405" s="20"/>
      <c r="AL405" s="16"/>
      <c r="AM405" s="16"/>
      <c r="AN405" s="16"/>
    </row>
    <row r="406" spans="2:40" x14ac:dyDescent="0.25">
      <c r="B406" s="21"/>
      <c r="C406" s="17"/>
      <c r="D406" s="16"/>
      <c r="E406" s="16"/>
      <c r="F406" s="18"/>
      <c r="G406" s="18"/>
      <c r="H406" s="57" t="s">
        <v>61</v>
      </c>
      <c r="I406" s="16"/>
      <c r="J406" s="57" t="s">
        <v>61</v>
      </c>
      <c r="K406" s="16"/>
      <c r="L406" s="16"/>
      <c r="M406" s="16"/>
      <c r="N406" s="16"/>
      <c r="O406" s="18"/>
      <c r="P406" s="18"/>
      <c r="Q406" s="19"/>
      <c r="R406" s="57" t="s">
        <v>61</v>
      </c>
      <c r="S406" s="16"/>
      <c r="T406" s="16"/>
      <c r="U406" s="16"/>
      <c r="V406" s="16"/>
      <c r="W406" s="16"/>
      <c r="X406" s="16"/>
      <c r="Y406" s="16"/>
      <c r="Z406" s="16"/>
      <c r="AA406" s="16"/>
      <c r="AB406" s="20"/>
      <c r="AC406" s="20"/>
      <c r="AD406" s="20"/>
      <c r="AE406" s="20"/>
      <c r="AF406" s="20"/>
      <c r="AG406" s="20"/>
      <c r="AH406" s="32"/>
      <c r="AI406" s="32"/>
      <c r="AJ406" s="32"/>
      <c r="AK406" s="20"/>
      <c r="AL406" s="16"/>
      <c r="AM406" s="16"/>
      <c r="AN406" s="16"/>
    </row>
    <row r="407" spans="2:40" x14ac:dyDescent="0.25">
      <c r="B407" s="21"/>
      <c r="C407" s="17"/>
      <c r="D407" s="16"/>
      <c r="E407" s="16"/>
      <c r="F407" s="18"/>
      <c r="G407" s="18"/>
      <c r="H407" s="57" t="s">
        <v>61</v>
      </c>
      <c r="I407" s="16"/>
      <c r="J407" s="57" t="s">
        <v>61</v>
      </c>
      <c r="K407" s="16"/>
      <c r="L407" s="16"/>
      <c r="M407" s="16"/>
      <c r="N407" s="16"/>
      <c r="O407" s="18"/>
      <c r="P407" s="18"/>
      <c r="Q407" s="19"/>
      <c r="R407" s="57" t="s">
        <v>61</v>
      </c>
      <c r="S407" s="16"/>
      <c r="T407" s="16"/>
      <c r="U407" s="16"/>
      <c r="V407" s="16"/>
      <c r="W407" s="16"/>
      <c r="X407" s="16"/>
      <c r="Y407" s="16"/>
      <c r="Z407" s="16"/>
      <c r="AA407" s="16"/>
      <c r="AB407" s="20"/>
      <c r="AC407" s="20"/>
      <c r="AD407" s="20"/>
      <c r="AE407" s="20"/>
      <c r="AF407" s="20"/>
      <c r="AG407" s="20"/>
      <c r="AH407" s="32"/>
      <c r="AI407" s="32"/>
      <c r="AJ407" s="32"/>
      <c r="AK407" s="20"/>
      <c r="AL407" s="16"/>
      <c r="AM407" s="16"/>
      <c r="AN407" s="16"/>
    </row>
    <row r="408" spans="2:40" x14ac:dyDescent="0.25">
      <c r="B408" s="21"/>
      <c r="C408" s="17"/>
      <c r="D408" s="16"/>
      <c r="E408" s="16"/>
      <c r="F408" s="18"/>
      <c r="G408" s="18"/>
      <c r="H408" s="57" t="s">
        <v>61</v>
      </c>
      <c r="I408" s="16"/>
      <c r="J408" s="57" t="s">
        <v>61</v>
      </c>
      <c r="K408" s="16"/>
      <c r="L408" s="16"/>
      <c r="M408" s="16"/>
      <c r="N408" s="16"/>
      <c r="O408" s="18"/>
      <c r="P408" s="18"/>
      <c r="Q408" s="19"/>
      <c r="R408" s="57" t="s">
        <v>61</v>
      </c>
      <c r="S408" s="16"/>
      <c r="T408" s="16"/>
      <c r="U408" s="16"/>
      <c r="V408" s="16"/>
      <c r="W408" s="16"/>
      <c r="X408" s="16"/>
      <c r="Y408" s="16"/>
      <c r="Z408" s="16"/>
      <c r="AA408" s="16"/>
      <c r="AB408" s="20"/>
      <c r="AC408" s="20"/>
      <c r="AD408" s="20"/>
      <c r="AE408" s="20"/>
      <c r="AF408" s="20"/>
      <c r="AG408" s="20"/>
      <c r="AH408" s="32"/>
      <c r="AI408" s="32"/>
      <c r="AJ408" s="32"/>
      <c r="AK408" s="20"/>
      <c r="AL408" s="16"/>
      <c r="AM408" s="16"/>
      <c r="AN408" s="16"/>
    </row>
    <row r="409" spans="2:40" x14ac:dyDescent="0.25">
      <c r="B409" s="21"/>
      <c r="C409" s="17"/>
      <c r="D409" s="16"/>
      <c r="E409" s="16"/>
      <c r="F409" s="18"/>
      <c r="G409" s="18"/>
      <c r="H409" s="57" t="s">
        <v>61</v>
      </c>
      <c r="I409" s="16"/>
      <c r="J409" s="57" t="s">
        <v>61</v>
      </c>
      <c r="K409" s="16"/>
      <c r="L409" s="16"/>
      <c r="M409" s="16"/>
      <c r="N409" s="16"/>
      <c r="O409" s="18"/>
      <c r="P409" s="18"/>
      <c r="Q409" s="19"/>
      <c r="R409" s="57" t="s">
        <v>61</v>
      </c>
      <c r="S409" s="16"/>
      <c r="T409" s="16"/>
      <c r="U409" s="16"/>
      <c r="V409" s="16"/>
      <c r="W409" s="16"/>
      <c r="X409" s="16"/>
      <c r="Y409" s="16"/>
      <c r="Z409" s="16"/>
      <c r="AA409" s="16"/>
      <c r="AB409" s="20"/>
      <c r="AC409" s="20"/>
      <c r="AD409" s="20"/>
      <c r="AE409" s="20"/>
      <c r="AF409" s="20"/>
      <c r="AG409" s="20"/>
      <c r="AH409" s="32"/>
      <c r="AI409" s="32"/>
      <c r="AJ409" s="32"/>
      <c r="AK409" s="20"/>
      <c r="AL409" s="16"/>
      <c r="AM409" s="16"/>
      <c r="AN409" s="16"/>
    </row>
    <row r="410" spans="2:40" x14ac:dyDescent="0.25">
      <c r="B410" s="21"/>
      <c r="C410" s="17"/>
      <c r="D410" s="16"/>
      <c r="E410" s="16"/>
      <c r="F410" s="18"/>
      <c r="G410" s="18"/>
      <c r="H410" s="57" t="s">
        <v>61</v>
      </c>
      <c r="I410" s="16"/>
      <c r="J410" s="57" t="s">
        <v>61</v>
      </c>
      <c r="K410" s="16"/>
      <c r="L410" s="16"/>
      <c r="M410" s="16"/>
      <c r="N410" s="16"/>
      <c r="O410" s="18"/>
      <c r="P410" s="18"/>
      <c r="Q410" s="19"/>
      <c r="R410" s="57" t="s">
        <v>61</v>
      </c>
      <c r="S410" s="16"/>
      <c r="T410" s="16"/>
      <c r="U410" s="16"/>
      <c r="V410" s="16"/>
      <c r="W410" s="16"/>
      <c r="X410" s="16"/>
      <c r="Y410" s="16"/>
      <c r="Z410" s="16"/>
      <c r="AA410" s="16"/>
      <c r="AB410" s="20"/>
      <c r="AC410" s="20"/>
      <c r="AD410" s="20"/>
      <c r="AE410" s="20"/>
      <c r="AF410" s="20"/>
      <c r="AG410" s="20"/>
      <c r="AH410" s="32"/>
      <c r="AI410" s="32"/>
      <c r="AJ410" s="32"/>
      <c r="AK410" s="20"/>
      <c r="AL410" s="16"/>
      <c r="AM410" s="16"/>
      <c r="AN410" s="16"/>
    </row>
    <row r="411" spans="2:40" x14ac:dyDescent="0.25">
      <c r="B411" s="21"/>
      <c r="C411" s="17"/>
      <c r="D411" s="16"/>
      <c r="E411" s="16"/>
      <c r="F411" s="18"/>
      <c r="G411" s="18"/>
      <c r="H411" s="57" t="s">
        <v>61</v>
      </c>
      <c r="I411" s="16"/>
      <c r="J411" s="57" t="s">
        <v>61</v>
      </c>
      <c r="K411" s="16"/>
      <c r="L411" s="16"/>
      <c r="M411" s="16"/>
      <c r="N411" s="16"/>
      <c r="O411" s="18"/>
      <c r="P411" s="18"/>
      <c r="Q411" s="19"/>
      <c r="R411" s="57" t="s">
        <v>61</v>
      </c>
      <c r="S411" s="16"/>
      <c r="T411" s="16"/>
      <c r="U411" s="16"/>
      <c r="V411" s="16"/>
      <c r="W411" s="16"/>
      <c r="X411" s="16"/>
      <c r="Y411" s="16"/>
      <c r="Z411" s="16"/>
      <c r="AA411" s="16"/>
      <c r="AB411" s="20"/>
      <c r="AC411" s="20"/>
      <c r="AD411" s="20"/>
      <c r="AE411" s="20"/>
      <c r="AF411" s="20"/>
      <c r="AG411" s="20"/>
      <c r="AH411" s="32"/>
      <c r="AI411" s="32"/>
      <c r="AJ411" s="32"/>
      <c r="AK411" s="20"/>
      <c r="AL411" s="16"/>
      <c r="AM411" s="16"/>
      <c r="AN411" s="16"/>
    </row>
    <row r="412" spans="2:40" x14ac:dyDescent="0.25">
      <c r="B412" s="21"/>
      <c r="C412" s="17"/>
      <c r="D412" s="16"/>
      <c r="E412" s="16"/>
      <c r="F412" s="18"/>
      <c r="G412" s="18"/>
      <c r="H412" s="57" t="s">
        <v>61</v>
      </c>
      <c r="I412" s="16"/>
      <c r="J412" s="57" t="s">
        <v>61</v>
      </c>
      <c r="K412" s="16"/>
      <c r="L412" s="16"/>
      <c r="M412" s="16"/>
      <c r="N412" s="16"/>
      <c r="O412" s="18"/>
      <c r="P412" s="18"/>
      <c r="Q412" s="19"/>
      <c r="R412" s="57" t="s">
        <v>61</v>
      </c>
      <c r="S412" s="16"/>
      <c r="T412" s="16"/>
      <c r="U412" s="16"/>
      <c r="V412" s="16"/>
      <c r="W412" s="16"/>
      <c r="X412" s="16"/>
      <c r="Y412" s="16"/>
      <c r="Z412" s="16"/>
      <c r="AA412" s="16"/>
      <c r="AB412" s="20"/>
      <c r="AC412" s="20"/>
      <c r="AD412" s="20"/>
      <c r="AE412" s="20"/>
      <c r="AF412" s="20"/>
      <c r="AG412" s="20"/>
      <c r="AH412" s="32"/>
      <c r="AI412" s="32"/>
      <c r="AJ412" s="32"/>
      <c r="AK412" s="20"/>
      <c r="AL412" s="16"/>
      <c r="AM412" s="16"/>
      <c r="AN412" s="16"/>
    </row>
    <row r="413" spans="2:40" x14ac:dyDescent="0.25">
      <c r="B413" s="21"/>
      <c r="C413" s="17"/>
      <c r="D413" s="16"/>
      <c r="E413" s="16"/>
      <c r="F413" s="18"/>
      <c r="G413" s="18"/>
      <c r="H413" s="57" t="s">
        <v>61</v>
      </c>
      <c r="I413" s="16"/>
      <c r="J413" s="57" t="s">
        <v>61</v>
      </c>
      <c r="K413" s="16"/>
      <c r="L413" s="16"/>
      <c r="M413" s="16"/>
      <c r="N413" s="16"/>
      <c r="O413" s="18"/>
      <c r="P413" s="18"/>
      <c r="Q413" s="19"/>
      <c r="R413" s="57" t="s">
        <v>61</v>
      </c>
      <c r="S413" s="16"/>
      <c r="T413" s="16"/>
      <c r="U413" s="16"/>
      <c r="V413" s="16"/>
      <c r="W413" s="16"/>
      <c r="X413" s="16"/>
      <c r="Y413" s="16"/>
      <c r="Z413" s="16"/>
      <c r="AA413" s="16"/>
      <c r="AB413" s="20"/>
      <c r="AC413" s="20"/>
      <c r="AD413" s="20"/>
      <c r="AE413" s="20"/>
      <c r="AF413" s="20"/>
      <c r="AG413" s="20"/>
      <c r="AH413" s="32"/>
      <c r="AI413" s="32"/>
      <c r="AJ413" s="32"/>
      <c r="AK413" s="20"/>
      <c r="AL413" s="16"/>
      <c r="AM413" s="16"/>
      <c r="AN413" s="16"/>
    </row>
    <row r="414" spans="2:40" x14ac:dyDescent="0.25">
      <c r="B414" s="21"/>
      <c r="C414" s="17"/>
      <c r="D414" s="16"/>
      <c r="E414" s="16"/>
      <c r="F414" s="18"/>
      <c r="G414" s="18"/>
      <c r="H414" s="57" t="s">
        <v>61</v>
      </c>
      <c r="I414" s="16"/>
      <c r="J414" s="57" t="s">
        <v>61</v>
      </c>
      <c r="K414" s="16"/>
      <c r="L414" s="16"/>
      <c r="M414" s="16"/>
      <c r="N414" s="16"/>
      <c r="O414" s="18"/>
      <c r="P414" s="18"/>
      <c r="Q414" s="19"/>
      <c r="R414" s="57" t="s">
        <v>61</v>
      </c>
      <c r="S414" s="16"/>
      <c r="T414" s="16"/>
      <c r="U414" s="16"/>
      <c r="V414" s="16"/>
      <c r="W414" s="16"/>
      <c r="X414" s="16"/>
      <c r="Y414" s="16"/>
      <c r="Z414" s="16"/>
      <c r="AA414" s="16"/>
      <c r="AB414" s="20"/>
      <c r="AC414" s="20"/>
      <c r="AD414" s="20"/>
      <c r="AE414" s="20"/>
      <c r="AF414" s="20"/>
      <c r="AG414" s="20"/>
      <c r="AH414" s="32"/>
      <c r="AI414" s="32"/>
      <c r="AJ414" s="32"/>
      <c r="AK414" s="20"/>
      <c r="AL414" s="16"/>
      <c r="AM414" s="16"/>
      <c r="AN414" s="16"/>
    </row>
    <row r="415" spans="2:40" x14ac:dyDescent="0.25">
      <c r="B415" s="21"/>
      <c r="C415" s="17"/>
      <c r="D415" s="16"/>
      <c r="E415" s="16"/>
      <c r="F415" s="18"/>
      <c r="G415" s="18"/>
      <c r="H415" s="57" t="s">
        <v>61</v>
      </c>
      <c r="I415" s="16"/>
      <c r="J415" s="57" t="s">
        <v>61</v>
      </c>
      <c r="K415" s="16"/>
      <c r="L415" s="16"/>
      <c r="M415" s="16"/>
      <c r="N415" s="16"/>
      <c r="O415" s="18"/>
      <c r="P415" s="18"/>
      <c r="Q415" s="19"/>
      <c r="R415" s="57" t="s">
        <v>61</v>
      </c>
      <c r="S415" s="16"/>
      <c r="T415" s="16"/>
      <c r="U415" s="16"/>
      <c r="V415" s="16"/>
      <c r="W415" s="16"/>
      <c r="X415" s="16"/>
      <c r="Y415" s="16"/>
      <c r="Z415" s="16"/>
      <c r="AA415" s="16"/>
      <c r="AB415" s="20"/>
      <c r="AC415" s="20"/>
      <c r="AD415" s="20"/>
      <c r="AE415" s="20"/>
      <c r="AF415" s="20"/>
      <c r="AG415" s="20"/>
      <c r="AH415" s="32"/>
      <c r="AI415" s="32"/>
      <c r="AJ415" s="32"/>
      <c r="AK415" s="20"/>
      <c r="AL415" s="16"/>
      <c r="AM415" s="16"/>
      <c r="AN415" s="16"/>
    </row>
    <row r="416" spans="2:40" x14ac:dyDescent="0.25">
      <c r="B416" s="21"/>
      <c r="C416" s="17"/>
      <c r="D416" s="16"/>
      <c r="E416" s="16"/>
      <c r="F416" s="18"/>
      <c r="G416" s="18"/>
      <c r="H416" s="57" t="s">
        <v>61</v>
      </c>
      <c r="I416" s="16"/>
      <c r="J416" s="57" t="s">
        <v>61</v>
      </c>
      <c r="K416" s="16"/>
      <c r="L416" s="16"/>
      <c r="M416" s="16"/>
      <c r="N416" s="16"/>
      <c r="O416" s="18"/>
      <c r="P416" s="18"/>
      <c r="Q416" s="19"/>
      <c r="R416" s="57" t="s">
        <v>61</v>
      </c>
      <c r="S416" s="16"/>
      <c r="T416" s="16"/>
      <c r="U416" s="16"/>
      <c r="V416" s="16"/>
      <c r="W416" s="16"/>
      <c r="X416" s="16"/>
      <c r="Y416" s="16"/>
      <c r="Z416" s="16"/>
      <c r="AA416" s="16"/>
      <c r="AB416" s="20"/>
      <c r="AC416" s="20"/>
      <c r="AD416" s="20"/>
      <c r="AE416" s="20"/>
      <c r="AF416" s="20"/>
      <c r="AG416" s="20"/>
      <c r="AH416" s="32"/>
      <c r="AI416" s="32"/>
      <c r="AJ416" s="32"/>
      <c r="AK416" s="20"/>
      <c r="AL416" s="16"/>
      <c r="AM416" s="16"/>
      <c r="AN416" s="16"/>
    </row>
    <row r="417" spans="2:40" x14ac:dyDescent="0.25">
      <c r="B417" s="21"/>
      <c r="C417" s="17"/>
      <c r="D417" s="16"/>
      <c r="E417" s="16"/>
      <c r="F417" s="18"/>
      <c r="G417" s="18"/>
      <c r="H417" s="57" t="s">
        <v>61</v>
      </c>
      <c r="I417" s="16"/>
      <c r="J417" s="57" t="s">
        <v>61</v>
      </c>
      <c r="K417" s="16"/>
      <c r="L417" s="16"/>
      <c r="M417" s="16"/>
      <c r="N417" s="16"/>
      <c r="O417" s="18"/>
      <c r="P417" s="18"/>
      <c r="Q417" s="19"/>
      <c r="R417" s="57" t="s">
        <v>61</v>
      </c>
      <c r="S417" s="16"/>
      <c r="T417" s="16"/>
      <c r="U417" s="16"/>
      <c r="V417" s="16"/>
      <c r="W417" s="16"/>
      <c r="X417" s="16"/>
      <c r="Y417" s="16"/>
      <c r="Z417" s="16"/>
      <c r="AA417" s="16"/>
      <c r="AB417" s="20"/>
      <c r="AC417" s="20"/>
      <c r="AD417" s="20"/>
      <c r="AE417" s="20"/>
      <c r="AF417" s="20"/>
      <c r="AG417" s="20"/>
      <c r="AH417" s="32"/>
      <c r="AI417" s="32"/>
      <c r="AJ417" s="32"/>
      <c r="AK417" s="20"/>
      <c r="AL417" s="16"/>
      <c r="AM417" s="16"/>
      <c r="AN417" s="16"/>
    </row>
    <row r="418" spans="2:40" x14ac:dyDescent="0.25">
      <c r="B418" s="21"/>
      <c r="C418" s="17"/>
      <c r="D418" s="16"/>
      <c r="E418" s="16"/>
      <c r="F418" s="18"/>
      <c r="G418" s="18"/>
      <c r="H418" s="57" t="s">
        <v>61</v>
      </c>
      <c r="I418" s="16"/>
      <c r="J418" s="57" t="s">
        <v>61</v>
      </c>
      <c r="K418" s="16"/>
      <c r="L418" s="16"/>
      <c r="M418" s="16"/>
      <c r="N418" s="16"/>
      <c r="O418" s="18"/>
      <c r="P418" s="18"/>
      <c r="Q418" s="19"/>
      <c r="R418" s="57" t="s">
        <v>61</v>
      </c>
      <c r="S418" s="16"/>
      <c r="T418" s="16"/>
      <c r="U418" s="16"/>
      <c r="V418" s="16"/>
      <c r="W418" s="16"/>
      <c r="X418" s="16"/>
      <c r="Y418" s="16"/>
      <c r="Z418" s="16"/>
      <c r="AA418" s="16"/>
      <c r="AB418" s="20"/>
      <c r="AC418" s="20"/>
      <c r="AD418" s="20"/>
      <c r="AE418" s="20"/>
      <c r="AF418" s="20"/>
      <c r="AG418" s="20"/>
      <c r="AH418" s="32"/>
      <c r="AI418" s="32"/>
      <c r="AJ418" s="32"/>
      <c r="AK418" s="20"/>
      <c r="AL418" s="16"/>
      <c r="AM418" s="16"/>
      <c r="AN418" s="16"/>
    </row>
    <row r="419" spans="2:40" x14ac:dyDescent="0.25">
      <c r="B419" s="21"/>
      <c r="C419" s="17"/>
      <c r="D419" s="16"/>
      <c r="E419" s="16"/>
      <c r="F419" s="18"/>
      <c r="G419" s="18"/>
      <c r="H419" s="57" t="s">
        <v>61</v>
      </c>
      <c r="I419" s="16"/>
      <c r="J419" s="57" t="s">
        <v>61</v>
      </c>
      <c r="K419" s="16"/>
      <c r="L419" s="16"/>
      <c r="M419" s="16"/>
      <c r="N419" s="16"/>
      <c r="O419" s="18"/>
      <c r="P419" s="18"/>
      <c r="Q419" s="19"/>
      <c r="R419" s="57" t="s">
        <v>61</v>
      </c>
      <c r="S419" s="16"/>
      <c r="T419" s="16"/>
      <c r="U419" s="16"/>
      <c r="V419" s="16"/>
      <c r="W419" s="16"/>
      <c r="X419" s="16"/>
      <c r="Y419" s="16"/>
      <c r="Z419" s="16"/>
      <c r="AA419" s="16"/>
      <c r="AB419" s="20"/>
      <c r="AC419" s="20"/>
      <c r="AD419" s="20"/>
      <c r="AE419" s="20"/>
      <c r="AF419" s="20"/>
      <c r="AG419" s="20"/>
      <c r="AH419" s="32"/>
      <c r="AI419" s="32"/>
      <c r="AJ419" s="32"/>
      <c r="AK419" s="20"/>
      <c r="AL419" s="16"/>
      <c r="AM419" s="16"/>
      <c r="AN419" s="16"/>
    </row>
    <row r="420" spans="2:40" x14ac:dyDescent="0.25">
      <c r="B420" s="21"/>
      <c r="C420" s="17"/>
      <c r="D420" s="16"/>
      <c r="E420" s="16"/>
      <c r="F420" s="18"/>
      <c r="G420" s="18"/>
      <c r="H420" s="57" t="s">
        <v>61</v>
      </c>
      <c r="I420" s="16"/>
      <c r="J420" s="57" t="s">
        <v>61</v>
      </c>
      <c r="K420" s="16"/>
      <c r="L420" s="16"/>
      <c r="M420" s="16"/>
      <c r="N420" s="16"/>
      <c r="O420" s="18"/>
      <c r="P420" s="18"/>
      <c r="Q420" s="19"/>
      <c r="R420" s="57" t="s">
        <v>61</v>
      </c>
      <c r="S420" s="16"/>
      <c r="T420" s="16"/>
      <c r="U420" s="16"/>
      <c r="V420" s="16"/>
      <c r="W420" s="16"/>
      <c r="X420" s="16"/>
      <c r="Y420" s="16"/>
      <c r="Z420" s="16"/>
      <c r="AA420" s="16"/>
      <c r="AB420" s="20"/>
      <c r="AC420" s="20"/>
      <c r="AD420" s="20"/>
      <c r="AE420" s="20"/>
      <c r="AF420" s="20"/>
      <c r="AG420" s="20"/>
      <c r="AH420" s="32"/>
      <c r="AI420" s="32"/>
      <c r="AJ420" s="32"/>
      <c r="AK420" s="20"/>
      <c r="AL420" s="16"/>
      <c r="AM420" s="16"/>
      <c r="AN420" s="16"/>
    </row>
    <row r="421" spans="2:40" x14ac:dyDescent="0.25">
      <c r="B421" s="21"/>
      <c r="C421" s="17"/>
      <c r="D421" s="16"/>
      <c r="E421" s="16"/>
      <c r="F421" s="18"/>
      <c r="G421" s="18"/>
      <c r="H421" s="57" t="s">
        <v>61</v>
      </c>
      <c r="I421" s="16"/>
      <c r="J421" s="57" t="s">
        <v>61</v>
      </c>
      <c r="K421" s="16"/>
      <c r="L421" s="16"/>
      <c r="M421" s="16"/>
      <c r="N421" s="16"/>
      <c r="O421" s="18"/>
      <c r="P421" s="18"/>
      <c r="Q421" s="19"/>
      <c r="R421" s="57" t="s">
        <v>61</v>
      </c>
      <c r="S421" s="16"/>
      <c r="T421" s="16"/>
      <c r="U421" s="16"/>
      <c r="V421" s="16"/>
      <c r="W421" s="16"/>
      <c r="X421" s="16"/>
      <c r="Y421" s="16"/>
      <c r="Z421" s="16"/>
      <c r="AA421" s="16"/>
      <c r="AB421" s="20"/>
      <c r="AC421" s="20"/>
      <c r="AD421" s="20"/>
      <c r="AE421" s="20"/>
      <c r="AF421" s="20"/>
      <c r="AG421" s="20"/>
      <c r="AH421" s="32"/>
      <c r="AI421" s="32"/>
      <c r="AJ421" s="32"/>
      <c r="AK421" s="20"/>
      <c r="AL421" s="16"/>
      <c r="AM421" s="16"/>
      <c r="AN421" s="16"/>
    </row>
    <row r="422" spans="2:40" x14ac:dyDescent="0.25">
      <c r="B422" s="21"/>
      <c r="C422" s="17"/>
      <c r="D422" s="16"/>
      <c r="E422" s="16"/>
      <c r="F422" s="18"/>
      <c r="G422" s="18"/>
      <c r="H422" s="57" t="s">
        <v>61</v>
      </c>
      <c r="I422" s="16"/>
      <c r="J422" s="57" t="s">
        <v>61</v>
      </c>
      <c r="K422" s="16"/>
      <c r="L422" s="16"/>
      <c r="M422" s="16"/>
      <c r="N422" s="16"/>
      <c r="O422" s="18"/>
      <c r="P422" s="18"/>
      <c r="Q422" s="19"/>
      <c r="R422" s="57" t="s">
        <v>61</v>
      </c>
      <c r="S422" s="16"/>
      <c r="T422" s="16"/>
      <c r="U422" s="16"/>
      <c r="V422" s="16"/>
      <c r="W422" s="16"/>
      <c r="X422" s="16"/>
      <c r="Y422" s="16"/>
      <c r="Z422" s="16"/>
      <c r="AA422" s="16"/>
      <c r="AB422" s="20"/>
      <c r="AC422" s="20"/>
      <c r="AD422" s="20"/>
      <c r="AE422" s="20"/>
      <c r="AF422" s="20"/>
      <c r="AG422" s="20"/>
      <c r="AH422" s="32"/>
      <c r="AI422" s="32"/>
      <c r="AJ422" s="32"/>
      <c r="AK422" s="20"/>
      <c r="AL422" s="16"/>
      <c r="AM422" s="16"/>
      <c r="AN422" s="16"/>
    </row>
    <row r="423" spans="2:40" x14ac:dyDescent="0.25">
      <c r="B423" s="5"/>
      <c r="C423" s="5"/>
      <c r="D423" s="5"/>
      <c r="E423" s="5"/>
      <c r="F423" s="5"/>
      <c r="G423" s="5"/>
      <c r="H423" s="5"/>
      <c r="I423" s="5"/>
      <c r="J423" s="5"/>
      <c r="K423" s="5"/>
      <c r="L423" s="5"/>
      <c r="M423" s="5"/>
      <c r="N423" s="5"/>
      <c r="O423" s="5"/>
      <c r="P423" s="5"/>
      <c r="Q423" s="5"/>
    </row>
    <row r="425" spans="2:40" x14ac:dyDescent="0.25">
      <c r="U425" s="5"/>
      <c r="V425" s="170"/>
      <c r="W425" s="5"/>
    </row>
    <row r="426" spans="2:40" x14ac:dyDescent="0.25">
      <c r="V426" s="5"/>
    </row>
    <row r="427" spans="2:40" x14ac:dyDescent="0.25">
      <c r="V427" s="170"/>
    </row>
    <row r="428" spans="2:40" x14ac:dyDescent="0.25">
      <c r="V428" s="5"/>
    </row>
    <row r="429" spans="2:40" x14ac:dyDescent="0.25">
      <c r="V429" s="5"/>
    </row>
    <row r="430" spans="2:40" x14ac:dyDescent="0.25">
      <c r="V430" s="5"/>
    </row>
    <row r="431" spans="2:40" x14ac:dyDescent="0.25">
      <c r="V431" s="170"/>
    </row>
    <row r="432" spans="2:40" x14ac:dyDescent="0.25">
      <c r="V432" s="5"/>
    </row>
    <row r="433" spans="22:22" x14ac:dyDescent="0.25">
      <c r="V433" s="5"/>
    </row>
  </sheetData>
  <customSheetViews>
    <customSheetView guid="{250915DF-0B97-45D7-B29D-7EED4C89C1C1}" scale="85" topLeftCell="J343">
      <selection activeCell="X358" sqref="X358:X360"/>
      <pageMargins left="0.7" right="0.7" top="0.75" bottom="0.75" header="0.3" footer="0.3"/>
      <pageSetup orientation="portrait" horizontalDpi="300" r:id="rId1"/>
    </customSheetView>
    <customSheetView guid="{7E0EA425-A420-4443-B9E0-CDF0AA9E5D09}" scale="85" filter="1" showAutoFilter="1" topLeftCell="L86">
      <selection activeCell="AA321" sqref="AA321"/>
      <pageMargins left="0.7" right="0.7" top="0.75" bottom="0.75" header="0.3" footer="0.3"/>
      <pageSetup orientation="portrait" horizontalDpi="300" verticalDpi="0" r:id="rId2"/>
      <autoFilter ref="B47:AN422">
        <filterColumn colId="17">
          <filters>
            <filter val="duong.nguyen"/>
          </filters>
        </filterColumn>
      </autoFilter>
    </customSheetView>
    <customSheetView guid="{3B3E6719-EACB-4D2C-89C1-05FFAB6020FD}" scale="70" filter="1" showAutoFilter="1" topLeftCell="Q45">
      <selection activeCell="AL427" sqref="AL427"/>
      <pageMargins left="0.7" right="0.7" top="0.75" bottom="0.75" header="0.3" footer="0.3"/>
      <pageSetup orientation="portrait" horizontalDpi="300" r:id="rId3"/>
      <autoFilter ref="B47:AN422">
        <filterColumn colId="17">
          <filters>
            <filter val="phuong.nguyen-thanh"/>
          </filters>
        </filterColumn>
      </autoFilter>
    </customSheetView>
    <customSheetView guid="{72A6EB0A-84D5-4B8A-AC51-54CCD061630B}" scale="85" filter="1" showAutoFilter="1" topLeftCell="J16">
      <selection activeCell="X426" sqref="X426"/>
      <pageMargins left="0.7" right="0.7" top="0.75" bottom="0.75" header="0.3" footer="0.3"/>
      <pageSetup orientation="portrait" horizontalDpi="300" r:id="rId4"/>
      <autoFilter ref="B47:AN422">
        <filterColumn colId="12">
          <filters>
            <filter val="CNMS_ESP_Carbon_Int"/>
            <filter val="CNMS_ESPHevX_Carbon_Int"/>
          </filters>
        </filterColumn>
        <filterColumn colId="17">
          <filters>
            <filter val="loc.do-phu"/>
          </filters>
        </filterColumn>
      </autoFilter>
    </customSheetView>
    <customSheetView guid="{4E06BDBF-2CED-473B-850B-2A6C7311FF41}" scale="85" filter="1" showAutoFilter="1" topLeftCell="M194">
      <selection activeCell="AE348" sqref="AE348:AK348"/>
      <pageMargins left="0.7" right="0.7" top="0.75" bottom="0.75" header="0.3" footer="0.3"/>
      <pageSetup orientation="portrait" horizontalDpi="300" verticalDpi="0" r:id="rId5"/>
      <autoFilter ref="A47:AN422">
        <filterColumn colId="18">
          <filters>
            <filter val="thanh.nguyen-kim"/>
          </filters>
        </filterColumn>
      </autoFilter>
    </customSheetView>
    <customSheetView guid="{7ECC2B8E-6A82-42F5-8AB0-4A51C54EA5EC}" scale="70" filter="1" showAutoFilter="1" topLeftCell="O13">
      <selection activeCell="AA425" sqref="AA425"/>
      <pageMargins left="0.7" right="0.7" top="0.75" bottom="0.75" header="0.3" footer="0.3"/>
      <pageSetup orientation="portrait" horizontalDpi="300" verticalDpi="0" r:id="rId6"/>
      <autoFilter ref="B47:AN422">
        <filterColumn colId="1">
          <filters>
            <filter val="20200519"/>
            <filter val="20200520"/>
          </filters>
        </filterColumn>
        <filterColumn colId="17">
          <filters>
            <filter val="hau.nguyen-tai"/>
          </filters>
        </filterColumn>
      </autoFilter>
    </customSheetView>
    <customSheetView guid="{A2C66332-A809-458E-971B-FDB6D62C74C3}" filter="1" showAutoFilter="1" topLeftCell="R64">
      <selection activeCell="AL297" sqref="AL297"/>
      <pageMargins left="0.7" right="0.7" top="0.75" bottom="0.75" header="0.3" footer="0.3"/>
      <pageSetup orientation="portrait" horizontalDpi="300" verticalDpi="0" r:id="rId7"/>
      <autoFilter ref="B47:AN422">
        <filterColumn colId="17">
          <filters>
            <filter val="bang.nguyen-duy"/>
          </filters>
        </filterColumn>
      </autoFilter>
    </customSheetView>
    <customSheetView guid="{60D2C030-4E31-4E07-8E1C-44D2EE84B177}" scale="85" filter="1" showAutoFilter="1" topLeftCell="P100">
      <selection activeCell="AI428" sqref="AI428"/>
      <pageMargins left="0.7" right="0.7" top="0.75" bottom="0.75" header="0.3" footer="0.3"/>
      <pageSetup orientation="portrait" horizontalDpi="300" verticalDpi="0" r:id="rId8"/>
      <autoFilter ref="B47:AN422">
        <filterColumn colId="17">
          <filters>
            <filter val="chung.ly"/>
          </filters>
        </filterColumn>
      </autoFilter>
    </customSheetView>
    <customSheetView guid="{D33AC7AF-C8AB-4CE9-94C7-9237011A5FC3}" scale="70" topLeftCell="T92">
      <selection activeCell="M263" sqref="M263"/>
      <pageMargins left="0.7" right="0.7" top="0.75" bottom="0.75" header="0.3" footer="0.3"/>
      <pageSetup orientation="portrait" horizontalDpi="300" verticalDpi="0" r:id="rId9"/>
    </customSheetView>
    <customSheetView guid="{336B6883-2145-4B58-921E-CEC7185A847E}" scale="85" showAutoFilter="1" topLeftCell="A10">
      <selection activeCell="G35" sqref="G35"/>
      <pageMargins left="0.7" right="0.7" top="0.75" bottom="0.75" header="0.3" footer="0.3"/>
      <pageSetup orientation="portrait" horizontalDpi="300" verticalDpi="0" r:id="rId10"/>
      <autoFilter ref="P47:P423"/>
    </customSheetView>
  </customSheetViews>
  <conditionalFormatting sqref="H4:H13 H19:H29">
    <cfRule type="cellIs" dxfId="107" priority="103" operator="equal">
      <formula>1</formula>
    </cfRule>
    <cfRule type="cellIs" dxfId="106" priority="104" operator="lessThan">
      <formula>1</formula>
    </cfRule>
  </conditionalFormatting>
  <conditionalFormatting sqref="AG64:AG65 AK64:AK65 AG67:AG422 AK67:AK422">
    <cfRule type="cellIs" dxfId="105" priority="101" operator="equal">
      <formula>"OK"</formula>
    </cfRule>
    <cfRule type="cellIs" dxfId="104" priority="102" operator="equal">
      <formula>"NG"</formula>
    </cfRule>
  </conditionalFormatting>
  <conditionalFormatting sqref="O48:P228 O229 O230:P422">
    <cfRule type="cellIs" dxfId="103" priority="100" operator="equal">
      <formula>"PUT_VERSION"</formula>
    </cfRule>
  </conditionalFormatting>
  <conditionalFormatting sqref="D14">
    <cfRule type="expression" dxfId="102" priority="88">
      <formula>$D$14=SUM($D$4:$D$13)</formula>
    </cfRule>
  </conditionalFormatting>
  <conditionalFormatting sqref="E14">
    <cfRule type="expression" dxfId="101" priority="87">
      <formula>$E$14=SUM($E$4:$E$13)</formula>
    </cfRule>
  </conditionalFormatting>
  <conditionalFormatting sqref="F14">
    <cfRule type="expression" dxfId="100" priority="86">
      <formula>$F$14=SUM($F$4:$F$13)</formula>
    </cfRule>
  </conditionalFormatting>
  <conditionalFormatting sqref="D29">
    <cfRule type="expression" dxfId="99" priority="85">
      <formula>$D$29=SUM($D$19:$D$28)</formula>
    </cfRule>
  </conditionalFormatting>
  <conditionalFormatting sqref="E29">
    <cfRule type="expression" dxfId="98" priority="84">
      <formula>$E$29=SUM($E$19:$E$28)</formula>
    </cfRule>
  </conditionalFormatting>
  <conditionalFormatting sqref="H34">
    <cfRule type="cellIs" dxfId="97" priority="69" operator="equal">
      <formula>1</formula>
    </cfRule>
    <cfRule type="cellIs" dxfId="96" priority="70" operator="lessThan">
      <formula>1</formula>
    </cfRule>
  </conditionalFormatting>
  <conditionalFormatting sqref="H35:H43">
    <cfRule type="cellIs" dxfId="95" priority="67" operator="equal">
      <formula>1</formula>
    </cfRule>
    <cfRule type="cellIs" dxfId="94" priority="68" operator="lessThan">
      <formula>1</formula>
    </cfRule>
  </conditionalFormatting>
  <conditionalFormatting sqref="H44">
    <cfRule type="cellIs" dxfId="93" priority="61" operator="equal">
      <formula>1</formula>
    </cfRule>
    <cfRule type="cellIs" dxfId="92" priority="62" operator="lessThan">
      <formula>1</formula>
    </cfRule>
  </conditionalFormatting>
  <conditionalFormatting sqref="F29">
    <cfRule type="expression" dxfId="91" priority="121">
      <formula>$F$29=SUM($F$19:$F$28)</formula>
    </cfRule>
  </conditionalFormatting>
  <conditionalFormatting sqref="AG48">
    <cfRule type="cellIs" dxfId="90" priority="11" operator="equal">
      <formula>"OK"</formula>
    </cfRule>
    <cfRule type="cellIs" dxfId="89" priority="12" operator="equal">
      <formula>"NG"</formula>
    </cfRule>
  </conditionalFormatting>
  <conditionalFormatting sqref="AG49:AG63">
    <cfRule type="cellIs" dxfId="88" priority="8" operator="equal">
      <formula>"OK"</formula>
    </cfRule>
    <cfRule type="cellIs" dxfId="87" priority="9" operator="equal">
      <formula>"NG"</formula>
    </cfRule>
  </conditionalFormatting>
  <conditionalFormatting sqref="K48:K422">
    <cfRule type="cellIs" dxfId="86" priority="3" operator="equal">
      <formula>"Manual"</formula>
    </cfRule>
    <cfRule type="cellIs" dxfId="85" priority="4" operator="equal">
      <formula>"Auto"</formula>
    </cfRule>
  </conditionalFormatting>
  <dataValidations disablePrompts="1" count="2">
    <dataValidation type="list" allowBlank="1" showInputMessage="1" showErrorMessage="1" sqref="AK84 AK69:AK71 AK81:AK82 AG64:AG65 AG67:AG422">
      <formula1>"OK,NG"</formula1>
    </dataValidation>
    <dataValidation type="list" allowBlank="1" showInputMessage="1" showErrorMessage="1" sqref="U169:U422 U48:U167">
      <formula1>"Yes,No"</formula1>
    </dataValidation>
  </dataValidations>
  <pageMargins left="0.7" right="0.7" top="0.75" bottom="0.75" header="0.3" footer="0.3"/>
  <pageSetup orientation="portrait" horizontalDpi="300" r:id="rId11"/>
  <legacyDrawing r:id="rId12"/>
  <extLst>
    <ext xmlns:x14="http://schemas.microsoft.com/office/spreadsheetml/2009/9/main" uri="{78C0D931-6437-407d-A8EE-F0AAD7539E65}">
      <x14:conditionalFormattings>
        <x14:conditionalFormatting xmlns:xm="http://schemas.microsoft.com/office/excel/2006/main">
          <x14:cfRule type="cellIs" priority="1" operator="equal" id="{2B9DA05D-2BDF-40F2-AAB9-55EE4E3A4914}">
            <xm:f>Table!$C$3</xm:f>
            <x14:dxf>
              <fill>
                <patternFill>
                  <bgColor rgb="FF0066FF"/>
                </patternFill>
              </fill>
            </x14:dxf>
          </x14:cfRule>
          <x14:cfRule type="cellIs" priority="2" operator="equal" id="{CF72E758-246C-461F-BACD-F624487058C4}">
            <xm:f>Table!$D$3</xm:f>
            <x14:dxf>
              <fill>
                <patternFill>
                  <bgColor rgb="FF92D050"/>
                </patternFill>
              </fill>
            </x14:dxf>
          </x14:cfRule>
          <xm:sqref>D48:D422</xm:sqref>
        </x14:conditionalFormatting>
        <x14:conditionalFormatting xmlns:xm="http://schemas.microsoft.com/office/excel/2006/main">
          <x14:cfRule type="cellIs" priority="105" operator="greaterThanOrEqual" id="{880EA441-2590-4E05-81FB-030A6B262BA2}">
            <xm:f>Table!$C$4</xm:f>
            <x14:dxf>
              <font>
                <color rgb="FF006100"/>
              </font>
              <fill>
                <patternFill>
                  <bgColor rgb="FFC6EFCE"/>
                </patternFill>
              </fill>
            </x14:dxf>
          </x14:cfRule>
          <x14:cfRule type="cellIs" priority="106" operator="lessThan" id="{008E8A9C-0A54-48C8-BAA6-2040624D4B14}">
            <xm:f>Table!$C$4</xm:f>
            <x14:dxf>
              <font>
                <color rgb="FF9C0006"/>
              </font>
              <fill>
                <patternFill>
                  <bgColor rgb="FFFFC7CE"/>
                </patternFill>
              </fill>
            </x14:dxf>
          </x14:cfRule>
          <xm:sqref>G19:G29</xm:sqref>
        </x14:conditionalFormatting>
        <x14:conditionalFormatting xmlns:xm="http://schemas.microsoft.com/office/excel/2006/main">
          <x14:cfRule type="cellIs" priority="107" operator="greaterThanOrEqual" id="{055B1730-1858-463E-9B0B-33FF6EF9C729}">
            <xm:f>Table!$D$4</xm:f>
            <x14:dxf>
              <font>
                <color rgb="FF006100"/>
              </font>
              <fill>
                <patternFill>
                  <bgColor rgb="FFC6EFCE"/>
                </patternFill>
              </fill>
            </x14:dxf>
          </x14:cfRule>
          <x14:cfRule type="cellIs" priority="108" operator="lessThan" id="{9D0890AA-8BE8-4E6A-8479-B03F791D816F}">
            <xm:f>Table!$D$4</xm:f>
            <x14:dxf>
              <font>
                <color rgb="FF9C0006"/>
              </font>
              <fill>
                <patternFill>
                  <bgColor rgb="FFFFC7CE"/>
                </patternFill>
              </fill>
            </x14:dxf>
          </x14:cfRule>
          <xm:sqref>G4:G13</xm:sqref>
        </x14:conditionalFormatting>
        <x14:conditionalFormatting xmlns:xm="http://schemas.microsoft.com/office/excel/2006/main">
          <x14:cfRule type="cellIs" priority="81" operator="greaterThanOrEqual" id="{8D99BF4A-D908-47F1-8E24-1697DAA263CD}">
            <xm:f>Table!$D$4</xm:f>
            <x14:dxf>
              <font>
                <color rgb="FF006100"/>
              </font>
              <fill>
                <patternFill>
                  <bgColor rgb="FFC6EFCE"/>
                </patternFill>
              </fill>
            </x14:dxf>
          </x14:cfRule>
          <x14:cfRule type="cellIs" priority="82" operator="lessThan" id="{64E1D647-CB0B-4B5E-B51F-CD909D56D8BD}">
            <xm:f>Table!$D$4</xm:f>
            <x14:dxf>
              <font>
                <color rgb="FF9C0006"/>
              </font>
              <fill>
                <patternFill>
                  <bgColor rgb="FFFFC7CE"/>
                </patternFill>
              </fill>
            </x14:dxf>
          </x14:cfRule>
          <xm:sqref>G14</xm:sqref>
        </x14:conditionalFormatting>
        <x14:conditionalFormatting xmlns:xm="http://schemas.microsoft.com/office/excel/2006/main">
          <x14:cfRule type="cellIs" priority="79" operator="greaterThanOrEqual" id="{42805A51-A68C-45B4-950B-7CB2B9B10AB3}">
            <xm:f>Table!$D$4</xm:f>
            <x14:dxf>
              <font>
                <color rgb="FF006100"/>
              </font>
              <fill>
                <patternFill>
                  <bgColor rgb="FFC6EFCE"/>
                </patternFill>
              </fill>
            </x14:dxf>
          </x14:cfRule>
          <x14:cfRule type="cellIs" priority="80" operator="lessThan" id="{9B93FBAF-A588-4F7B-8232-CC7E656FD59C}">
            <xm:f>Table!$D$4</xm:f>
            <x14:dxf>
              <font>
                <color rgb="FF9C0006"/>
              </font>
              <fill>
                <patternFill>
                  <bgColor rgb="FFFFC7CE"/>
                </patternFill>
              </fill>
            </x14:dxf>
          </x14:cfRule>
          <xm:sqref>G44</xm:sqref>
        </x14:conditionalFormatting>
        <x14:conditionalFormatting xmlns:xm="http://schemas.microsoft.com/office/excel/2006/main">
          <x14:cfRule type="cellIs" priority="77" operator="greaterThanOrEqual" id="{2AA0948F-74AB-46EC-B255-A7ABEAF4E4D2}">
            <xm:f>Table!$D$4</xm:f>
            <x14:dxf>
              <font>
                <color rgb="FF006100"/>
              </font>
              <fill>
                <patternFill>
                  <bgColor rgb="FFC6EFCE"/>
                </patternFill>
              </fill>
            </x14:dxf>
          </x14:cfRule>
          <x14:cfRule type="cellIs" priority="78" operator="lessThan" id="{B1A166C1-E984-4616-BBDF-3553DC14A7FD}">
            <xm:f>Table!$D$4</xm:f>
            <x14:dxf>
              <font>
                <color rgb="FF9C0006"/>
              </font>
              <fill>
                <patternFill>
                  <bgColor rgb="FFFFC7CE"/>
                </patternFill>
              </fill>
            </x14:dxf>
          </x14:cfRule>
          <xm:sqref>G34</xm:sqref>
        </x14:conditionalFormatting>
        <x14:conditionalFormatting xmlns:xm="http://schemas.microsoft.com/office/excel/2006/main">
          <x14:cfRule type="cellIs" priority="75" operator="greaterThanOrEqual" id="{B0B60969-8423-4320-940F-E9B989674632}">
            <xm:f>Table!$D$4</xm:f>
            <x14:dxf>
              <font>
                <color rgb="FF006100"/>
              </font>
              <fill>
                <patternFill>
                  <bgColor rgb="FFC6EFCE"/>
                </patternFill>
              </fill>
            </x14:dxf>
          </x14:cfRule>
          <x14:cfRule type="cellIs" priority="76" operator="lessThan" id="{BDD78E5B-3530-4B93-BD9F-24457BFDC72C}">
            <xm:f>Table!$D$4</xm:f>
            <x14:dxf>
              <font>
                <color rgb="FF9C0006"/>
              </font>
              <fill>
                <patternFill>
                  <bgColor rgb="FFFFC7CE"/>
                </patternFill>
              </fill>
            </x14:dxf>
          </x14:cfRule>
          <xm:sqref>G35:G43</xm:sqref>
        </x14:conditionalFormatting>
        <x14:conditionalFormatting xmlns:xm="http://schemas.microsoft.com/office/excel/2006/main">
          <x14:cfRule type="cellIs" priority="5" operator="equal" id="{19639308-71F0-43E5-B386-FDDD54B39B80}">
            <xm:f>Table!$C$37</xm:f>
            <x14:dxf>
              <font>
                <b/>
                <i val="0"/>
              </font>
              <fill>
                <patternFill>
                  <bgColor rgb="FFFF0000"/>
                </patternFill>
              </fill>
            </x14:dxf>
          </x14:cfRule>
          <x14:cfRule type="cellIs" priority="6" operator="equal" id="{49FA013F-6BB2-447B-B4B6-033B25DE33AE}">
            <xm:f>Table!$C$36</xm:f>
            <x14:dxf>
              <font>
                <b/>
                <i val="0"/>
              </font>
              <fill>
                <patternFill>
                  <bgColor rgb="FFFFFF00"/>
                </patternFill>
              </fill>
            </x14:dxf>
          </x14:cfRule>
          <xm:sqref>AK48:AK65 AK67:AK422</xm:sqref>
        </x14:conditionalFormatting>
      </x14:conditionalFormattings>
    </ex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Table!$C$26:$C$32</xm:f>
          </x14:formula1>
          <xm:sqref>AA48:AA65 AA67:AA422 AC292:AC293</xm:sqref>
        </x14:dataValidation>
        <x14:dataValidation type="list" allowBlank="1" showInputMessage="1" showErrorMessage="1">
          <x14:formula1>
            <xm:f>Table!$C$36:$C$38</xm:f>
          </x14:formula1>
          <xm:sqref>AK72:AK80 AK83 AK67:AK68 AK48:AK65 AK85:AK422</xm:sqref>
        </x14:dataValidation>
        <x14:dataValidation type="list" allowBlank="1" showInputMessage="1" showErrorMessage="1">
          <x14:formula1>
            <xm:f>Table!$C$42:$C$43</xm:f>
          </x14:formula1>
          <xm:sqref>AG48:AG63</xm:sqref>
        </x14:dataValidation>
        <x14:dataValidation type="list" allowBlank="1" showInputMessage="1" showErrorMessage="1">
          <x14:formula1>
            <xm:f>Table!$C$13:$C$22</xm:f>
          </x14:formula1>
          <xm:sqref>S48:T422</xm:sqref>
        </x14:dataValidation>
        <x14:dataValidation type="list" allowBlank="1" showInputMessage="1" showErrorMessage="1">
          <x14:formula1>
            <xm:f>Table!$C$8:$C$9</xm:f>
          </x14:formula1>
          <xm:sqref>D48:D422</xm:sqref>
        </x14:dataValidation>
        <x14:dataValidation type="list" allowBlank="1" showInputMessage="1" showErrorMessage="1">
          <x14:formula1>
            <xm:f>Table!$C$47:$C$48</xm:f>
          </x14:formula1>
          <xm:sqref>K48:K422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sheetPr>
  <dimension ref="A1:AN187"/>
  <sheetViews>
    <sheetView topLeftCell="B1" zoomScale="70" zoomScaleNormal="85" workbookViewId="0">
      <selection activeCell="I121" sqref="I121"/>
    </sheetView>
  </sheetViews>
  <sheetFormatPr defaultRowHeight="15" x14ac:dyDescent="0.25"/>
  <cols>
    <col min="3" max="3" width="21" bestFit="1" customWidth="1"/>
    <col min="5" max="5" width="24.28515625" bestFit="1" customWidth="1"/>
    <col min="6" max="6" width="35.85546875" bestFit="1" customWidth="1"/>
    <col min="9" max="9" width="59.7109375" customWidth="1"/>
    <col min="11" max="11" width="12.42578125" customWidth="1"/>
    <col min="13" max="13" width="12.85546875" customWidth="1"/>
    <col min="14" max="14" width="36.140625" bestFit="1" customWidth="1"/>
    <col min="26" max="26" width="11.140625" bestFit="1" customWidth="1"/>
    <col min="27" max="27" width="16.85546875" bestFit="1" customWidth="1"/>
    <col min="28" max="28" width="17.140625" bestFit="1" customWidth="1"/>
    <col min="29" max="29" width="17.42578125" bestFit="1" customWidth="1"/>
    <col min="30" max="30" width="16" bestFit="1" customWidth="1"/>
    <col min="31" max="32" width="14.5703125" bestFit="1" customWidth="1"/>
    <col min="34" max="36" width="10.140625" bestFit="1" customWidth="1"/>
    <col min="37" max="37" width="11.140625" bestFit="1" customWidth="1"/>
  </cols>
  <sheetData>
    <row r="1" spans="1:13" x14ac:dyDescent="0.25">
      <c r="A1" s="73" t="s">
        <v>150</v>
      </c>
    </row>
    <row r="2" spans="1:13" x14ac:dyDescent="0.25">
      <c r="B2" s="73" t="s">
        <v>52</v>
      </c>
      <c r="C2" s="24"/>
      <c r="D2" s="24"/>
      <c r="E2" s="24"/>
      <c r="F2" s="24"/>
      <c r="G2" s="24"/>
      <c r="H2" s="24"/>
    </row>
    <row r="3" spans="1:13" x14ac:dyDescent="0.25">
      <c r="B3" s="66" t="s">
        <v>0</v>
      </c>
      <c r="C3" s="66" t="s">
        <v>8</v>
      </c>
      <c r="D3" s="66" t="s">
        <v>129</v>
      </c>
      <c r="E3" s="66" t="s">
        <v>53</v>
      </c>
      <c r="F3" s="66" t="s">
        <v>136</v>
      </c>
      <c r="G3" s="66" t="s">
        <v>22</v>
      </c>
      <c r="H3" s="67" t="s">
        <v>24</v>
      </c>
      <c r="J3" s="73" t="s">
        <v>39</v>
      </c>
    </row>
    <row r="4" spans="1:13" x14ac:dyDescent="0.25">
      <c r="B4" s="68">
        <v>1</v>
      </c>
      <c r="C4" s="83" t="s">
        <v>6</v>
      </c>
      <c r="D4" s="70">
        <f>SUMIFS($W$48:$W$187,$D$48:$D$187,Table!$D$3,$S$48:$S$187,C4)</f>
        <v>341.1</v>
      </c>
      <c r="E4" s="70">
        <f>SUMIFS($W$48:$W$187,$D$48:$D$187,Table!$D$3,$S$48:$S$187,C4)-SUM(SUMIFS($W$48:$W$187,$D$48:$D$187,Table!$D$3,$S$48:$S$187,C4,$AA$48:$AA$187,{"Ongoing","N/A",""}))</f>
        <v>341.1</v>
      </c>
      <c r="F4" s="70">
        <f>1/8*(SUMIFS($Z$48:$Z$187,$D$48:$D$187,Table!$D$3,$S$48:$S$187,C4)-SUM(SUMIFS($Z$48:$Z$187,$D$48:$D$187,Table!$D$3,$S$48:$S$187,C4,$AA$48:$AA$187,{"Ongoing","N/A",""})))</f>
        <v>0.875</v>
      </c>
      <c r="G4" s="70">
        <f>IF(ISERROR(E4/(F4)),"N/A",E4/F4)</f>
        <v>389.82857142857148</v>
      </c>
      <c r="H4" s="71">
        <f>IF(ISERROR(E4/D4),"N/A",E4/D4)</f>
        <v>1</v>
      </c>
      <c r="K4" s="73" t="s">
        <v>41</v>
      </c>
    </row>
    <row r="5" spans="1:13" x14ac:dyDescent="0.25">
      <c r="B5" s="68">
        <v>2</v>
      </c>
      <c r="C5" s="83" t="s">
        <v>64</v>
      </c>
      <c r="D5" s="70">
        <f>SUMIFS($W$48:$W$187,$D$48:$D$187,Table!$D$3,$S$48:$S$187,C5)</f>
        <v>0</v>
      </c>
      <c r="E5" s="70">
        <f>SUMIFS($W$48:$W$187,$D$48:$D$187,Table!$D$3,$S$48:$S$187,C5)-SUM(SUMIFS($W$48:$W$187,$D$48:$D$187,Table!$D$3,$S$48:$S$187,C5,$AA$48:$AA$187,{"Ongoing","N/A",""}))</f>
        <v>0</v>
      </c>
      <c r="F5" s="70">
        <f>1/8*(SUMIFS($Z$48:$Z$187,$D$48:$D$187,Table!$D$3,$S$48:$S$187,C5)-SUM(SUMIFS($Z$48:$Z$187,$D$48:$D$187,Table!$D$3,$S$48:$S$187,C5,$AA$48:$AA$187,{"Ongoing","N/A",""})))</f>
        <v>0</v>
      </c>
      <c r="G5" s="70" t="str">
        <f t="shared" ref="G5:G13" si="0">IF(ISERROR(E5/(F5)),"N/A",E5/F5)</f>
        <v>N/A</v>
      </c>
      <c r="H5" s="71" t="str">
        <f t="shared" ref="H5:H14" si="1">IF(ISERROR(E5/D5),"N/A",E5/D5)</f>
        <v>N/A</v>
      </c>
      <c r="L5" s="24" t="s">
        <v>40</v>
      </c>
    </row>
    <row r="6" spans="1:13" x14ac:dyDescent="0.25">
      <c r="B6" s="68">
        <v>3</v>
      </c>
      <c r="C6" s="83" t="s">
        <v>65</v>
      </c>
      <c r="D6" s="70">
        <f>SUMIFS($W$48:$W$187,$D$48:$D$187,Table!$D$3,$S$48:$S$187,C6)</f>
        <v>0</v>
      </c>
      <c r="E6" s="70">
        <f>SUMIFS($W$48:$W$187,$D$48:$D$187,Table!$D$3,$S$48:$S$187,C6)-SUM(SUMIFS($W$48:$W$187,$D$48:$D$187,Table!$D$3,$S$48:$S$187,C6,$AA$48:$AA$187,{"Ongoing","N/A",""}))</f>
        <v>0</v>
      </c>
      <c r="F6" s="70">
        <f>1/8*(SUMIFS($Z$48:$Z$187,$D$48:$D$187,Table!$D$3,$S$48:$S$187,C6)-SUM(SUMIFS($Z$48:$Z$187,$D$48:$D$187,Table!$D$3,$S$48:$S$187,C6,$AA$48:$AA$187,{"Ongoing","N/A",""})))</f>
        <v>0</v>
      </c>
      <c r="G6" s="70" t="str">
        <f t="shared" si="0"/>
        <v>N/A</v>
      </c>
      <c r="H6" s="71" t="str">
        <f t="shared" si="1"/>
        <v>N/A</v>
      </c>
      <c r="L6" s="24" t="s">
        <v>100</v>
      </c>
    </row>
    <row r="7" spans="1:13" x14ac:dyDescent="0.25">
      <c r="B7" s="68">
        <v>4</v>
      </c>
      <c r="C7" s="79" t="s">
        <v>66</v>
      </c>
      <c r="D7" s="70">
        <f>SUMIFS($W$48:$W$187,$D$48:$D$187,Table!$D$3,$S$48:$S$187,C7)</f>
        <v>4711.2749999999996</v>
      </c>
      <c r="E7" s="70">
        <f>SUMIFS($W$48:$W$187,$D$48:$D$187,Table!$D$3,$S$48:$S$187,C7)-SUM(SUMIFS($W$48:$W$187,$D$48:$D$187,Table!$D$3,$S$48:$S$187,C7,$AA$48:$AA$187,{"Ongoing","N/A",""}))</f>
        <v>4711.2749999999996</v>
      </c>
      <c r="F7" s="70">
        <f>1/8*(SUMIFS($Z$48:$Z$187,$D$48:$D$187,Table!$D$3,$S$48:$S$187,C7)-SUM(SUMIFS($Z$48:$Z$187,$D$48:$D$187,Table!$D$3,$S$48:$S$187,C7,$AA$48:$AA$187,{"Ongoing","N/A",""})))</f>
        <v>4.9024999999999999</v>
      </c>
      <c r="G7" s="70">
        <f t="shared" si="0"/>
        <v>960.99439061703208</v>
      </c>
      <c r="H7" s="71">
        <f t="shared" si="1"/>
        <v>1</v>
      </c>
      <c r="K7" s="73" t="s">
        <v>42</v>
      </c>
    </row>
    <row r="8" spans="1:13" x14ac:dyDescent="0.25">
      <c r="B8" s="68">
        <v>5</v>
      </c>
      <c r="C8" s="69" t="s">
        <v>67</v>
      </c>
      <c r="D8" s="70">
        <f>SUMIFS($W$48:$W$187,$D$48:$D$187,Table!$D$3,$S$48:$S$187,C8)</f>
        <v>0</v>
      </c>
      <c r="E8" s="70">
        <f>SUMIFS($W$48:$W$187,$D$48:$D$187,Table!$D$3,$S$48:$S$187,C8)-SUM(SUMIFS($W$48:$W$187,$D$48:$D$187,Table!$D$3,$S$48:$S$187,C8,$AA$48:$AA$187,{"Ongoing","N/A",""}))</f>
        <v>0</v>
      </c>
      <c r="F8" s="70">
        <f>1/8*(SUMIFS($Z$48:$Z$187,$D$48:$D$187,Table!$D$3,$S$48:$S$187,C8)-SUM(SUMIFS($Z$48:$Z$187,$D$48:$D$187,Table!$D$3,$S$48:$S$187,C8,$AA$48:$AA$187,{"Ongoing","N/A",""})))</f>
        <v>0</v>
      </c>
      <c r="G8" s="70" t="str">
        <f t="shared" si="0"/>
        <v>N/A</v>
      </c>
      <c r="H8" s="71" t="str">
        <f t="shared" si="1"/>
        <v>N/A</v>
      </c>
      <c r="L8" s="24" t="s">
        <v>43</v>
      </c>
    </row>
    <row r="9" spans="1:13" x14ac:dyDescent="0.25">
      <c r="B9" s="68">
        <v>6</v>
      </c>
      <c r="C9" s="69" t="s">
        <v>68</v>
      </c>
      <c r="D9" s="70">
        <f>SUMIFS($W$48:$W$187,$D$48:$D$187,Table!$D$3,$S$48:$S$187,C9)</f>
        <v>0</v>
      </c>
      <c r="E9" s="70">
        <f>SUMIFS($W$48:$W$187,$D$48:$D$187,Table!$D$3,$S$48:$S$187,C9)-SUM(SUMIFS($W$48:$W$187,$D$48:$D$187,Table!$D$3,$S$48:$S$187,C9,$AA$48:$AA$187,{"Ongoing","N/A",""}))</f>
        <v>0</v>
      </c>
      <c r="F9" s="70">
        <f>1/8*(SUMIFS($Z$48:$Z$187,$D$48:$D$187,Table!$D$3,$S$48:$S$187,C9)-SUM(SUMIFS($Z$48:$Z$187,$D$48:$D$187,Table!$D$3,$S$48:$S$187,C9,$AA$48:$AA$187,{"Ongoing","N/A",""})))</f>
        <v>0</v>
      </c>
      <c r="G9" s="70" t="str">
        <f t="shared" si="0"/>
        <v>N/A</v>
      </c>
      <c r="H9" s="71" t="str">
        <f t="shared" si="1"/>
        <v>N/A</v>
      </c>
      <c r="L9" s="24" t="s">
        <v>44</v>
      </c>
    </row>
    <row r="10" spans="1:13" x14ac:dyDescent="0.25">
      <c r="B10" s="68">
        <v>7</v>
      </c>
      <c r="C10" s="69" t="s">
        <v>69</v>
      </c>
      <c r="D10" s="70">
        <f>SUMIFS($W$48:$W$187,$D$48:$D$187,Table!$D$3,$S$48:$S$187,C10)</f>
        <v>0</v>
      </c>
      <c r="E10" s="70">
        <f>SUMIFS($W$48:$W$187,$D$48:$D$187,Table!$D$3,$S$48:$S$187,C10)-SUM(SUMIFS($W$48:$W$187,$D$48:$D$187,Table!$D$3,$S$48:$S$187,C10,$AA$48:$AA$187,{"Ongoing","N/A",""}))</f>
        <v>0</v>
      </c>
      <c r="F10" s="70">
        <f>1/8*(SUMIFS($Z$48:$Z$187,$D$48:$D$187,Table!$D$3,$S$48:$S$187,C10)-SUM(SUMIFS($Z$48:$Z$187,$D$48:$D$187,Table!$D$3,$S$48:$S$187,C10,$AA$48:$AA$187,{"Ongoing","N/A",""})))</f>
        <v>0</v>
      </c>
      <c r="G10" s="70" t="str">
        <f t="shared" si="0"/>
        <v>N/A</v>
      </c>
      <c r="H10" s="71" t="str">
        <f t="shared" si="1"/>
        <v>N/A</v>
      </c>
    </row>
    <row r="11" spans="1:13" x14ac:dyDescent="0.25">
      <c r="B11" s="68">
        <v>8</v>
      </c>
      <c r="C11" s="69" t="s">
        <v>70</v>
      </c>
      <c r="D11" s="70">
        <f>SUMIFS($W$48:$W$187,$D$48:$D$187,Table!$D$3,$S$48:$S$187,C11)</f>
        <v>0</v>
      </c>
      <c r="E11" s="70">
        <f>SUMIFS($W$48:$W$187,$D$48:$D$187,Table!$D$3,$S$48:$S$187,C11)-SUM(SUMIFS($W$48:$W$187,$D$48:$D$187,Table!$D$3,$S$48:$S$187,C11,$AA$48:$AA$187,{"Ongoing","N/A",""}))</f>
        <v>0</v>
      </c>
      <c r="F11" s="70">
        <f>1/8*(SUMIFS($Z$48:$Z$187,$D$48:$D$187,Table!$D$3,$S$48:$S$187,C11)-SUM(SUMIFS($Z$48:$Z$187,$D$48:$D$187,Table!$D$3,$S$48:$S$187,C11,$AA$48:$AA$187,{"Ongoing","N/A",""})))</f>
        <v>0</v>
      </c>
      <c r="G11" s="70" t="str">
        <f t="shared" si="0"/>
        <v>N/A</v>
      </c>
      <c r="H11" s="71" t="str">
        <f t="shared" si="1"/>
        <v>N/A</v>
      </c>
    </row>
    <row r="12" spans="1:13" x14ac:dyDescent="0.25">
      <c r="B12" s="68">
        <v>9</v>
      </c>
      <c r="C12" s="79" t="s">
        <v>156</v>
      </c>
      <c r="D12" s="70">
        <f>SUMIFS($W$48:$W$187,$D$48:$D$187,Table!$D$3,$S$48:$S$187,C12)</f>
        <v>5027.8500000000004</v>
      </c>
      <c r="E12" s="70">
        <f>SUMIFS($W$48:$W$187,$D$48:$D$187,Table!$D$3,$S$48:$S$187,C12)-SUM(SUMIFS($W$48:$W$187,$D$48:$D$187,Table!$D$3,$S$48:$S$187,C12,$AA$48:$AA$187,{"Ongoing","N/A",""}))</f>
        <v>5027.8500000000004</v>
      </c>
      <c r="F12" s="70">
        <f>1/8*(SUMIFS($Z$48:$Z$187,$D$48:$D$187,Table!$D$3,$S$48:$S$187,C12)-SUM(SUMIFS($Z$48:$Z$187,$D$48:$D$187,Table!$D$3,$S$48:$S$187,C12,$AA$48:$AA$187,{"Ongoing","N/A",""})))</f>
        <v>6.2874999999999996</v>
      </c>
      <c r="G12" s="70">
        <f t="shared" si="0"/>
        <v>799.65805168986094</v>
      </c>
      <c r="H12" s="71">
        <f t="shared" si="1"/>
        <v>1</v>
      </c>
    </row>
    <row r="13" spans="1:13" x14ac:dyDescent="0.25">
      <c r="B13" s="68">
        <v>10</v>
      </c>
      <c r="C13" s="83" t="s">
        <v>157</v>
      </c>
      <c r="D13" s="70">
        <f>SUMIFS($W$48:$W$187,$D$48:$D$187,Table!$D$3,$S$48:$S$187,C13)</f>
        <v>0</v>
      </c>
      <c r="E13" s="70">
        <f>SUMIFS($W$48:$W$187,$D$48:$D$187,Table!$D$3,$S$48:$S$187,C13)-SUM(SUMIFS($W$48:$W$187,$D$48:$D$187,Table!$D$3,$S$48:$S$187,C13,$AA$48:$AA$187,{"Ongoing","N/A",""}))</f>
        <v>0</v>
      </c>
      <c r="F13" s="70">
        <f>1/8*(SUMIFS($Z$48:$Z$187,$D$48:$D$187,Table!$D$3,$S$48:$S$187,C13)-SUM(SUMIFS($Z$48:$Z$187,$D$48:$D$187,Table!$D$3,$S$48:$S$187,C13,$AA$48:$AA$187,{"Ongoing","N/A",""})))</f>
        <v>0</v>
      </c>
      <c r="G13" s="70" t="str">
        <f t="shared" si="0"/>
        <v>N/A</v>
      </c>
      <c r="H13" s="71" t="str">
        <f t="shared" si="1"/>
        <v>N/A</v>
      </c>
      <c r="J13" s="73" t="s">
        <v>38</v>
      </c>
      <c r="K13" s="75">
        <v>43952</v>
      </c>
      <c r="M13" s="75">
        <f ca="1">TODAY()</f>
        <v>43972</v>
      </c>
    </row>
    <row r="14" spans="1:13" x14ac:dyDescent="0.25">
      <c r="B14" s="66" t="s">
        <v>109</v>
      </c>
      <c r="C14" s="72"/>
      <c r="D14" s="74">
        <f>SUMIFS($W$48:$W$187,$D$48:$D$187,Table!$D$3)</f>
        <v>10080.225</v>
      </c>
      <c r="E14" s="74">
        <f>SUMIFS($W$48:$W$187,$D$48:$D$187,Table!$D$3)-SUM(SUMIFS($W$48:$W$187,$D$48:$D$187,Table!$D$3,$AA$48:$AA$187,{"Ongoing","N/A",""}))</f>
        <v>10080.225</v>
      </c>
      <c r="F14" s="74">
        <f>1/8*(SUMIFS($Z$48:$Z$187,$D$48:$D$187,Table!$D$3)-SUM(SUMIFS($Z$48:$Z$187,$D$48:$D$187,Table!$D$3,$AA$48:$AA$187,{"Ongoing","N/A",""})))</f>
        <v>12.065000000000001</v>
      </c>
      <c r="G14" s="70">
        <f>IF(ISERROR(E14/(F14)),"N/A",E14/F14)</f>
        <v>835.49316203895557</v>
      </c>
      <c r="H14" s="71">
        <f t="shared" si="1"/>
        <v>1</v>
      </c>
      <c r="J14" s="73" t="s">
        <v>30</v>
      </c>
      <c r="K14" s="76">
        <f ca="1">SUM(INT((WEEKDAY(K13-{2,3,4,5,6}) +M13-K13)/7))</f>
        <v>15</v>
      </c>
    </row>
    <row r="15" spans="1:13" x14ac:dyDescent="0.25">
      <c r="J15" s="73" t="s">
        <v>145</v>
      </c>
      <c r="K15" s="76">
        <v>1</v>
      </c>
      <c r="L15" s="77" t="s">
        <v>318</v>
      </c>
    </row>
    <row r="16" spans="1:13" x14ac:dyDescent="0.25">
      <c r="J16" s="73" t="s">
        <v>111</v>
      </c>
      <c r="K16" s="24">
        <f ca="1">IF(TODAY()&lt;M13,SUM(INT((WEEKDAY(K13-{2,3,4,5,6})+TODAY()-K13)/7)),SUM(INT((WEEKDAY(K13-{2,3,4,5,6})+M13-K13)/7)))-K15</f>
        <v>14</v>
      </c>
    </row>
    <row r="17" spans="1:12" x14ac:dyDescent="0.25">
      <c r="B17" s="73" t="s">
        <v>51</v>
      </c>
    </row>
    <row r="18" spans="1:12" x14ac:dyDescent="0.25">
      <c r="B18" s="66" t="s">
        <v>0</v>
      </c>
      <c r="C18" s="66" t="s">
        <v>8</v>
      </c>
      <c r="D18" s="66" t="s">
        <v>129</v>
      </c>
      <c r="E18" s="66" t="s">
        <v>53</v>
      </c>
      <c r="F18" s="66" t="s">
        <v>136</v>
      </c>
      <c r="G18" s="66" t="s">
        <v>22</v>
      </c>
      <c r="H18" s="67" t="s">
        <v>24</v>
      </c>
    </row>
    <row r="19" spans="1:12" x14ac:dyDescent="0.25">
      <c r="B19" s="68">
        <v>1</v>
      </c>
      <c r="C19" s="83" t="s">
        <v>6</v>
      </c>
      <c r="D19" s="70">
        <f>SUMIFS($W$48:$W$187,$D$48:$D$187,Table!$C$3,$S$48:$S$187,C19)</f>
        <v>0</v>
      </c>
      <c r="E19" s="70">
        <f>SUMIFS($X$48:$X$187,$D$48:$D$187,Table!$C$3,$S$48:$S$187,C19)-SUM(SUMIFS($X$48:$X$187,$D$48:$D$187,Table!$C$3,$S$48:$S$187,C19,$AA$48:$AA$187,{"Ongoing","N/A",""}))</f>
        <v>0</v>
      </c>
      <c r="F19" s="70">
        <f>1/8*(SUMIFS($Z$48:$Z$187,$D$48:$D$187,Table!$C$3,$S$48:$S$187,C19)-SUM(SUMIFS($Z$48:$Z$187,$D$48:$D$187,Table!$C$3,$S$48:$S$187,C19,$AA$48:$AA$187,{"Ongoing","N/A",""})))</f>
        <v>0</v>
      </c>
      <c r="G19" s="70" t="str">
        <f>IF(ISERROR(E19/(F19)),"N/A",E19/F19)</f>
        <v>N/A</v>
      </c>
      <c r="H19" s="71" t="str">
        <f>IF(ISERROR(E19/D19),"N/A",E19/D19)</f>
        <v>N/A</v>
      </c>
    </row>
    <row r="20" spans="1:12" x14ac:dyDescent="0.25">
      <c r="B20" s="68">
        <v>2</v>
      </c>
      <c r="C20" s="83" t="s">
        <v>64</v>
      </c>
      <c r="D20" s="70">
        <f>SUMIFS($W$48:$W$187,$D$48:$D$187,Table!$C$3,$S$48:$S$187,C20)</f>
        <v>0</v>
      </c>
      <c r="E20" s="70">
        <f>SUMIFS($X$48:$X$187,$D$48:$D$187,Table!$C$3,$S$48:$S$187,C20)-SUM(SUMIFS($X$48:$X$187,$D$48:$D$187,Table!$C$3,$S$48:$S$187,C20,$AA$48:$AA$187,{"Ongoing","N/A",""}))</f>
        <v>0</v>
      </c>
      <c r="F20" s="70">
        <f>1/8*(SUMIFS($Z$48:$Z$187,$D$48:$D$187,Table!$C$3,$S$48:$S$187,C20)-SUM(SUMIFS($Z$48:$Z$187,$D$48:$D$187,Table!$C$3,$S$48:$S$187,C20,$AA$48:$AA$187,{"Ongoing","N/A",""})))</f>
        <v>0</v>
      </c>
      <c r="G20" s="70" t="str">
        <f t="shared" ref="G20:G29" si="2">IF(ISERROR(E20/(F20)),"N/A",E20/F20)</f>
        <v>N/A</v>
      </c>
      <c r="H20" s="71" t="str">
        <f t="shared" ref="H20:H29" si="3">IF(ISERROR(E20/D20),"N/A",E20/D20)</f>
        <v>N/A</v>
      </c>
    </row>
    <row r="21" spans="1:12" x14ac:dyDescent="0.25">
      <c r="B21" s="68">
        <v>3</v>
      </c>
      <c r="C21" s="83" t="s">
        <v>65</v>
      </c>
      <c r="D21" s="70">
        <f>SUMIFS($W$48:$W$187,$D$48:$D$187,Table!$C$3,$S$48:$S$187,C21)</f>
        <v>0</v>
      </c>
      <c r="E21" s="70">
        <f>SUMIFS($X$48:$X$187,$D$48:$D$187,Table!$C$3,$S$48:$S$187,C21)-SUM(SUMIFS($X$48:$X$187,$D$48:$D$187,Table!$C$3,$S$48:$S$187,C21,$AA$48:$AA$187,{"Ongoing","N/A",""}))</f>
        <v>0</v>
      </c>
      <c r="F21" s="70">
        <f>1/8*(SUMIFS($Z$48:$Z$187,$D$48:$D$187,Table!$C$3,$S$48:$S$187,C21)-SUM(SUMIFS($Z$48:$Z$187,$D$48:$D$187,Table!$C$3,$S$48:$S$187,C21,$AA$48:$AA$187,{"Ongoing","N/A",""})))</f>
        <v>0</v>
      </c>
      <c r="G21" s="70" t="str">
        <f t="shared" si="2"/>
        <v>N/A</v>
      </c>
      <c r="H21" s="71" t="str">
        <f t="shared" si="3"/>
        <v>N/A</v>
      </c>
    </row>
    <row r="22" spans="1:12" x14ac:dyDescent="0.25">
      <c r="B22" s="68">
        <v>4</v>
      </c>
      <c r="C22" s="79" t="s">
        <v>66</v>
      </c>
      <c r="D22" s="70">
        <f>SUMIFS($W$48:$W$187,$D$48:$D$187,Table!$C$3,$S$48:$S$187,C22)</f>
        <v>1764.1000000000001</v>
      </c>
      <c r="E22" s="70">
        <f>SUMIFS($X$48:$X$187,$D$48:$D$187,Table!$C$3,$S$48:$S$187,C22)-SUM(SUMIFS($X$48:$X$187,$D$48:$D$187,Table!$C$3,$S$48:$S$187,C22,$AA$48:$AA$187,{"Ongoing","N/A",""}))</f>
        <v>1764.1000000000001</v>
      </c>
      <c r="F22" s="70">
        <f>1/8*(SUMIFS($Z$48:$Z$187,$D$48:$D$187,Table!$C$3,$S$48:$S$187,C22)-SUM(SUMIFS($Z$48:$Z$187,$D$48:$D$187,Table!$C$3,$S$48:$S$187,C22,$AA$48:$AA$187,{"Ongoing","N/A",""})))</f>
        <v>7.625</v>
      </c>
      <c r="G22" s="70">
        <f t="shared" si="2"/>
        <v>231.35737704918034</v>
      </c>
      <c r="H22" s="71">
        <f t="shared" si="3"/>
        <v>1</v>
      </c>
    </row>
    <row r="23" spans="1:12" x14ac:dyDescent="0.25">
      <c r="B23" s="68">
        <v>5</v>
      </c>
      <c r="C23" s="69" t="s">
        <v>67</v>
      </c>
      <c r="D23" s="70">
        <f>SUMIFS($W$48:$W$187,$D$48:$D$187,Table!$C$3,$S$48:$S$187,C23)</f>
        <v>0</v>
      </c>
      <c r="E23" s="70">
        <f>SUMIFS($X$48:$X$187,$D$48:$D$187,Table!$C$3,$S$48:$S$187,C23)-SUM(SUMIFS($X$48:$X$187,$D$48:$D$187,Table!$C$3,$S$48:$S$187,C23,$AA$48:$AA$187,{"Ongoing","N/A",""}))</f>
        <v>0</v>
      </c>
      <c r="F23" s="70">
        <f>1/8*(SUMIFS($Z$48:$Z$187,$D$48:$D$187,Table!$C$3,$S$48:$S$187,C23)-SUM(SUMIFS($Z$48:$Z$187,$D$48:$D$187,Table!$C$3,$S$48:$S$187,C23,$AA$48:$AA$187,{"Ongoing","N/A",""})))</f>
        <v>0</v>
      </c>
      <c r="G23" s="70" t="str">
        <f t="shared" si="2"/>
        <v>N/A</v>
      </c>
      <c r="H23" s="71" t="str">
        <f t="shared" si="3"/>
        <v>N/A</v>
      </c>
    </row>
    <row r="24" spans="1:12" x14ac:dyDescent="0.25">
      <c r="B24" s="68">
        <v>6</v>
      </c>
      <c r="C24" s="69" t="s">
        <v>68</v>
      </c>
      <c r="D24" s="70">
        <f>SUMIFS($W$48:$W$187,$D$48:$D$187,Table!$C$3,$S$48:$S$187,C24)</f>
        <v>0</v>
      </c>
      <c r="E24" s="70">
        <f>SUMIFS($X$48:$X$187,$D$48:$D$187,Table!$C$3,$S$48:$S$187,C24)-SUM(SUMIFS($X$48:$X$187,$D$48:$D$187,Table!$C$3,$S$48:$S$187,C24,$AA$48:$AA$187,{"Ongoing","N/A",""}))</f>
        <v>0</v>
      </c>
      <c r="F24" s="70">
        <f>1/8*(SUMIFS($Z$48:$Z$187,$D$48:$D$187,Table!$C$3,$S$48:$S$187,C24)-SUM(SUMIFS($Z$48:$Z$187,$D$48:$D$187,Table!$C$3,$S$48:$S$187,C24,$AA$48:$AA$187,{"Ongoing","N/A",""})))</f>
        <v>0</v>
      </c>
      <c r="G24" s="70" t="str">
        <f t="shared" si="2"/>
        <v>N/A</v>
      </c>
      <c r="H24" s="71" t="str">
        <f t="shared" si="3"/>
        <v>N/A</v>
      </c>
    </row>
    <row r="25" spans="1:12" x14ac:dyDescent="0.25">
      <c r="B25" s="68">
        <v>7</v>
      </c>
      <c r="C25" s="69" t="s">
        <v>69</v>
      </c>
      <c r="D25" s="70">
        <f>SUMIFS($W$48:$W$187,$D$48:$D$187,Table!$C$3,$S$48:$S$187,C25)</f>
        <v>0</v>
      </c>
      <c r="E25" s="70">
        <f>SUMIFS($X$48:$X$187,$D$48:$D$187,Table!$C$3,$S$48:$S$187,C25)-SUM(SUMIFS($X$48:$X$187,$D$48:$D$187,Table!$C$3,$S$48:$S$187,C25,$AA$48:$AA$187,{"Ongoing","N/A",""}))</f>
        <v>0</v>
      </c>
      <c r="F25" s="70">
        <f>1/8*(SUMIFS($Z$48:$Z$187,$D$48:$D$187,Table!$C$3,$S$48:$S$187,C25)-SUM(SUMIFS($Z$48:$Z$187,$D$48:$D$187,Table!$C$3,$S$48:$S$187,C25,$AA$48:$AA$187,{"Ongoing","N/A",""})))</f>
        <v>0</v>
      </c>
      <c r="G25" s="70" t="str">
        <f t="shared" si="2"/>
        <v>N/A</v>
      </c>
      <c r="H25" s="71" t="str">
        <f t="shared" si="3"/>
        <v>N/A</v>
      </c>
    </row>
    <row r="26" spans="1:12" x14ac:dyDescent="0.25">
      <c r="B26" s="68">
        <v>8</v>
      </c>
      <c r="C26" s="69" t="s">
        <v>70</v>
      </c>
      <c r="D26" s="70">
        <f>SUMIFS($W$48:$W$187,$D$48:$D$187,Table!$C$3,$S$48:$S$187,C26)</f>
        <v>0</v>
      </c>
      <c r="E26" s="70">
        <f>SUMIFS($X$48:$X$187,$D$48:$D$187,Table!$C$3,$S$48:$S$187,C26)-SUM(SUMIFS($X$48:$X$187,$D$48:$D$187,Table!$C$3,$S$48:$S$187,C26,$AA$48:$AA$187,{"Ongoing","N/A",""}))</f>
        <v>0</v>
      </c>
      <c r="F26" s="70">
        <f>1/8*(SUMIFS($Z$48:$Z$187,$D$48:$D$187,Table!$C$3,$S$48:$S$187,C26)-SUM(SUMIFS($Z$48:$Z$187,$D$48:$D$187,Table!$C$3,$S$48:$S$187,C26,$AA$48:$AA$187,{"Ongoing","N/A",""})))</f>
        <v>0</v>
      </c>
      <c r="G26" s="70" t="str">
        <f t="shared" si="2"/>
        <v>N/A</v>
      </c>
      <c r="H26" s="71" t="str">
        <f t="shared" si="3"/>
        <v>N/A</v>
      </c>
    </row>
    <row r="27" spans="1:12" x14ac:dyDescent="0.25">
      <c r="B27" s="68">
        <v>9</v>
      </c>
      <c r="C27" s="79" t="s">
        <v>156</v>
      </c>
      <c r="D27" s="70">
        <f>SUMIFS($W$48:$W$187,$D$48:$D$187,Table!$C$3,$S$48:$S$187,C27)</f>
        <v>748.8</v>
      </c>
      <c r="E27" s="70">
        <f>SUMIFS($X$48:$X$187,$D$48:$D$187,Table!$C$3,$S$48:$S$187,C27)-SUM(SUMIFS($X$48:$X$187,$D$48:$D$187,Table!$C$3,$S$48:$S$187,C27,$AA$48:$AA$187,{"Ongoing","N/A",""}))</f>
        <v>384.8</v>
      </c>
      <c r="F27" s="70">
        <f>1/8*(SUMIFS($Z$48:$Z$187,$D$48:$D$187,Table!$C$3,$S$48:$S$187,C27)-SUM(SUMIFS($Z$48:$Z$187,$D$48:$D$187,Table!$C$3,$S$48:$S$187,C27,$AA$48:$AA$187,{"Ongoing","N/A",""})))</f>
        <v>2</v>
      </c>
      <c r="G27" s="70">
        <f t="shared" si="2"/>
        <v>192.4</v>
      </c>
      <c r="H27" s="71">
        <f t="shared" si="3"/>
        <v>0.51388888888888895</v>
      </c>
    </row>
    <row r="28" spans="1:12" x14ac:dyDescent="0.25">
      <c r="B28" s="68">
        <v>10</v>
      </c>
      <c r="C28" s="83" t="s">
        <v>157</v>
      </c>
      <c r="D28" s="70">
        <f>SUMIFS($W$48:$W$187,$D$48:$D$187,Table!$C$3,$S$48:$S$187,C28)</f>
        <v>0</v>
      </c>
      <c r="E28" s="70">
        <f>SUMIFS($X$48:$X$187,$D$48:$D$187,Table!$C$3,$S$48:$S$187,C28)-SUM(SUMIFS($X$48:$X$187,$D$48:$D$187,Table!$C$3,$S$48:$S$187,C28,$AA$48:$AA$187,{"Ongoing","N/A",""}))</f>
        <v>0</v>
      </c>
      <c r="F28" s="70">
        <f>1/8*(SUMIFS($Z$48:$Z$187,$D$48:$D$187,Table!$C$3,$S$48:$S$187,C28)-SUM(SUMIFS($Z$48:$Z$187,$D$48:$D$187,Table!$C$3,$S$48:$S$187,C28,$AA$48:$AA$187,{"Ongoing","N/A",""})))</f>
        <v>0</v>
      </c>
      <c r="G28" s="70" t="str">
        <f t="shared" si="2"/>
        <v>N/A</v>
      </c>
      <c r="H28" s="71" t="str">
        <f t="shared" si="3"/>
        <v>N/A</v>
      </c>
    </row>
    <row r="29" spans="1:12" x14ac:dyDescent="0.25">
      <c r="B29" s="66" t="s">
        <v>109</v>
      </c>
      <c r="C29" s="72"/>
      <c r="D29" s="74">
        <f>ROUND(SUMIFS($W$48:$W$187,$D$48:$D$187,Table!$C$3),3)</f>
        <v>2512.9</v>
      </c>
      <c r="E29" s="74">
        <f>ROUND(SUMIFS($W$48:$W$187,$D$48:$D$187,Table!$C$3)-SUM(SUMIFS($W$48:$W$187,$D$48:$D$187,Table!$C$3,$AA$48:$AA$187,{"Ongoing","N/A",""})),3)</f>
        <v>2148.9</v>
      </c>
      <c r="F29" s="74">
        <f>1/8*(SUMIFS($Z$48:$Z$187,$D$48:$D$187,Table!$C$3)-SUM(SUMIFS($Z$48:$Z$187,$D$48:$D$187,Table!$C$3,$AA$48:$AA$187,{"Ongoing","N/A",""})))</f>
        <v>9.625</v>
      </c>
      <c r="G29" s="70">
        <f t="shared" si="2"/>
        <v>223.26233766233767</v>
      </c>
      <c r="H29" s="71">
        <f t="shared" si="3"/>
        <v>0.85514743921365755</v>
      </c>
      <c r="L29" s="6"/>
    </row>
    <row r="32" spans="1:12" x14ac:dyDescent="0.25">
      <c r="A32" s="1" t="s">
        <v>417</v>
      </c>
      <c r="B32" s="73" t="s">
        <v>110</v>
      </c>
    </row>
    <row r="33" spans="2:40" x14ac:dyDescent="0.25">
      <c r="B33" s="66" t="s">
        <v>0</v>
      </c>
      <c r="C33" s="66" t="s">
        <v>8</v>
      </c>
      <c r="D33" s="66" t="s">
        <v>129</v>
      </c>
      <c r="E33" s="66" t="s">
        <v>53</v>
      </c>
      <c r="F33" s="66" t="s">
        <v>102</v>
      </c>
      <c r="G33" s="66" t="s">
        <v>22</v>
      </c>
      <c r="H33" s="67" t="s">
        <v>24</v>
      </c>
      <c r="I33" s="67" t="s">
        <v>149</v>
      </c>
      <c r="J33" s="67" t="s">
        <v>164</v>
      </c>
    </row>
    <row r="34" spans="2:40" x14ac:dyDescent="0.25">
      <c r="B34" s="68">
        <v>1</v>
      </c>
      <c r="C34" s="83" t="s">
        <v>6</v>
      </c>
      <c r="D34" s="70">
        <f>SUM(D19*Table!$D$4/Table!$C$4,D4)</f>
        <v>341.1</v>
      </c>
      <c r="E34" s="70">
        <f>SUM(E19*Table!$D$4/Table!$C$4,E4)</f>
        <v>341.1</v>
      </c>
      <c r="F34" s="70">
        <f t="shared" ref="F34:F43" ca="1" si="4">$K$16</f>
        <v>14</v>
      </c>
      <c r="G34" s="70">
        <f t="shared" ref="G34" ca="1" si="5">IF(ISERROR(E34/(F34)),"N/A",E34/F34)</f>
        <v>24.364285714285717</v>
      </c>
      <c r="H34" s="71">
        <f t="shared" ref="H34:H44" si="6">IF(ISERROR(E34/D34),"N/A",E34/D34)</f>
        <v>1</v>
      </c>
      <c r="I34" s="3">
        <f>COUNTIFS($S$48:$S$187,C34,$AK$48:$AK$187,Table!$C$36)</f>
        <v>0</v>
      </c>
      <c r="J34" s="3">
        <f>COUNTIFS($S$48:$S$187,C34,$AK$48:$AK$187,Table!$C$37)</f>
        <v>0</v>
      </c>
    </row>
    <row r="35" spans="2:40" x14ac:dyDescent="0.25">
      <c r="B35" s="68">
        <v>2</v>
      </c>
      <c r="C35" s="83" t="s">
        <v>64</v>
      </c>
      <c r="D35" s="70">
        <f>SUM(D20*Table!$D$4/Table!$C$4,D5)</f>
        <v>0</v>
      </c>
      <c r="E35" s="70">
        <f>SUM(E20*Table!$D$4/Table!$C$4,E5)</f>
        <v>0</v>
      </c>
      <c r="F35" s="70">
        <f t="shared" ca="1" si="4"/>
        <v>14</v>
      </c>
      <c r="G35" s="70">
        <f ca="1">IF(ISERROR(E35/(F35)),"N/A",E35/F35)</f>
        <v>0</v>
      </c>
      <c r="H35" s="71" t="str">
        <f t="shared" si="6"/>
        <v>N/A</v>
      </c>
      <c r="I35" s="3">
        <f>COUNTIFS($S$48:$S$187,C35,$AK$48:$AK$187,Table!$C$36)</f>
        <v>0</v>
      </c>
      <c r="J35" s="3">
        <f>COUNTIFS($S$48:$S$187,C35,$AK$48:$AK$187,Table!$C$37)</f>
        <v>0</v>
      </c>
    </row>
    <row r="36" spans="2:40" x14ac:dyDescent="0.25">
      <c r="B36" s="68">
        <v>3</v>
      </c>
      <c r="C36" s="83" t="s">
        <v>65</v>
      </c>
      <c r="D36" s="70">
        <f>SUM(D21*Table!$D$4/Table!$C$4,D6)</f>
        <v>0</v>
      </c>
      <c r="E36" s="70">
        <f>SUM(E21*Table!$D$4/Table!$C$4,E6)</f>
        <v>0</v>
      </c>
      <c r="F36" s="70">
        <f t="shared" ca="1" si="4"/>
        <v>14</v>
      </c>
      <c r="G36" s="70">
        <f t="shared" ref="G36:G43" ca="1" si="7">IF(ISERROR(E36/(F36)),"N/A",E36/F36)</f>
        <v>0</v>
      </c>
      <c r="H36" s="71" t="str">
        <f t="shared" si="6"/>
        <v>N/A</v>
      </c>
      <c r="I36" s="3">
        <f>COUNTIFS($S$48:$S$187,C36,$AK$48:$AK$187,Table!$C$36)</f>
        <v>0</v>
      </c>
      <c r="J36" s="3">
        <f>COUNTIFS($S$48:$S$187,C36,$AK$48:$AK$187,Table!$C$37)</f>
        <v>0</v>
      </c>
    </row>
    <row r="37" spans="2:40" x14ac:dyDescent="0.25">
      <c r="B37" s="68">
        <v>4</v>
      </c>
      <c r="C37" s="79" t="s">
        <v>66</v>
      </c>
      <c r="D37" s="70">
        <f>SUM(D22*Table!$D$4/Table!$C$4,D7)</f>
        <v>10817.775000000001</v>
      </c>
      <c r="E37" s="70">
        <f>SUM(E22*Table!$D$4/Table!$C$4,E7)</f>
        <v>10817.775000000001</v>
      </c>
      <c r="F37" s="70">
        <f t="shared" ca="1" si="4"/>
        <v>14</v>
      </c>
      <c r="G37" s="70">
        <f t="shared" ca="1" si="7"/>
        <v>772.69821428571436</v>
      </c>
      <c r="H37" s="71">
        <f t="shared" si="6"/>
        <v>1</v>
      </c>
      <c r="I37" s="3">
        <f>COUNTIFS($S$48:$S$187,C37,$AK$48:$AK$187,Table!$C$36)</f>
        <v>0</v>
      </c>
      <c r="J37" s="3">
        <f>COUNTIFS($S$48:$S$187,C37,$AK$48:$AK$187,Table!$C$37)</f>
        <v>0</v>
      </c>
    </row>
    <row r="38" spans="2:40" x14ac:dyDescent="0.25">
      <c r="B38" s="68">
        <v>5</v>
      </c>
      <c r="C38" s="69" t="s">
        <v>67</v>
      </c>
      <c r="D38" s="70">
        <f>SUM(D23*Table!$D$4/Table!$C$4,D8)</f>
        <v>0</v>
      </c>
      <c r="E38" s="70">
        <f>SUM(E23*Table!$D$4/Table!$C$4,E8)</f>
        <v>0</v>
      </c>
      <c r="F38" s="70">
        <f t="shared" ca="1" si="4"/>
        <v>14</v>
      </c>
      <c r="G38" s="70">
        <f t="shared" ca="1" si="7"/>
        <v>0</v>
      </c>
      <c r="H38" s="71" t="str">
        <f t="shared" si="6"/>
        <v>N/A</v>
      </c>
      <c r="I38" s="3">
        <f>COUNTIFS($S$48:$S$187,C38,$AK$48:$AK$187,Table!$C$36)</f>
        <v>0</v>
      </c>
      <c r="J38" s="3">
        <f>COUNTIFS($S$48:$S$187,C38,$AK$48:$AK$187,Table!$C$37)</f>
        <v>0</v>
      </c>
    </row>
    <row r="39" spans="2:40" x14ac:dyDescent="0.25">
      <c r="B39" s="68">
        <v>6</v>
      </c>
      <c r="C39" s="69" t="s">
        <v>68</v>
      </c>
      <c r="D39" s="70">
        <f>SUM(D24*Table!$D$4/Table!$C$4,D9)</f>
        <v>0</v>
      </c>
      <c r="E39" s="70">
        <f>SUM(E24*Table!$D$4/Table!$C$4,E9)</f>
        <v>0</v>
      </c>
      <c r="F39" s="70">
        <f t="shared" ca="1" si="4"/>
        <v>14</v>
      </c>
      <c r="G39" s="70">
        <f t="shared" ca="1" si="7"/>
        <v>0</v>
      </c>
      <c r="H39" s="71" t="str">
        <f t="shared" si="6"/>
        <v>N/A</v>
      </c>
      <c r="I39" s="3">
        <f>COUNTIFS($S$48:$S$187,C39,$AK$48:$AK$187,Table!$C$36)</f>
        <v>0</v>
      </c>
      <c r="J39" s="3">
        <f>COUNTIFS($S$48:$S$187,C39,$AK$48:$AK$187,Table!$C$37)</f>
        <v>0</v>
      </c>
    </row>
    <row r="40" spans="2:40" x14ac:dyDescent="0.25">
      <c r="B40" s="68">
        <v>7</v>
      </c>
      <c r="C40" s="69" t="s">
        <v>69</v>
      </c>
      <c r="D40" s="70">
        <f>SUM(D25*Table!$D$4/Table!$C$4,D10)</f>
        <v>0</v>
      </c>
      <c r="E40" s="70">
        <f>SUM(E25*Table!$D$4/Table!$C$4,E10)</f>
        <v>0</v>
      </c>
      <c r="F40" s="70">
        <f t="shared" ca="1" si="4"/>
        <v>14</v>
      </c>
      <c r="G40" s="70">
        <f t="shared" ca="1" si="7"/>
        <v>0</v>
      </c>
      <c r="H40" s="71" t="str">
        <f t="shared" si="6"/>
        <v>N/A</v>
      </c>
      <c r="I40" s="3">
        <f>COUNTIFS($S$48:$S$187,C40,$AK$48:$AK$187,Table!$C$36)</f>
        <v>0</v>
      </c>
      <c r="J40" s="3">
        <f>COUNTIFS($S$48:$S$187,C40,$AK$48:$AK$187,Table!$C$37)</f>
        <v>0</v>
      </c>
    </row>
    <row r="41" spans="2:40" x14ac:dyDescent="0.25">
      <c r="B41" s="68">
        <v>8</v>
      </c>
      <c r="C41" s="69" t="s">
        <v>70</v>
      </c>
      <c r="D41" s="70">
        <f>SUM(D26*Table!$D$4/Table!$C$4,D11)</f>
        <v>0</v>
      </c>
      <c r="E41" s="70">
        <f>SUM(E26*Table!$D$4/Table!$C$4,E11)</f>
        <v>0</v>
      </c>
      <c r="F41" s="70">
        <f t="shared" ca="1" si="4"/>
        <v>14</v>
      </c>
      <c r="G41" s="70">
        <f t="shared" ca="1" si="7"/>
        <v>0</v>
      </c>
      <c r="H41" s="71" t="str">
        <f t="shared" si="6"/>
        <v>N/A</v>
      </c>
      <c r="I41" s="3">
        <f>COUNTIFS($S$48:$S$187,C41,$AK$48:$AK$187,Table!$C$36)</f>
        <v>0</v>
      </c>
      <c r="J41" s="3">
        <f>COUNTIFS($S$48:$S$187,C41,$AK$48:$AK$187,Table!$C$37)</f>
        <v>0</v>
      </c>
    </row>
    <row r="42" spans="2:40" x14ac:dyDescent="0.25">
      <c r="B42" s="68">
        <v>9</v>
      </c>
      <c r="C42" s="79" t="s">
        <v>156</v>
      </c>
      <c r="D42" s="70">
        <f>SUM(D27*Table!$D$4/Table!$C$4,D12)</f>
        <v>7619.85</v>
      </c>
      <c r="E42" s="70">
        <f>SUM(E27*Table!$D$4/Table!$C$4,E12)</f>
        <v>6359.85</v>
      </c>
      <c r="F42" s="70">
        <f t="shared" ca="1" si="4"/>
        <v>14</v>
      </c>
      <c r="G42" s="70">
        <f t="shared" ca="1" si="7"/>
        <v>454.27500000000003</v>
      </c>
      <c r="H42" s="71">
        <f t="shared" si="6"/>
        <v>0.83464241422075236</v>
      </c>
      <c r="I42" s="3">
        <f>COUNTIFS($S$48:$S$187,C42,$AK$48:$AK$187,Table!$C$36)</f>
        <v>0</v>
      </c>
      <c r="J42" s="3">
        <f>COUNTIFS($S$48:$S$187,C42,$AK$48:$AK$187,Table!$C$37)</f>
        <v>0</v>
      </c>
    </row>
    <row r="43" spans="2:40" x14ac:dyDescent="0.25">
      <c r="B43" s="68">
        <v>10</v>
      </c>
      <c r="C43" s="83" t="s">
        <v>157</v>
      </c>
      <c r="D43" s="70">
        <f>SUM(D28*Table!$D$4/Table!$C$4,D13)</f>
        <v>0</v>
      </c>
      <c r="E43" s="70">
        <f>SUM(E28*Table!$D$4/Table!$C$4,E13)</f>
        <v>0</v>
      </c>
      <c r="F43" s="70">
        <f t="shared" ca="1" si="4"/>
        <v>14</v>
      </c>
      <c r="G43" s="70">
        <f t="shared" ca="1" si="7"/>
        <v>0</v>
      </c>
      <c r="H43" s="71" t="str">
        <f t="shared" si="6"/>
        <v>N/A</v>
      </c>
      <c r="I43" s="3">
        <f>COUNTIFS($S$48:$S$187,C43,$AK$48:$AK$187,Table!$C$36)</f>
        <v>0</v>
      </c>
      <c r="J43" s="3">
        <f>COUNTIFS($S$48:$S$187,C43,$AK$48:$AK$187,Table!$C$37)</f>
        <v>0</v>
      </c>
    </row>
    <row r="44" spans="2:40" x14ac:dyDescent="0.25">
      <c r="B44" s="66" t="s">
        <v>109</v>
      </c>
      <c r="C44" s="72"/>
      <c r="D44" s="70">
        <f>SUM(D34:D43)</f>
        <v>18778.725000000002</v>
      </c>
      <c r="E44" s="70">
        <f>SUM(E34:E43)</f>
        <v>17518.725000000002</v>
      </c>
      <c r="F44" s="70">
        <f ca="1">$K$16*5</f>
        <v>70</v>
      </c>
      <c r="G44" s="70">
        <f ca="1">IF(ISERROR(E44/(F44)),"N/A",E44/F44)</f>
        <v>250.26750000000004</v>
      </c>
      <c r="H44" s="71">
        <f t="shared" si="6"/>
        <v>0.93290279292124467</v>
      </c>
      <c r="I44" s="3">
        <f>SUM(I34:I43)</f>
        <v>0</v>
      </c>
      <c r="J44" s="3">
        <f>SUM(J34:J43)</f>
        <v>0</v>
      </c>
    </row>
    <row r="47" spans="2:40" x14ac:dyDescent="0.25">
      <c r="B47" s="61" t="s">
        <v>0</v>
      </c>
      <c r="C47" s="61" t="s">
        <v>63</v>
      </c>
      <c r="D47" s="61" t="s">
        <v>1</v>
      </c>
      <c r="E47" s="61" t="s">
        <v>56</v>
      </c>
      <c r="F47" s="61" t="s">
        <v>57</v>
      </c>
      <c r="G47" s="61" t="s">
        <v>158</v>
      </c>
      <c r="H47" s="61" t="s">
        <v>113</v>
      </c>
      <c r="I47" s="61" t="s">
        <v>58</v>
      </c>
      <c r="J47" s="61" t="s">
        <v>112</v>
      </c>
      <c r="K47" s="61" t="s">
        <v>159</v>
      </c>
      <c r="L47" s="61" t="s">
        <v>72</v>
      </c>
      <c r="M47" s="61" t="s">
        <v>162</v>
      </c>
      <c r="N47" s="61" t="s">
        <v>71</v>
      </c>
      <c r="O47" s="61" t="s">
        <v>62</v>
      </c>
      <c r="P47" s="61" t="s">
        <v>80</v>
      </c>
      <c r="Q47" s="58" t="s">
        <v>55</v>
      </c>
      <c r="R47" s="62" t="s">
        <v>7</v>
      </c>
      <c r="S47" s="62" t="s">
        <v>8</v>
      </c>
      <c r="T47" s="62" t="s">
        <v>78</v>
      </c>
      <c r="U47" s="62" t="s">
        <v>92</v>
      </c>
      <c r="V47" s="62" t="s">
        <v>75</v>
      </c>
      <c r="W47" s="62" t="s">
        <v>76</v>
      </c>
      <c r="X47" s="62" t="s">
        <v>53</v>
      </c>
      <c r="Y47" s="62" t="s">
        <v>79</v>
      </c>
      <c r="Z47" s="62" t="s">
        <v>54</v>
      </c>
      <c r="AA47" s="62" t="s">
        <v>17</v>
      </c>
      <c r="AB47" s="62" t="s">
        <v>184</v>
      </c>
      <c r="AC47" s="62" t="s">
        <v>59</v>
      </c>
      <c r="AD47" s="62" t="s">
        <v>60</v>
      </c>
      <c r="AE47" s="61" t="s">
        <v>12</v>
      </c>
      <c r="AF47" s="61" t="s">
        <v>13</v>
      </c>
      <c r="AG47" s="61" t="s">
        <v>77</v>
      </c>
      <c r="AH47" s="61" t="s">
        <v>14</v>
      </c>
      <c r="AI47" s="61" t="s">
        <v>15</v>
      </c>
      <c r="AJ47" s="62" t="s">
        <v>16</v>
      </c>
      <c r="AK47" s="61" t="s">
        <v>160</v>
      </c>
      <c r="AL47" s="62" t="s">
        <v>147</v>
      </c>
      <c r="AM47" s="62" t="s">
        <v>146</v>
      </c>
      <c r="AN47" s="62" t="s">
        <v>81</v>
      </c>
    </row>
    <row r="48" spans="2:40" x14ac:dyDescent="0.25">
      <c r="B48" s="45">
        <v>1</v>
      </c>
      <c r="C48" s="17">
        <v>20200427</v>
      </c>
      <c r="D48" s="16" t="s">
        <v>2</v>
      </c>
      <c r="E48" s="92" t="s">
        <v>503</v>
      </c>
      <c r="F48" s="18" t="s">
        <v>256</v>
      </c>
      <c r="G48" s="57" t="s">
        <v>61</v>
      </c>
      <c r="H48" s="16" t="s">
        <v>199</v>
      </c>
      <c r="I48" s="16" t="s">
        <v>260</v>
      </c>
      <c r="J48" s="16" t="s">
        <v>198</v>
      </c>
      <c r="K48" s="57" t="s">
        <v>61</v>
      </c>
      <c r="L48" s="57" t="s">
        <v>61</v>
      </c>
      <c r="M48" s="57" t="s">
        <v>61</v>
      </c>
      <c r="N48" s="16" t="s">
        <v>316</v>
      </c>
      <c r="O48" s="18" t="s">
        <v>194</v>
      </c>
      <c r="P48" s="18" t="s">
        <v>317</v>
      </c>
      <c r="Q48" s="19"/>
      <c r="R48" s="17" t="s">
        <v>98</v>
      </c>
      <c r="S48" s="16" t="s">
        <v>66</v>
      </c>
      <c r="T48" s="16"/>
      <c r="U48" s="16"/>
      <c r="V48" s="16">
        <v>36</v>
      </c>
      <c r="W48" s="16">
        <f>ROUND(IF(D48=Table!$C$3,Y48*Table!$C$4/8,Y48*Table!$D$4/8),3)</f>
        <v>26</v>
      </c>
      <c r="X48" s="16">
        <f t="shared" ref="X48" si="8">W48</f>
        <v>26</v>
      </c>
      <c r="Y48" s="16">
        <v>1.6</v>
      </c>
      <c r="Z48" s="16">
        <v>1</v>
      </c>
      <c r="AA48" s="16" t="s">
        <v>21</v>
      </c>
      <c r="AB48" s="20">
        <v>43958</v>
      </c>
      <c r="AC48" s="20">
        <v>43946</v>
      </c>
      <c r="AD48" s="20">
        <v>43958</v>
      </c>
      <c r="AE48" s="20">
        <v>43955</v>
      </c>
      <c r="AF48" s="20">
        <v>43955</v>
      </c>
      <c r="AG48" s="20" t="s">
        <v>335</v>
      </c>
      <c r="AH48" s="32">
        <v>0.77800000000000002</v>
      </c>
      <c r="AI48" s="32">
        <v>0.77800000000000002</v>
      </c>
      <c r="AJ48" s="32">
        <v>1</v>
      </c>
      <c r="AK48" s="20" t="s">
        <v>165</v>
      </c>
      <c r="AL48" s="16" t="s">
        <v>414</v>
      </c>
      <c r="AM48" s="16"/>
      <c r="AN48" s="16"/>
    </row>
    <row r="49" spans="2:40" x14ac:dyDescent="0.25">
      <c r="B49" s="45">
        <f>B48+1</f>
        <v>2</v>
      </c>
      <c r="C49" s="17">
        <v>20200427</v>
      </c>
      <c r="D49" s="16" t="s">
        <v>2</v>
      </c>
      <c r="E49" s="92" t="s">
        <v>503</v>
      </c>
      <c r="F49" s="18" t="s">
        <v>256</v>
      </c>
      <c r="G49" s="57" t="s">
        <v>61</v>
      </c>
      <c r="H49" s="16" t="s">
        <v>200</v>
      </c>
      <c r="I49" s="16" t="s">
        <v>261</v>
      </c>
      <c r="J49" s="16" t="s">
        <v>198</v>
      </c>
      <c r="K49" s="57" t="s">
        <v>61</v>
      </c>
      <c r="L49" s="57" t="s">
        <v>61</v>
      </c>
      <c r="M49" s="57" t="s">
        <v>61</v>
      </c>
      <c r="N49" s="16" t="s">
        <v>316</v>
      </c>
      <c r="O49" s="18" t="s">
        <v>195</v>
      </c>
      <c r="P49" s="18" t="s">
        <v>317</v>
      </c>
      <c r="Q49" s="19"/>
      <c r="R49" s="17" t="s">
        <v>98</v>
      </c>
      <c r="S49" s="16" t="s">
        <v>66</v>
      </c>
      <c r="T49" s="16"/>
      <c r="U49" s="16"/>
      <c r="V49" s="16">
        <v>82</v>
      </c>
      <c r="W49" s="16">
        <f>ROUND(IF(D49=Table!$C$3,Y49*Table!$C$4/8,Y49*Table!$D$4/8),3)</f>
        <v>71.5</v>
      </c>
      <c r="X49" s="16">
        <f t="shared" ref="X49:X80" si="9">W49</f>
        <v>71.5</v>
      </c>
      <c r="Y49" s="16">
        <v>4.4000000000000004</v>
      </c>
      <c r="Z49" s="16">
        <v>2</v>
      </c>
      <c r="AA49" s="16" t="s">
        <v>21</v>
      </c>
      <c r="AB49" s="20">
        <v>43958</v>
      </c>
      <c r="AC49" s="20">
        <v>43946</v>
      </c>
      <c r="AD49" s="20">
        <v>43958</v>
      </c>
      <c r="AE49" s="20">
        <v>43955</v>
      </c>
      <c r="AF49" s="20">
        <v>43955</v>
      </c>
      <c r="AG49" s="20" t="s">
        <v>335</v>
      </c>
      <c r="AH49" s="32">
        <v>0.92900000000000005</v>
      </c>
      <c r="AI49" s="32">
        <v>0.92900000000000005</v>
      </c>
      <c r="AJ49" s="32">
        <v>0.625</v>
      </c>
      <c r="AK49" s="20" t="s">
        <v>165</v>
      </c>
      <c r="AL49" s="16" t="s">
        <v>414</v>
      </c>
      <c r="AM49" s="16"/>
      <c r="AN49" s="16"/>
    </row>
    <row r="50" spans="2:40" x14ac:dyDescent="0.25">
      <c r="B50" s="45">
        <f t="shared" ref="B50:B108" si="10">B49+1</f>
        <v>3</v>
      </c>
      <c r="C50" s="17">
        <v>20200427</v>
      </c>
      <c r="D50" s="16" t="s">
        <v>2</v>
      </c>
      <c r="E50" s="92" t="s">
        <v>503</v>
      </c>
      <c r="F50" s="18" t="s">
        <v>257</v>
      </c>
      <c r="G50" s="57" t="s">
        <v>61</v>
      </c>
      <c r="H50" s="16" t="s">
        <v>201</v>
      </c>
      <c r="I50" s="16" t="s">
        <v>262</v>
      </c>
      <c r="J50" s="16" t="s">
        <v>121</v>
      </c>
      <c r="K50" s="57" t="s">
        <v>61</v>
      </c>
      <c r="L50" s="57" t="s">
        <v>61</v>
      </c>
      <c r="M50" s="57" t="s">
        <v>61</v>
      </c>
      <c r="N50" s="16" t="s">
        <v>316</v>
      </c>
      <c r="O50" s="18" t="s">
        <v>196</v>
      </c>
      <c r="P50" s="18" t="s">
        <v>317</v>
      </c>
      <c r="Q50" s="19"/>
      <c r="R50" s="17" t="s">
        <v>98</v>
      </c>
      <c r="S50" s="16" t="s">
        <v>66</v>
      </c>
      <c r="T50" s="16"/>
      <c r="U50" s="16"/>
      <c r="V50" s="16">
        <v>179</v>
      </c>
      <c r="W50" s="16">
        <f>ROUND(IF(D50=Table!$C$3,Y50*Table!$C$4/8,Y50*Table!$D$4/8),3)</f>
        <v>84.5</v>
      </c>
      <c r="X50" s="16">
        <f t="shared" si="9"/>
        <v>84.5</v>
      </c>
      <c r="Y50" s="16">
        <v>5.2</v>
      </c>
      <c r="Z50" s="16">
        <v>2</v>
      </c>
      <c r="AA50" s="16" t="s">
        <v>21</v>
      </c>
      <c r="AB50" s="20">
        <v>43958</v>
      </c>
      <c r="AC50" s="20">
        <v>43946</v>
      </c>
      <c r="AD50" s="20">
        <v>43958</v>
      </c>
      <c r="AE50" s="20">
        <v>43955</v>
      </c>
      <c r="AF50" s="20">
        <v>43955</v>
      </c>
      <c r="AG50" s="20" t="s">
        <v>335</v>
      </c>
      <c r="AH50" s="32">
        <v>0.88900000000000001</v>
      </c>
      <c r="AI50" s="32">
        <v>0.9</v>
      </c>
      <c r="AJ50" s="32" t="s">
        <v>412</v>
      </c>
      <c r="AK50" s="20" t="s">
        <v>165</v>
      </c>
      <c r="AL50" s="16" t="s">
        <v>415</v>
      </c>
      <c r="AM50" s="16"/>
      <c r="AN50" s="16"/>
    </row>
    <row r="51" spans="2:40" x14ac:dyDescent="0.25">
      <c r="B51" s="45">
        <f t="shared" si="10"/>
        <v>4</v>
      </c>
      <c r="C51" s="17">
        <v>20200427</v>
      </c>
      <c r="D51" s="16" t="s">
        <v>2</v>
      </c>
      <c r="E51" s="92" t="s">
        <v>503</v>
      </c>
      <c r="F51" s="18" t="s">
        <v>258</v>
      </c>
      <c r="G51" s="57" t="s">
        <v>61</v>
      </c>
      <c r="H51" s="16" t="s">
        <v>202</v>
      </c>
      <c r="I51" s="16" t="s">
        <v>263</v>
      </c>
      <c r="J51" s="16" t="s">
        <v>121</v>
      </c>
      <c r="K51" s="57" t="s">
        <v>61</v>
      </c>
      <c r="L51" s="57" t="s">
        <v>61</v>
      </c>
      <c r="M51" s="57" t="s">
        <v>61</v>
      </c>
      <c r="N51" s="16" t="s">
        <v>316</v>
      </c>
      <c r="O51" s="18" t="s">
        <v>143</v>
      </c>
      <c r="P51" s="18" t="s">
        <v>317</v>
      </c>
      <c r="Q51" s="19"/>
      <c r="R51" s="17" t="s">
        <v>98</v>
      </c>
      <c r="S51" s="16" t="s">
        <v>66</v>
      </c>
      <c r="T51" s="16"/>
      <c r="U51" s="16"/>
      <c r="V51" s="16">
        <v>10</v>
      </c>
      <c r="W51" s="16">
        <f>ROUND(IF(D51=Table!$C$3,Y51*Table!$C$4/8,Y51*Table!$D$4/8),3)</f>
        <v>26</v>
      </c>
      <c r="X51" s="16">
        <f t="shared" si="9"/>
        <v>26</v>
      </c>
      <c r="Y51" s="16">
        <v>1.6</v>
      </c>
      <c r="Z51" s="16">
        <v>0.5</v>
      </c>
      <c r="AA51" s="16" t="s">
        <v>21</v>
      </c>
      <c r="AB51" s="20">
        <v>43958</v>
      </c>
      <c r="AC51" s="20">
        <v>43946</v>
      </c>
      <c r="AD51" s="20">
        <v>43958</v>
      </c>
      <c r="AE51" s="20">
        <v>43956</v>
      </c>
      <c r="AF51" s="20">
        <v>43956</v>
      </c>
      <c r="AG51" s="20" t="s">
        <v>335</v>
      </c>
      <c r="AH51" s="32">
        <v>1</v>
      </c>
      <c r="AI51" s="32" t="s">
        <v>412</v>
      </c>
      <c r="AJ51" s="32" t="s">
        <v>412</v>
      </c>
      <c r="AK51" s="20" t="s">
        <v>165</v>
      </c>
      <c r="AL51" s="16"/>
      <c r="AM51" s="16"/>
      <c r="AN51" s="16"/>
    </row>
    <row r="52" spans="2:40" x14ac:dyDescent="0.25">
      <c r="B52" s="45">
        <f t="shared" si="10"/>
        <v>5</v>
      </c>
      <c r="C52" s="17">
        <v>20200427</v>
      </c>
      <c r="D52" s="16" t="s">
        <v>2</v>
      </c>
      <c r="E52" s="92" t="s">
        <v>503</v>
      </c>
      <c r="F52" s="18" t="s">
        <v>258</v>
      </c>
      <c r="G52" s="57" t="s">
        <v>61</v>
      </c>
      <c r="H52" s="16" t="s">
        <v>203</v>
      </c>
      <c r="I52" s="16" t="s">
        <v>264</v>
      </c>
      <c r="J52" s="16" t="s">
        <v>121</v>
      </c>
      <c r="K52" s="57" t="s">
        <v>61</v>
      </c>
      <c r="L52" s="57" t="s">
        <v>61</v>
      </c>
      <c r="M52" s="57" t="s">
        <v>61</v>
      </c>
      <c r="N52" s="16" t="s">
        <v>316</v>
      </c>
      <c r="O52" s="18" t="s">
        <v>143</v>
      </c>
      <c r="P52" s="18" t="s">
        <v>317</v>
      </c>
      <c r="Q52" s="19"/>
      <c r="R52" s="17" t="s">
        <v>98</v>
      </c>
      <c r="S52" s="16" t="s">
        <v>66</v>
      </c>
      <c r="T52" s="16"/>
      <c r="U52" s="16"/>
      <c r="V52" s="16">
        <v>10</v>
      </c>
      <c r="W52" s="16">
        <f>ROUND(IF(D52=Table!$C$3,Y52*Table!$C$4/8,Y52*Table!$D$4/8),3)</f>
        <v>26</v>
      </c>
      <c r="X52" s="16">
        <f t="shared" si="9"/>
        <v>26</v>
      </c>
      <c r="Y52" s="16">
        <v>1.6</v>
      </c>
      <c r="Z52" s="16">
        <v>0.5</v>
      </c>
      <c r="AA52" s="16" t="s">
        <v>21</v>
      </c>
      <c r="AB52" s="20">
        <v>43958</v>
      </c>
      <c r="AC52" s="20">
        <v>43946</v>
      </c>
      <c r="AD52" s="20">
        <v>43958</v>
      </c>
      <c r="AE52" s="20">
        <v>43956</v>
      </c>
      <c r="AF52" s="20">
        <v>43956</v>
      </c>
      <c r="AG52" s="20" t="s">
        <v>335</v>
      </c>
      <c r="AH52" s="32">
        <v>1</v>
      </c>
      <c r="AI52" s="32" t="s">
        <v>412</v>
      </c>
      <c r="AJ52" s="32" t="s">
        <v>412</v>
      </c>
      <c r="AK52" s="20" t="s">
        <v>165</v>
      </c>
      <c r="AL52" s="16"/>
      <c r="AM52" s="16"/>
      <c r="AN52" s="16"/>
    </row>
    <row r="53" spans="2:40" x14ac:dyDescent="0.25">
      <c r="B53" s="45">
        <f t="shared" si="10"/>
        <v>6</v>
      </c>
      <c r="C53" s="17">
        <v>20200427</v>
      </c>
      <c r="D53" s="16" t="s">
        <v>2</v>
      </c>
      <c r="E53" s="92" t="s">
        <v>503</v>
      </c>
      <c r="F53" s="18" t="s">
        <v>258</v>
      </c>
      <c r="G53" s="57" t="s">
        <v>61</v>
      </c>
      <c r="H53" s="16" t="s">
        <v>204</v>
      </c>
      <c r="I53" s="16" t="s">
        <v>265</v>
      </c>
      <c r="J53" s="16" t="s">
        <v>121</v>
      </c>
      <c r="K53" s="57" t="s">
        <v>61</v>
      </c>
      <c r="L53" s="57" t="s">
        <v>61</v>
      </c>
      <c r="M53" s="57" t="s">
        <v>61</v>
      </c>
      <c r="N53" s="16" t="s">
        <v>316</v>
      </c>
      <c r="O53" s="18" t="s">
        <v>197</v>
      </c>
      <c r="P53" s="18" t="s">
        <v>317</v>
      </c>
      <c r="Q53" s="19"/>
      <c r="R53" s="17" t="s">
        <v>98</v>
      </c>
      <c r="S53" s="16" t="s">
        <v>66</v>
      </c>
      <c r="T53" s="16"/>
      <c r="U53" s="16"/>
      <c r="V53" s="16">
        <v>90</v>
      </c>
      <c r="W53" s="16">
        <f>ROUND(IF(D53=Table!$C$3,Y53*Table!$C$4/8,Y53*Table!$D$4/8),3)</f>
        <v>65</v>
      </c>
      <c r="X53" s="16">
        <f t="shared" si="9"/>
        <v>65</v>
      </c>
      <c r="Y53" s="16">
        <v>4</v>
      </c>
      <c r="Z53" s="16">
        <v>2</v>
      </c>
      <c r="AA53" s="16" t="s">
        <v>21</v>
      </c>
      <c r="AB53" s="20">
        <v>43958</v>
      </c>
      <c r="AC53" s="20">
        <v>43946</v>
      </c>
      <c r="AD53" s="20">
        <v>43958</v>
      </c>
      <c r="AE53" s="20">
        <v>43955</v>
      </c>
      <c r="AF53" s="20">
        <v>43955</v>
      </c>
      <c r="AG53" s="20" t="s">
        <v>335</v>
      </c>
      <c r="AH53" s="32">
        <v>1</v>
      </c>
      <c r="AI53" s="32">
        <v>1</v>
      </c>
      <c r="AJ53" s="32">
        <v>0.26900000000000002</v>
      </c>
      <c r="AK53" s="20" t="s">
        <v>165</v>
      </c>
      <c r="AL53" s="16"/>
      <c r="AM53" s="16"/>
      <c r="AN53" s="16"/>
    </row>
    <row r="54" spans="2:40" x14ac:dyDescent="0.25">
      <c r="B54" s="45">
        <f t="shared" si="10"/>
        <v>7</v>
      </c>
      <c r="C54" s="17">
        <v>20200427</v>
      </c>
      <c r="D54" s="16" t="s">
        <v>3</v>
      </c>
      <c r="E54" s="92" t="s">
        <v>503</v>
      </c>
      <c r="F54" s="18" t="s">
        <v>259</v>
      </c>
      <c r="G54" s="57" t="s">
        <v>61</v>
      </c>
      <c r="H54" s="16" t="s">
        <v>142</v>
      </c>
      <c r="I54" s="16" t="s">
        <v>266</v>
      </c>
      <c r="J54" s="16" t="s">
        <v>121</v>
      </c>
      <c r="K54" s="57" t="s">
        <v>61</v>
      </c>
      <c r="L54" s="57" t="s">
        <v>61</v>
      </c>
      <c r="M54" s="57" t="s">
        <v>61</v>
      </c>
      <c r="N54" s="16" t="s">
        <v>148</v>
      </c>
      <c r="O54" s="18" t="s">
        <v>61</v>
      </c>
      <c r="P54" s="18" t="s">
        <v>317</v>
      </c>
      <c r="Q54" s="19"/>
      <c r="R54" s="17" t="s">
        <v>98</v>
      </c>
      <c r="S54" s="16" t="s">
        <v>66</v>
      </c>
      <c r="T54" s="16"/>
      <c r="U54" s="16"/>
      <c r="V54" s="16">
        <v>66</v>
      </c>
      <c r="W54" s="16">
        <f>ROUND(IF(D54=Table!$C$3,Y54*Table!$C$4/8,Y54*Table!$D$4/8),3)</f>
        <v>6.75</v>
      </c>
      <c r="X54" s="16">
        <f t="shared" si="9"/>
        <v>6.75</v>
      </c>
      <c r="Y54" s="16">
        <v>0.12</v>
      </c>
      <c r="Z54" s="16">
        <f t="shared" ref="Z54:Z67" si="11">Y54</f>
        <v>0.12</v>
      </c>
      <c r="AA54" s="16" t="s">
        <v>21</v>
      </c>
      <c r="AB54" s="20">
        <v>43958</v>
      </c>
      <c r="AC54" s="20">
        <v>43946</v>
      </c>
      <c r="AD54" s="20">
        <v>43958</v>
      </c>
      <c r="AE54" s="20">
        <v>43955</v>
      </c>
      <c r="AF54" s="20">
        <v>43955</v>
      </c>
      <c r="AG54" s="20" t="s">
        <v>335</v>
      </c>
      <c r="AH54" s="32">
        <v>1</v>
      </c>
      <c r="AI54" s="32">
        <v>1</v>
      </c>
      <c r="AJ54" s="32">
        <v>1</v>
      </c>
      <c r="AK54" s="20" t="s">
        <v>165</v>
      </c>
      <c r="AL54" s="16"/>
      <c r="AM54" s="16"/>
      <c r="AN54" s="16"/>
    </row>
    <row r="55" spans="2:40" x14ac:dyDescent="0.25">
      <c r="B55" s="45">
        <f t="shared" si="10"/>
        <v>8</v>
      </c>
      <c r="C55" s="17">
        <v>20200427</v>
      </c>
      <c r="D55" s="16" t="s">
        <v>3</v>
      </c>
      <c r="E55" s="92" t="s">
        <v>503</v>
      </c>
      <c r="F55" s="18" t="s">
        <v>259</v>
      </c>
      <c r="G55" s="57" t="s">
        <v>61</v>
      </c>
      <c r="H55" s="16" t="s">
        <v>94</v>
      </c>
      <c r="I55" s="16" t="s">
        <v>267</v>
      </c>
      <c r="J55" s="16" t="s">
        <v>121</v>
      </c>
      <c r="K55" s="57" t="s">
        <v>61</v>
      </c>
      <c r="L55" s="57" t="s">
        <v>61</v>
      </c>
      <c r="M55" s="57" t="s">
        <v>61</v>
      </c>
      <c r="N55" s="16" t="s">
        <v>148</v>
      </c>
      <c r="O55" s="18" t="s">
        <v>61</v>
      </c>
      <c r="P55" s="18" t="s">
        <v>317</v>
      </c>
      <c r="Q55" s="19"/>
      <c r="R55" s="17" t="s">
        <v>98</v>
      </c>
      <c r="S55" s="16" t="s">
        <v>66</v>
      </c>
      <c r="T55" s="16"/>
      <c r="U55" s="16"/>
      <c r="V55" s="16">
        <v>15</v>
      </c>
      <c r="W55" s="16">
        <f>ROUND(IF(D55=Table!$C$3,Y55*Table!$C$4/8,Y55*Table!$D$4/8),3)</f>
        <v>6.75</v>
      </c>
      <c r="X55" s="16">
        <f t="shared" si="9"/>
        <v>6.75</v>
      </c>
      <c r="Y55" s="16">
        <v>0.12</v>
      </c>
      <c r="Z55" s="16">
        <f t="shared" si="11"/>
        <v>0.12</v>
      </c>
      <c r="AA55" s="16" t="s">
        <v>21</v>
      </c>
      <c r="AB55" s="20">
        <v>43958</v>
      </c>
      <c r="AC55" s="20">
        <v>43946</v>
      </c>
      <c r="AD55" s="20">
        <v>43958</v>
      </c>
      <c r="AE55" s="20">
        <v>43955</v>
      </c>
      <c r="AF55" s="20">
        <v>43955</v>
      </c>
      <c r="AG55" s="20" t="s">
        <v>335</v>
      </c>
      <c r="AH55" s="32">
        <v>1</v>
      </c>
      <c r="AI55" s="32">
        <v>1</v>
      </c>
      <c r="AJ55" s="32">
        <v>1</v>
      </c>
      <c r="AK55" s="20" t="s">
        <v>165</v>
      </c>
      <c r="AL55" s="16"/>
      <c r="AM55" s="16"/>
      <c r="AN55" s="16"/>
    </row>
    <row r="56" spans="2:40" x14ac:dyDescent="0.25">
      <c r="B56" s="45">
        <f t="shared" si="10"/>
        <v>9</v>
      </c>
      <c r="C56" s="17">
        <v>20200427</v>
      </c>
      <c r="D56" s="16" t="s">
        <v>3</v>
      </c>
      <c r="E56" s="92" t="s">
        <v>503</v>
      </c>
      <c r="F56" s="18" t="s">
        <v>259</v>
      </c>
      <c r="G56" s="57" t="s">
        <v>61</v>
      </c>
      <c r="H56" s="16" t="s">
        <v>95</v>
      </c>
      <c r="I56" s="16" t="s">
        <v>268</v>
      </c>
      <c r="J56" s="16" t="s">
        <v>121</v>
      </c>
      <c r="K56" s="57" t="s">
        <v>61</v>
      </c>
      <c r="L56" s="57" t="s">
        <v>61</v>
      </c>
      <c r="M56" s="57" t="s">
        <v>61</v>
      </c>
      <c r="N56" s="16" t="s">
        <v>148</v>
      </c>
      <c r="O56" s="18" t="s">
        <v>61</v>
      </c>
      <c r="P56" s="18" t="s">
        <v>317</v>
      </c>
      <c r="Q56" s="19"/>
      <c r="R56" s="17" t="s">
        <v>98</v>
      </c>
      <c r="S56" s="16" t="s">
        <v>66</v>
      </c>
      <c r="T56" s="16"/>
      <c r="U56" s="16"/>
      <c r="V56" s="16">
        <v>12</v>
      </c>
      <c r="W56" s="16">
        <f>ROUND(IF(D56=Table!$C$3,Y56*Table!$C$4/8,Y56*Table!$D$4/8),3)</f>
        <v>6.75</v>
      </c>
      <c r="X56" s="16">
        <f t="shared" si="9"/>
        <v>6.75</v>
      </c>
      <c r="Y56" s="16">
        <v>0.12</v>
      </c>
      <c r="Z56" s="16">
        <f t="shared" si="11"/>
        <v>0.12</v>
      </c>
      <c r="AA56" s="16" t="s">
        <v>21</v>
      </c>
      <c r="AB56" s="20">
        <v>43958</v>
      </c>
      <c r="AC56" s="20">
        <v>43946</v>
      </c>
      <c r="AD56" s="20">
        <v>43958</v>
      </c>
      <c r="AE56" s="20">
        <v>43955</v>
      </c>
      <c r="AF56" s="20">
        <v>43955</v>
      </c>
      <c r="AG56" s="20" t="s">
        <v>335</v>
      </c>
      <c r="AH56" s="32">
        <v>1</v>
      </c>
      <c r="AI56" s="32">
        <v>1</v>
      </c>
      <c r="AJ56" s="32">
        <v>1</v>
      </c>
      <c r="AK56" s="20" t="s">
        <v>165</v>
      </c>
      <c r="AL56" s="16"/>
      <c r="AM56" s="16"/>
      <c r="AN56" s="16"/>
    </row>
    <row r="57" spans="2:40" x14ac:dyDescent="0.25">
      <c r="B57" s="45">
        <f t="shared" si="10"/>
        <v>10</v>
      </c>
      <c r="C57" s="17">
        <v>20200427</v>
      </c>
      <c r="D57" s="16" t="s">
        <v>3</v>
      </c>
      <c r="E57" s="92" t="s">
        <v>503</v>
      </c>
      <c r="F57" s="18" t="s">
        <v>259</v>
      </c>
      <c r="G57" s="57" t="s">
        <v>61</v>
      </c>
      <c r="H57" s="16" t="s">
        <v>96</v>
      </c>
      <c r="I57" s="16" t="s">
        <v>269</v>
      </c>
      <c r="J57" s="16" t="s">
        <v>121</v>
      </c>
      <c r="K57" s="57" t="s">
        <v>61</v>
      </c>
      <c r="L57" s="57" t="s">
        <v>61</v>
      </c>
      <c r="M57" s="57" t="s">
        <v>61</v>
      </c>
      <c r="N57" s="16" t="s">
        <v>148</v>
      </c>
      <c r="O57" s="18" t="s">
        <v>61</v>
      </c>
      <c r="P57" s="18" t="s">
        <v>317</v>
      </c>
      <c r="Q57" s="19"/>
      <c r="R57" s="17" t="s">
        <v>98</v>
      </c>
      <c r="S57" s="16" t="s">
        <v>66</v>
      </c>
      <c r="T57" s="16"/>
      <c r="U57" s="16"/>
      <c r="V57" s="16">
        <v>9</v>
      </c>
      <c r="W57" s="16">
        <f>ROUND(IF(D57=Table!$C$3,Y57*Table!$C$4/8,Y57*Table!$D$4/8),3)</f>
        <v>6.75</v>
      </c>
      <c r="X57" s="16">
        <f t="shared" si="9"/>
        <v>6.75</v>
      </c>
      <c r="Y57" s="16">
        <v>0.12</v>
      </c>
      <c r="Z57" s="16">
        <f t="shared" si="11"/>
        <v>0.12</v>
      </c>
      <c r="AA57" s="16" t="s">
        <v>21</v>
      </c>
      <c r="AB57" s="20">
        <v>43958</v>
      </c>
      <c r="AC57" s="20">
        <v>43946</v>
      </c>
      <c r="AD57" s="20">
        <v>43958</v>
      </c>
      <c r="AE57" s="20">
        <v>43955</v>
      </c>
      <c r="AF57" s="20">
        <v>43955</v>
      </c>
      <c r="AG57" s="20" t="s">
        <v>335</v>
      </c>
      <c r="AH57" s="32">
        <v>1</v>
      </c>
      <c r="AI57" s="32">
        <v>1</v>
      </c>
      <c r="AJ57" s="32">
        <v>1</v>
      </c>
      <c r="AK57" s="20" t="s">
        <v>165</v>
      </c>
      <c r="AL57" s="16"/>
      <c r="AM57" s="16"/>
      <c r="AN57" s="16"/>
    </row>
    <row r="58" spans="2:40" x14ac:dyDescent="0.25">
      <c r="B58" s="45">
        <f t="shared" si="10"/>
        <v>11</v>
      </c>
      <c r="C58" s="17">
        <v>20200427</v>
      </c>
      <c r="D58" s="16" t="s">
        <v>3</v>
      </c>
      <c r="E58" s="92" t="s">
        <v>503</v>
      </c>
      <c r="F58" s="18" t="s">
        <v>259</v>
      </c>
      <c r="G58" s="57" t="s">
        <v>61</v>
      </c>
      <c r="H58" s="16" t="s">
        <v>205</v>
      </c>
      <c r="I58" s="16" t="s">
        <v>270</v>
      </c>
      <c r="J58" s="16" t="s">
        <v>121</v>
      </c>
      <c r="K58" s="57" t="s">
        <v>61</v>
      </c>
      <c r="L58" s="57" t="s">
        <v>61</v>
      </c>
      <c r="M58" s="57" t="s">
        <v>61</v>
      </c>
      <c r="N58" s="16" t="s">
        <v>148</v>
      </c>
      <c r="O58" s="18" t="s">
        <v>61</v>
      </c>
      <c r="P58" s="18" t="s">
        <v>317</v>
      </c>
      <c r="Q58" s="19"/>
      <c r="R58" s="17" t="s">
        <v>98</v>
      </c>
      <c r="S58" s="16" t="s">
        <v>66</v>
      </c>
      <c r="T58" s="16"/>
      <c r="U58" s="16"/>
      <c r="V58" s="16">
        <v>12</v>
      </c>
      <c r="W58" s="16">
        <f>ROUND(IF(D58=Table!$C$3,Y58*Table!$C$4/8,Y58*Table!$D$4/8),3)</f>
        <v>67.5</v>
      </c>
      <c r="X58" s="16">
        <f t="shared" si="9"/>
        <v>67.5</v>
      </c>
      <c r="Y58" s="16">
        <v>1.2</v>
      </c>
      <c r="Z58" s="16">
        <f t="shared" si="11"/>
        <v>1.2</v>
      </c>
      <c r="AA58" s="16" t="s">
        <v>21</v>
      </c>
      <c r="AB58" s="20">
        <v>43958</v>
      </c>
      <c r="AC58" s="20">
        <v>43946</v>
      </c>
      <c r="AD58" s="20">
        <v>43958</v>
      </c>
      <c r="AE58" s="20">
        <v>43955</v>
      </c>
      <c r="AF58" s="20">
        <v>43955</v>
      </c>
      <c r="AG58" s="20" t="s">
        <v>335</v>
      </c>
      <c r="AH58" s="32">
        <v>1</v>
      </c>
      <c r="AI58" s="32">
        <v>1</v>
      </c>
      <c r="AJ58" s="32">
        <v>1</v>
      </c>
      <c r="AK58" s="20" t="s">
        <v>165</v>
      </c>
      <c r="AL58" s="16"/>
      <c r="AM58" s="16"/>
      <c r="AN58" s="16"/>
    </row>
    <row r="59" spans="2:40" x14ac:dyDescent="0.25">
      <c r="B59" s="45">
        <f t="shared" si="10"/>
        <v>12</v>
      </c>
      <c r="C59" s="17">
        <v>20200427</v>
      </c>
      <c r="D59" s="16" t="s">
        <v>3</v>
      </c>
      <c r="E59" s="92" t="s">
        <v>503</v>
      </c>
      <c r="F59" s="18" t="s">
        <v>259</v>
      </c>
      <c r="G59" s="57" t="s">
        <v>61</v>
      </c>
      <c r="H59" s="16" t="s">
        <v>206</v>
      </c>
      <c r="I59" s="16" t="s">
        <v>271</v>
      </c>
      <c r="J59" s="16" t="s">
        <v>121</v>
      </c>
      <c r="K59" s="57" t="s">
        <v>61</v>
      </c>
      <c r="L59" s="57" t="s">
        <v>61</v>
      </c>
      <c r="M59" s="57" t="s">
        <v>61</v>
      </c>
      <c r="N59" s="16" t="s">
        <v>148</v>
      </c>
      <c r="O59" s="18" t="s">
        <v>61</v>
      </c>
      <c r="P59" s="18" t="s">
        <v>317</v>
      </c>
      <c r="Q59" s="19"/>
      <c r="R59" s="17" t="s">
        <v>98</v>
      </c>
      <c r="S59" s="16" t="s">
        <v>66</v>
      </c>
      <c r="T59" s="16"/>
      <c r="U59" s="16"/>
      <c r="V59" s="16">
        <v>14</v>
      </c>
      <c r="W59" s="16">
        <f>ROUND(IF(D59=Table!$C$3,Y59*Table!$C$4/8,Y59*Table!$D$4/8),3)</f>
        <v>6.75</v>
      </c>
      <c r="X59" s="16">
        <f t="shared" si="9"/>
        <v>6.75</v>
      </c>
      <c r="Y59" s="16">
        <v>0.12</v>
      </c>
      <c r="Z59" s="16">
        <f t="shared" si="11"/>
        <v>0.12</v>
      </c>
      <c r="AA59" s="16" t="s">
        <v>21</v>
      </c>
      <c r="AB59" s="20">
        <v>43958</v>
      </c>
      <c r="AC59" s="20">
        <v>43946</v>
      </c>
      <c r="AD59" s="20">
        <v>43958</v>
      </c>
      <c r="AE59" s="20">
        <v>43955</v>
      </c>
      <c r="AF59" s="20">
        <v>43955</v>
      </c>
      <c r="AG59" s="20" t="s">
        <v>335</v>
      </c>
      <c r="AH59" s="32">
        <v>1</v>
      </c>
      <c r="AI59" s="32">
        <v>1</v>
      </c>
      <c r="AJ59" s="32">
        <v>1</v>
      </c>
      <c r="AK59" s="20" t="s">
        <v>165</v>
      </c>
      <c r="AL59" s="16"/>
      <c r="AM59" s="16"/>
      <c r="AN59" s="16"/>
    </row>
    <row r="60" spans="2:40" x14ac:dyDescent="0.25">
      <c r="B60" s="45">
        <f t="shared" si="10"/>
        <v>13</v>
      </c>
      <c r="C60" s="17">
        <v>20200427</v>
      </c>
      <c r="D60" s="16" t="s">
        <v>3</v>
      </c>
      <c r="E60" s="92" t="s">
        <v>503</v>
      </c>
      <c r="F60" s="18" t="s">
        <v>259</v>
      </c>
      <c r="G60" s="57" t="s">
        <v>61</v>
      </c>
      <c r="H60" s="16" t="s">
        <v>207</v>
      </c>
      <c r="I60" s="16" t="s">
        <v>272</v>
      </c>
      <c r="J60" s="16" t="s">
        <v>121</v>
      </c>
      <c r="K60" s="57" t="s">
        <v>61</v>
      </c>
      <c r="L60" s="57" t="s">
        <v>61</v>
      </c>
      <c r="M60" s="57" t="s">
        <v>61</v>
      </c>
      <c r="N60" s="16" t="s">
        <v>148</v>
      </c>
      <c r="O60" s="18" t="s">
        <v>61</v>
      </c>
      <c r="P60" s="18" t="s">
        <v>317</v>
      </c>
      <c r="Q60" s="19"/>
      <c r="R60" s="17" t="s">
        <v>98</v>
      </c>
      <c r="S60" s="16" t="s">
        <v>66</v>
      </c>
      <c r="T60" s="16"/>
      <c r="U60" s="16"/>
      <c r="V60" s="16">
        <v>12</v>
      </c>
      <c r="W60" s="16">
        <f>ROUND(IF(D60=Table!$C$3,Y60*Table!$C$4/8,Y60*Table!$D$4/8),3)</f>
        <v>6.75</v>
      </c>
      <c r="X60" s="16">
        <f t="shared" si="9"/>
        <v>6.75</v>
      </c>
      <c r="Y60" s="16">
        <v>0.12</v>
      </c>
      <c r="Z60" s="16">
        <f t="shared" si="11"/>
        <v>0.12</v>
      </c>
      <c r="AA60" s="16" t="s">
        <v>21</v>
      </c>
      <c r="AB60" s="20">
        <v>43958</v>
      </c>
      <c r="AC60" s="20">
        <v>43946</v>
      </c>
      <c r="AD60" s="20">
        <v>43958</v>
      </c>
      <c r="AE60" s="20">
        <v>43955</v>
      </c>
      <c r="AF60" s="20">
        <v>43955</v>
      </c>
      <c r="AG60" s="20" t="s">
        <v>335</v>
      </c>
      <c r="AH60" s="32">
        <v>1</v>
      </c>
      <c r="AI60" s="32">
        <v>1</v>
      </c>
      <c r="AJ60" s="32">
        <v>1</v>
      </c>
      <c r="AK60" s="20" t="s">
        <v>165</v>
      </c>
      <c r="AL60" s="16"/>
      <c r="AM60" s="16"/>
      <c r="AN60" s="16"/>
    </row>
    <row r="61" spans="2:40" x14ac:dyDescent="0.25">
      <c r="B61" s="45">
        <f t="shared" si="10"/>
        <v>14</v>
      </c>
      <c r="C61" s="17">
        <v>20200427</v>
      </c>
      <c r="D61" s="16" t="s">
        <v>3</v>
      </c>
      <c r="E61" s="92" t="s">
        <v>503</v>
      </c>
      <c r="F61" s="18" t="s">
        <v>259</v>
      </c>
      <c r="G61" s="57" t="s">
        <v>61</v>
      </c>
      <c r="H61" s="16" t="s">
        <v>208</v>
      </c>
      <c r="I61" s="16" t="s">
        <v>273</v>
      </c>
      <c r="J61" s="16" t="s">
        <v>121</v>
      </c>
      <c r="K61" s="57" t="s">
        <v>61</v>
      </c>
      <c r="L61" s="57" t="s">
        <v>61</v>
      </c>
      <c r="M61" s="57" t="s">
        <v>61</v>
      </c>
      <c r="N61" s="16" t="s">
        <v>148</v>
      </c>
      <c r="O61" s="18" t="s">
        <v>61</v>
      </c>
      <c r="P61" s="18" t="s">
        <v>317</v>
      </c>
      <c r="Q61" s="19"/>
      <c r="R61" s="17" t="s">
        <v>98</v>
      </c>
      <c r="S61" s="16" t="s">
        <v>66</v>
      </c>
      <c r="T61" s="16"/>
      <c r="U61" s="16"/>
      <c r="V61" s="16">
        <v>9</v>
      </c>
      <c r="W61" s="16">
        <f>ROUND(IF(D61=Table!$C$3,Y61*Table!$C$4/8,Y61*Table!$D$4/8),3)</f>
        <v>6.75</v>
      </c>
      <c r="X61" s="16">
        <f t="shared" si="9"/>
        <v>6.75</v>
      </c>
      <c r="Y61" s="16">
        <v>0.12</v>
      </c>
      <c r="Z61" s="16">
        <f t="shared" si="11"/>
        <v>0.12</v>
      </c>
      <c r="AA61" s="16" t="s">
        <v>21</v>
      </c>
      <c r="AB61" s="20">
        <v>43958</v>
      </c>
      <c r="AC61" s="20">
        <v>43946</v>
      </c>
      <c r="AD61" s="20">
        <v>43958</v>
      </c>
      <c r="AE61" s="20">
        <v>43955</v>
      </c>
      <c r="AF61" s="20">
        <v>43955</v>
      </c>
      <c r="AG61" s="20" t="s">
        <v>335</v>
      </c>
      <c r="AH61" s="32">
        <v>1</v>
      </c>
      <c r="AI61" s="32">
        <v>1</v>
      </c>
      <c r="AJ61" s="32">
        <v>1</v>
      </c>
      <c r="AK61" s="20" t="s">
        <v>165</v>
      </c>
      <c r="AL61" s="16"/>
      <c r="AM61" s="16"/>
      <c r="AN61" s="16"/>
    </row>
    <row r="62" spans="2:40" x14ac:dyDescent="0.25">
      <c r="B62" s="45">
        <f t="shared" si="10"/>
        <v>15</v>
      </c>
      <c r="C62" s="17">
        <v>20200427</v>
      </c>
      <c r="D62" s="16" t="s">
        <v>3</v>
      </c>
      <c r="E62" s="92" t="s">
        <v>503</v>
      </c>
      <c r="F62" s="18" t="s">
        <v>259</v>
      </c>
      <c r="G62" s="57" t="s">
        <v>61</v>
      </c>
      <c r="H62" s="16" t="s">
        <v>209</v>
      </c>
      <c r="I62" s="16" t="s">
        <v>274</v>
      </c>
      <c r="J62" s="16" t="s">
        <v>121</v>
      </c>
      <c r="K62" s="57" t="s">
        <v>61</v>
      </c>
      <c r="L62" s="57" t="s">
        <v>61</v>
      </c>
      <c r="M62" s="57" t="s">
        <v>61</v>
      </c>
      <c r="N62" s="16" t="s">
        <v>148</v>
      </c>
      <c r="O62" s="18" t="s">
        <v>61</v>
      </c>
      <c r="P62" s="18" t="s">
        <v>317</v>
      </c>
      <c r="Q62" s="19"/>
      <c r="R62" s="17" t="s">
        <v>98</v>
      </c>
      <c r="S62" s="16" t="s">
        <v>66</v>
      </c>
      <c r="T62" s="16"/>
      <c r="U62" s="16"/>
      <c r="V62" s="16">
        <v>67</v>
      </c>
      <c r="W62" s="16">
        <f>ROUND(IF(D62=Table!$C$3,Y62*Table!$C$4/8,Y62*Table!$D$4/8),3)</f>
        <v>6.75</v>
      </c>
      <c r="X62" s="16">
        <f t="shared" si="9"/>
        <v>6.75</v>
      </c>
      <c r="Y62" s="16">
        <v>0.12</v>
      </c>
      <c r="Z62" s="16">
        <f t="shared" si="11"/>
        <v>0.12</v>
      </c>
      <c r="AA62" s="16" t="s">
        <v>21</v>
      </c>
      <c r="AB62" s="20">
        <v>43958</v>
      </c>
      <c r="AC62" s="20">
        <v>43946</v>
      </c>
      <c r="AD62" s="20">
        <v>43958</v>
      </c>
      <c r="AE62" s="20">
        <v>43955</v>
      </c>
      <c r="AF62" s="20">
        <v>43955</v>
      </c>
      <c r="AG62" s="20" t="s">
        <v>335</v>
      </c>
      <c r="AH62" s="32">
        <v>1</v>
      </c>
      <c r="AI62" s="32">
        <v>1</v>
      </c>
      <c r="AJ62" s="32">
        <v>1</v>
      </c>
      <c r="AK62" s="20" t="s">
        <v>165</v>
      </c>
      <c r="AL62" s="16"/>
      <c r="AM62" s="16"/>
      <c r="AN62" s="16"/>
    </row>
    <row r="63" spans="2:40" x14ac:dyDescent="0.25">
      <c r="B63" s="45">
        <f t="shared" si="10"/>
        <v>16</v>
      </c>
      <c r="C63" s="17">
        <v>20200427</v>
      </c>
      <c r="D63" s="16" t="s">
        <v>3</v>
      </c>
      <c r="E63" s="92" t="s">
        <v>503</v>
      </c>
      <c r="F63" s="18" t="s">
        <v>259</v>
      </c>
      <c r="G63" s="57" t="s">
        <v>61</v>
      </c>
      <c r="H63" s="16" t="s">
        <v>210</v>
      </c>
      <c r="I63" s="16" t="s">
        <v>275</v>
      </c>
      <c r="J63" s="16" t="s">
        <v>121</v>
      </c>
      <c r="K63" s="57" t="s">
        <v>61</v>
      </c>
      <c r="L63" s="57" t="s">
        <v>61</v>
      </c>
      <c r="M63" s="57" t="s">
        <v>61</v>
      </c>
      <c r="N63" s="16" t="s">
        <v>148</v>
      </c>
      <c r="O63" s="18" t="s">
        <v>61</v>
      </c>
      <c r="P63" s="18" t="s">
        <v>317</v>
      </c>
      <c r="Q63" s="19"/>
      <c r="R63" s="17" t="s">
        <v>98</v>
      </c>
      <c r="S63" s="16" t="s">
        <v>66</v>
      </c>
      <c r="T63" s="16"/>
      <c r="U63" s="16"/>
      <c r="V63" s="16">
        <v>43</v>
      </c>
      <c r="W63" s="16">
        <f>ROUND(IF(D63=Table!$C$3,Y63*Table!$C$4/8,Y63*Table!$D$4/8),3)</f>
        <v>67.5</v>
      </c>
      <c r="X63" s="16">
        <f t="shared" si="9"/>
        <v>67.5</v>
      </c>
      <c r="Y63" s="16">
        <v>1.2</v>
      </c>
      <c r="Z63" s="16">
        <f t="shared" si="11"/>
        <v>1.2</v>
      </c>
      <c r="AA63" s="16" t="s">
        <v>21</v>
      </c>
      <c r="AB63" s="20">
        <v>43958</v>
      </c>
      <c r="AC63" s="20">
        <v>43946</v>
      </c>
      <c r="AD63" s="20">
        <v>43958</v>
      </c>
      <c r="AE63" s="20">
        <v>43955</v>
      </c>
      <c r="AF63" s="20">
        <v>43955</v>
      </c>
      <c r="AG63" s="20" t="s">
        <v>335</v>
      </c>
      <c r="AH63" s="32">
        <v>1</v>
      </c>
      <c r="AI63" s="32">
        <v>0.9</v>
      </c>
      <c r="AJ63" s="32">
        <v>1</v>
      </c>
      <c r="AK63" s="20" t="s">
        <v>165</v>
      </c>
      <c r="AL63" s="88" t="s">
        <v>409</v>
      </c>
      <c r="AM63" s="16"/>
      <c r="AN63" s="16"/>
    </row>
    <row r="64" spans="2:40" x14ac:dyDescent="0.25">
      <c r="B64" s="45">
        <f t="shared" si="10"/>
        <v>17</v>
      </c>
      <c r="C64" s="17">
        <v>20200427</v>
      </c>
      <c r="D64" s="16" t="s">
        <v>3</v>
      </c>
      <c r="E64" s="92" t="s">
        <v>503</v>
      </c>
      <c r="F64" s="18" t="s">
        <v>259</v>
      </c>
      <c r="G64" s="57" t="s">
        <v>61</v>
      </c>
      <c r="H64" s="16" t="s">
        <v>211</v>
      </c>
      <c r="I64" s="16" t="s">
        <v>276</v>
      </c>
      <c r="J64" s="16" t="s">
        <v>121</v>
      </c>
      <c r="K64" s="57" t="s">
        <v>61</v>
      </c>
      <c r="L64" s="57" t="s">
        <v>61</v>
      </c>
      <c r="M64" s="57" t="s">
        <v>61</v>
      </c>
      <c r="N64" s="16" t="s">
        <v>148</v>
      </c>
      <c r="O64" s="18" t="s">
        <v>61</v>
      </c>
      <c r="P64" s="18" t="s">
        <v>317</v>
      </c>
      <c r="Q64" s="19"/>
      <c r="R64" s="17" t="s">
        <v>98</v>
      </c>
      <c r="S64" s="16" t="s">
        <v>66</v>
      </c>
      <c r="T64" s="16"/>
      <c r="U64" s="16"/>
      <c r="V64" s="16">
        <v>7</v>
      </c>
      <c r="W64" s="16">
        <f>ROUND(IF(D64=Table!$C$3,Y64*Table!$C$4/8,Y64*Table!$D$4/8),3)</f>
        <v>6.75</v>
      </c>
      <c r="X64" s="16">
        <f t="shared" si="9"/>
        <v>6.75</v>
      </c>
      <c r="Y64" s="16">
        <v>0.12</v>
      </c>
      <c r="Z64" s="16">
        <f t="shared" si="11"/>
        <v>0.12</v>
      </c>
      <c r="AA64" s="16" t="s">
        <v>21</v>
      </c>
      <c r="AB64" s="20">
        <v>43958</v>
      </c>
      <c r="AC64" s="20">
        <v>43946</v>
      </c>
      <c r="AD64" s="20">
        <v>43958</v>
      </c>
      <c r="AE64" s="20">
        <v>43955</v>
      </c>
      <c r="AF64" s="20">
        <v>43955</v>
      </c>
      <c r="AG64" s="20" t="s">
        <v>335</v>
      </c>
      <c r="AH64" s="32">
        <v>1</v>
      </c>
      <c r="AI64" s="32">
        <v>1</v>
      </c>
      <c r="AJ64" s="32">
        <v>1</v>
      </c>
      <c r="AK64" s="20" t="s">
        <v>165</v>
      </c>
      <c r="AL64" s="16"/>
      <c r="AM64" s="16"/>
      <c r="AN64" s="16"/>
    </row>
    <row r="65" spans="2:40" x14ac:dyDescent="0.25">
      <c r="B65" s="45">
        <f t="shared" si="10"/>
        <v>18</v>
      </c>
      <c r="C65" s="17">
        <v>20200427</v>
      </c>
      <c r="D65" s="16" t="s">
        <v>3</v>
      </c>
      <c r="E65" s="92" t="s">
        <v>503</v>
      </c>
      <c r="F65" s="18" t="s">
        <v>259</v>
      </c>
      <c r="G65" s="57" t="s">
        <v>61</v>
      </c>
      <c r="H65" s="16" t="s">
        <v>212</v>
      </c>
      <c r="I65" s="16" t="s">
        <v>277</v>
      </c>
      <c r="J65" s="16" t="s">
        <v>121</v>
      </c>
      <c r="K65" s="57" t="s">
        <v>61</v>
      </c>
      <c r="L65" s="57" t="s">
        <v>61</v>
      </c>
      <c r="M65" s="57" t="s">
        <v>61</v>
      </c>
      <c r="N65" s="16" t="s">
        <v>148</v>
      </c>
      <c r="O65" s="18" t="s">
        <v>61</v>
      </c>
      <c r="P65" s="18" t="s">
        <v>317</v>
      </c>
      <c r="Q65" s="19"/>
      <c r="R65" s="17" t="s">
        <v>98</v>
      </c>
      <c r="S65" s="16" t="s">
        <v>66</v>
      </c>
      <c r="T65" s="16"/>
      <c r="U65" s="16"/>
      <c r="V65" s="16">
        <v>16</v>
      </c>
      <c r="W65" s="16">
        <f>ROUND(IF(D65=Table!$C$3,Y65*Table!$C$4/8,Y65*Table!$D$4/8),3)</f>
        <v>6.75</v>
      </c>
      <c r="X65" s="16">
        <f t="shared" si="9"/>
        <v>6.75</v>
      </c>
      <c r="Y65" s="16">
        <v>0.12</v>
      </c>
      <c r="Z65" s="16">
        <f t="shared" si="11"/>
        <v>0.12</v>
      </c>
      <c r="AA65" s="16" t="s">
        <v>21</v>
      </c>
      <c r="AB65" s="20">
        <v>43958</v>
      </c>
      <c r="AC65" s="20">
        <v>43946</v>
      </c>
      <c r="AD65" s="20">
        <v>43958</v>
      </c>
      <c r="AE65" s="20">
        <v>43955</v>
      </c>
      <c r="AF65" s="20">
        <v>43955</v>
      </c>
      <c r="AG65" s="20" t="s">
        <v>335</v>
      </c>
      <c r="AH65" s="32">
        <v>1</v>
      </c>
      <c r="AI65" s="32">
        <v>1</v>
      </c>
      <c r="AJ65" s="32">
        <v>1</v>
      </c>
      <c r="AK65" s="20" t="s">
        <v>165</v>
      </c>
      <c r="AL65" s="16"/>
      <c r="AM65" s="16"/>
      <c r="AN65" s="16"/>
    </row>
    <row r="66" spans="2:40" x14ac:dyDescent="0.25">
      <c r="B66" s="45">
        <f t="shared" si="10"/>
        <v>19</v>
      </c>
      <c r="C66" s="17">
        <v>20200427</v>
      </c>
      <c r="D66" s="16" t="s">
        <v>3</v>
      </c>
      <c r="E66" s="92" t="s">
        <v>503</v>
      </c>
      <c r="F66" s="18" t="s">
        <v>259</v>
      </c>
      <c r="G66" s="57" t="s">
        <v>61</v>
      </c>
      <c r="H66" s="16" t="s">
        <v>213</v>
      </c>
      <c r="I66" s="16" t="s">
        <v>278</v>
      </c>
      <c r="J66" s="16" t="s">
        <v>121</v>
      </c>
      <c r="K66" s="57" t="s">
        <v>61</v>
      </c>
      <c r="L66" s="57" t="s">
        <v>61</v>
      </c>
      <c r="M66" s="57" t="s">
        <v>61</v>
      </c>
      <c r="N66" s="16" t="s">
        <v>148</v>
      </c>
      <c r="O66" s="18" t="s">
        <v>61</v>
      </c>
      <c r="P66" s="18" t="s">
        <v>317</v>
      </c>
      <c r="Q66" s="19"/>
      <c r="R66" s="17" t="s">
        <v>98</v>
      </c>
      <c r="S66" s="16" t="s">
        <v>66</v>
      </c>
      <c r="T66" s="16"/>
      <c r="U66" s="16"/>
      <c r="V66" s="16">
        <v>4</v>
      </c>
      <c r="W66" s="16">
        <f>ROUND(IF(D66=Table!$C$3,Y66*Table!$C$4/8,Y66*Table!$D$4/8),3)</f>
        <v>6.75</v>
      </c>
      <c r="X66" s="16">
        <f t="shared" si="9"/>
        <v>6.75</v>
      </c>
      <c r="Y66" s="16">
        <v>0.12</v>
      </c>
      <c r="Z66" s="16">
        <f t="shared" si="11"/>
        <v>0.12</v>
      </c>
      <c r="AA66" s="16" t="s">
        <v>21</v>
      </c>
      <c r="AB66" s="20">
        <v>43958</v>
      </c>
      <c r="AC66" s="20">
        <v>43946</v>
      </c>
      <c r="AD66" s="20">
        <v>43958</v>
      </c>
      <c r="AE66" s="20">
        <v>43955</v>
      </c>
      <c r="AF66" s="20">
        <v>43955</v>
      </c>
      <c r="AG66" s="20" t="s">
        <v>335</v>
      </c>
      <c r="AH66" s="32">
        <v>1</v>
      </c>
      <c r="AI66" s="32">
        <v>1</v>
      </c>
      <c r="AJ66" s="32">
        <v>1</v>
      </c>
      <c r="AK66" s="20" t="s">
        <v>165</v>
      </c>
      <c r="AL66" s="16"/>
      <c r="AM66" s="16"/>
      <c r="AN66" s="16"/>
    </row>
    <row r="67" spans="2:40" x14ac:dyDescent="0.25">
      <c r="B67" s="45">
        <f t="shared" si="10"/>
        <v>20</v>
      </c>
      <c r="C67" s="17">
        <v>20200427</v>
      </c>
      <c r="D67" s="16" t="s">
        <v>3</v>
      </c>
      <c r="E67" s="92" t="s">
        <v>503</v>
      </c>
      <c r="F67" s="18" t="s">
        <v>259</v>
      </c>
      <c r="G67" s="57" t="s">
        <v>61</v>
      </c>
      <c r="H67" s="16" t="s">
        <v>214</v>
      </c>
      <c r="I67" s="16" t="s">
        <v>279</v>
      </c>
      <c r="J67" s="16" t="s">
        <v>121</v>
      </c>
      <c r="K67" s="57" t="s">
        <v>61</v>
      </c>
      <c r="L67" s="57" t="s">
        <v>61</v>
      </c>
      <c r="M67" s="57" t="s">
        <v>61</v>
      </c>
      <c r="N67" s="16" t="s">
        <v>148</v>
      </c>
      <c r="O67" s="18" t="s">
        <v>61</v>
      </c>
      <c r="P67" s="18" t="s">
        <v>317</v>
      </c>
      <c r="Q67" s="19"/>
      <c r="R67" s="17" t="s">
        <v>98</v>
      </c>
      <c r="S67" s="16" t="s">
        <v>66</v>
      </c>
      <c r="T67" s="16"/>
      <c r="U67" s="16"/>
      <c r="V67" s="16">
        <v>42</v>
      </c>
      <c r="W67" s="16">
        <f>ROUND(IF(D67=Table!$C$3,Y67*Table!$C$4/8,Y67*Table!$D$4/8),3)</f>
        <v>67.5</v>
      </c>
      <c r="X67" s="16">
        <f t="shared" si="9"/>
        <v>67.5</v>
      </c>
      <c r="Y67" s="16">
        <v>1.2</v>
      </c>
      <c r="Z67" s="16">
        <f t="shared" si="11"/>
        <v>1.2</v>
      </c>
      <c r="AA67" s="16" t="s">
        <v>21</v>
      </c>
      <c r="AB67" s="20">
        <v>43958</v>
      </c>
      <c r="AC67" s="20">
        <v>43946</v>
      </c>
      <c r="AD67" s="20">
        <v>43958</v>
      </c>
      <c r="AE67" s="20">
        <v>43955</v>
      </c>
      <c r="AF67" s="20">
        <v>43955</v>
      </c>
      <c r="AG67" s="20" t="s">
        <v>335</v>
      </c>
      <c r="AH67" s="32">
        <v>1</v>
      </c>
      <c r="AI67" s="32">
        <v>1</v>
      </c>
      <c r="AJ67" s="32">
        <v>0.5</v>
      </c>
      <c r="AK67" s="20" t="s">
        <v>165</v>
      </c>
      <c r="AL67" s="88" t="s">
        <v>410</v>
      </c>
      <c r="AM67" s="16"/>
      <c r="AN67" s="16"/>
    </row>
    <row r="68" spans="2:40" x14ac:dyDescent="0.25">
      <c r="B68" s="45">
        <f t="shared" si="10"/>
        <v>21</v>
      </c>
      <c r="C68" s="17">
        <v>20200427</v>
      </c>
      <c r="D68" s="16" t="s">
        <v>3</v>
      </c>
      <c r="E68" s="92" t="s">
        <v>503</v>
      </c>
      <c r="F68" s="18" t="s">
        <v>259</v>
      </c>
      <c r="G68" s="57" t="s">
        <v>61</v>
      </c>
      <c r="H68" s="16" t="s">
        <v>215</v>
      </c>
      <c r="I68" s="16" t="s">
        <v>151</v>
      </c>
      <c r="J68" s="16" t="s">
        <v>121</v>
      </c>
      <c r="K68" s="57" t="s">
        <v>61</v>
      </c>
      <c r="L68" s="57" t="s">
        <v>61</v>
      </c>
      <c r="M68" s="57" t="s">
        <v>61</v>
      </c>
      <c r="N68" s="16" t="s">
        <v>148</v>
      </c>
      <c r="O68" s="18" t="s">
        <v>61</v>
      </c>
      <c r="P68" s="18" t="s">
        <v>317</v>
      </c>
      <c r="Q68" s="19"/>
      <c r="R68" s="17" t="s">
        <v>97</v>
      </c>
      <c r="S68" s="16" t="s">
        <v>156</v>
      </c>
      <c r="T68" s="16"/>
      <c r="U68" s="16"/>
      <c r="V68" s="16">
        <v>360</v>
      </c>
      <c r="W68" s="16">
        <f>ROUND(IF(D68=Table!$C$3,Y68*Table!$C$4/8,Y68*Table!$D$4/8),3)</f>
        <v>202.5</v>
      </c>
      <c r="X68" s="16">
        <f t="shared" si="9"/>
        <v>202.5</v>
      </c>
      <c r="Y68" s="16">
        <v>3.6</v>
      </c>
      <c r="Z68" s="16">
        <v>3</v>
      </c>
      <c r="AA68" s="16" t="s">
        <v>21</v>
      </c>
      <c r="AB68" s="20">
        <v>43958</v>
      </c>
      <c r="AC68" s="20">
        <v>43946</v>
      </c>
      <c r="AD68" s="20">
        <v>43958</v>
      </c>
      <c r="AE68" s="20">
        <v>43955</v>
      </c>
      <c r="AF68" s="20">
        <v>43955</v>
      </c>
      <c r="AG68" s="20" t="s">
        <v>335</v>
      </c>
      <c r="AH68" s="32">
        <v>0.99</v>
      </c>
      <c r="AI68" s="32">
        <v>0.99</v>
      </c>
      <c r="AJ68" s="32">
        <v>1</v>
      </c>
      <c r="AK68" s="20" t="s">
        <v>165</v>
      </c>
      <c r="AL68" s="16" t="s">
        <v>416</v>
      </c>
      <c r="AM68" s="16"/>
      <c r="AN68" s="16"/>
    </row>
    <row r="69" spans="2:40" x14ac:dyDescent="0.25">
      <c r="B69" s="45">
        <f t="shared" si="10"/>
        <v>22</v>
      </c>
      <c r="C69" s="17">
        <v>20200427</v>
      </c>
      <c r="D69" s="16" t="s">
        <v>3</v>
      </c>
      <c r="E69" s="92" t="s">
        <v>503</v>
      </c>
      <c r="F69" s="18" t="s">
        <v>259</v>
      </c>
      <c r="G69" s="57" t="s">
        <v>61</v>
      </c>
      <c r="H69" s="16" t="s">
        <v>216</v>
      </c>
      <c r="I69" s="16" t="s">
        <v>280</v>
      </c>
      <c r="J69" s="16" t="s">
        <v>121</v>
      </c>
      <c r="K69" s="57" t="s">
        <v>61</v>
      </c>
      <c r="L69" s="57" t="s">
        <v>61</v>
      </c>
      <c r="M69" s="57" t="s">
        <v>61</v>
      </c>
      <c r="N69" s="16" t="s">
        <v>148</v>
      </c>
      <c r="O69" s="18" t="s">
        <v>61</v>
      </c>
      <c r="P69" s="18" t="s">
        <v>317</v>
      </c>
      <c r="Q69" s="19"/>
      <c r="R69" s="17" t="s">
        <v>97</v>
      </c>
      <c r="S69" s="16" t="s">
        <v>156</v>
      </c>
      <c r="T69" s="16"/>
      <c r="U69" s="16"/>
      <c r="V69" s="16">
        <v>202</v>
      </c>
      <c r="W69" s="16">
        <f>ROUND(IF(D69=Table!$C$3,Y69*Table!$C$4/8,Y69*Table!$D$4/8),3)</f>
        <v>202.5</v>
      </c>
      <c r="X69" s="16">
        <f t="shared" si="9"/>
        <v>202.5</v>
      </c>
      <c r="Y69" s="16">
        <v>3.6</v>
      </c>
      <c r="Z69" s="16">
        <v>3</v>
      </c>
      <c r="AA69" s="16" t="s">
        <v>21</v>
      </c>
      <c r="AB69" s="20">
        <v>43958</v>
      </c>
      <c r="AC69" s="20">
        <v>43946</v>
      </c>
      <c r="AD69" s="20">
        <v>43958</v>
      </c>
      <c r="AE69" s="20">
        <v>43955</v>
      </c>
      <c r="AF69" s="20">
        <v>43955</v>
      </c>
      <c r="AG69" s="20" t="s">
        <v>335</v>
      </c>
      <c r="AH69" s="32">
        <v>1</v>
      </c>
      <c r="AI69" s="32">
        <v>1</v>
      </c>
      <c r="AJ69" s="32">
        <v>1</v>
      </c>
      <c r="AK69" s="20" t="s">
        <v>165</v>
      </c>
      <c r="AL69" s="16"/>
      <c r="AM69" s="16"/>
      <c r="AN69" s="16"/>
    </row>
    <row r="70" spans="2:40" x14ac:dyDescent="0.25">
      <c r="B70" s="45">
        <f t="shared" si="10"/>
        <v>23</v>
      </c>
      <c r="C70" s="17">
        <v>20200427</v>
      </c>
      <c r="D70" s="16" t="s">
        <v>3</v>
      </c>
      <c r="E70" s="92" t="s">
        <v>503</v>
      </c>
      <c r="F70" s="18" t="s">
        <v>259</v>
      </c>
      <c r="G70" s="57" t="s">
        <v>61</v>
      </c>
      <c r="H70" s="16" t="s">
        <v>217</v>
      </c>
      <c r="I70" s="16" t="s">
        <v>281</v>
      </c>
      <c r="J70" s="16" t="s">
        <v>121</v>
      </c>
      <c r="K70" s="57" t="s">
        <v>61</v>
      </c>
      <c r="L70" s="57" t="s">
        <v>61</v>
      </c>
      <c r="M70" s="57" t="s">
        <v>61</v>
      </c>
      <c r="N70" s="16" t="s">
        <v>148</v>
      </c>
      <c r="O70" s="18" t="s">
        <v>61</v>
      </c>
      <c r="P70" s="18" t="s">
        <v>317</v>
      </c>
      <c r="Q70" s="19"/>
      <c r="R70" s="17" t="s">
        <v>97</v>
      </c>
      <c r="S70" s="16" t="s">
        <v>156</v>
      </c>
      <c r="T70" s="16"/>
      <c r="U70" s="16"/>
      <c r="V70" s="16">
        <v>65</v>
      </c>
      <c r="W70" s="16">
        <f>ROUND(IF(D70=Table!$C$3,Y70*Table!$C$4/8,Y70*Table!$D$4/8),3)</f>
        <v>95.625</v>
      </c>
      <c r="X70" s="16">
        <f t="shared" si="9"/>
        <v>95.625</v>
      </c>
      <c r="Y70" s="16">
        <v>1.7</v>
      </c>
      <c r="Z70" s="16">
        <v>2</v>
      </c>
      <c r="AA70" s="16" t="s">
        <v>21</v>
      </c>
      <c r="AB70" s="20">
        <v>43958</v>
      </c>
      <c r="AC70" s="20">
        <v>43946</v>
      </c>
      <c r="AD70" s="20">
        <v>43958</v>
      </c>
      <c r="AE70" s="20">
        <v>43955</v>
      </c>
      <c r="AF70" s="20">
        <v>43955</v>
      </c>
      <c r="AG70" s="20" t="s">
        <v>335</v>
      </c>
      <c r="AH70" s="32">
        <v>1</v>
      </c>
      <c r="AI70" s="32">
        <v>1</v>
      </c>
      <c r="AJ70" s="32">
        <v>0.75</v>
      </c>
      <c r="AK70" s="20" t="s">
        <v>165</v>
      </c>
      <c r="AL70" s="16"/>
      <c r="AM70" s="16"/>
      <c r="AN70" s="16"/>
    </row>
    <row r="71" spans="2:40" x14ac:dyDescent="0.25">
      <c r="B71" s="45">
        <f t="shared" si="10"/>
        <v>24</v>
      </c>
      <c r="C71" s="17">
        <v>20200427</v>
      </c>
      <c r="D71" s="16" t="s">
        <v>3</v>
      </c>
      <c r="E71" s="92" t="s">
        <v>503</v>
      </c>
      <c r="F71" s="18" t="s">
        <v>259</v>
      </c>
      <c r="G71" s="57" t="s">
        <v>61</v>
      </c>
      <c r="H71" s="16" t="s">
        <v>218</v>
      </c>
      <c r="I71" s="16" t="s">
        <v>282</v>
      </c>
      <c r="J71" s="16" t="s">
        <v>121</v>
      </c>
      <c r="K71" s="57" t="s">
        <v>61</v>
      </c>
      <c r="L71" s="57" t="s">
        <v>61</v>
      </c>
      <c r="M71" s="57" t="s">
        <v>61</v>
      </c>
      <c r="N71" s="16" t="s">
        <v>148</v>
      </c>
      <c r="O71" s="18" t="s">
        <v>61</v>
      </c>
      <c r="P71" s="18" t="s">
        <v>317</v>
      </c>
      <c r="Q71" s="19"/>
      <c r="R71" s="17" t="s">
        <v>98</v>
      </c>
      <c r="S71" s="16" t="s">
        <v>66</v>
      </c>
      <c r="T71" s="16"/>
      <c r="U71" s="16"/>
      <c r="V71" s="16">
        <v>47</v>
      </c>
      <c r="W71" s="16">
        <f>ROUND(IF(D71=Table!$C$3,Y71*Table!$C$4/8,Y71*Table!$D$4/8),3)</f>
        <v>76.5</v>
      </c>
      <c r="X71" s="16">
        <f t="shared" si="9"/>
        <v>76.5</v>
      </c>
      <c r="Y71" s="16">
        <v>1.36</v>
      </c>
      <c r="Z71" s="16">
        <f t="shared" ref="Z71" si="12">Y71</f>
        <v>1.36</v>
      </c>
      <c r="AA71" s="16" t="s">
        <v>21</v>
      </c>
      <c r="AB71" s="20">
        <v>43958</v>
      </c>
      <c r="AC71" s="20">
        <v>43946</v>
      </c>
      <c r="AD71" s="20">
        <v>43958</v>
      </c>
      <c r="AE71" s="20">
        <v>43955</v>
      </c>
      <c r="AF71" s="20">
        <v>43955</v>
      </c>
      <c r="AG71" s="20" t="s">
        <v>335</v>
      </c>
      <c r="AH71" s="32">
        <v>1</v>
      </c>
      <c r="AI71" s="32">
        <v>1</v>
      </c>
      <c r="AJ71" s="32">
        <v>1</v>
      </c>
      <c r="AK71" s="20" t="s">
        <v>165</v>
      </c>
      <c r="AL71" s="16"/>
      <c r="AM71" s="16"/>
      <c r="AN71" s="16"/>
    </row>
    <row r="72" spans="2:40" x14ac:dyDescent="0.25">
      <c r="B72" s="45">
        <f t="shared" si="10"/>
        <v>25</v>
      </c>
      <c r="C72" s="17">
        <v>20200427</v>
      </c>
      <c r="D72" s="16" t="s">
        <v>3</v>
      </c>
      <c r="E72" s="92" t="s">
        <v>503</v>
      </c>
      <c r="F72" s="18" t="s">
        <v>259</v>
      </c>
      <c r="G72" s="57" t="s">
        <v>61</v>
      </c>
      <c r="H72" s="16" t="s">
        <v>219</v>
      </c>
      <c r="I72" s="16" t="s">
        <v>283</v>
      </c>
      <c r="J72" s="16" t="s">
        <v>121</v>
      </c>
      <c r="K72" s="57" t="s">
        <v>61</v>
      </c>
      <c r="L72" s="57" t="s">
        <v>61</v>
      </c>
      <c r="M72" s="57" t="s">
        <v>61</v>
      </c>
      <c r="N72" s="16" t="s">
        <v>148</v>
      </c>
      <c r="O72" s="18" t="s">
        <v>61</v>
      </c>
      <c r="P72" s="18" t="s">
        <v>317</v>
      </c>
      <c r="Q72" s="19"/>
      <c r="R72" s="17" t="s">
        <v>98</v>
      </c>
      <c r="S72" s="16" t="s">
        <v>66</v>
      </c>
      <c r="T72" s="16"/>
      <c r="U72" s="16"/>
      <c r="V72" s="16">
        <v>160</v>
      </c>
      <c r="W72" s="16">
        <f>ROUND(IF(D72=Table!$C$3,Y72*Table!$C$4/8,Y72*Table!$D$4/8),3)</f>
        <v>157.5</v>
      </c>
      <c r="X72" s="16">
        <f t="shared" si="9"/>
        <v>157.5</v>
      </c>
      <c r="Y72" s="16">
        <v>2.8</v>
      </c>
      <c r="Z72" s="16">
        <v>1</v>
      </c>
      <c r="AA72" s="16" t="s">
        <v>21</v>
      </c>
      <c r="AB72" s="20">
        <v>43958</v>
      </c>
      <c r="AC72" s="20">
        <v>43946</v>
      </c>
      <c r="AD72" s="20">
        <v>43958</v>
      </c>
      <c r="AE72" s="20">
        <v>43955</v>
      </c>
      <c r="AF72" s="20">
        <v>43955</v>
      </c>
      <c r="AG72" s="20" t="s">
        <v>335</v>
      </c>
      <c r="AH72" s="32">
        <v>0.03</v>
      </c>
      <c r="AI72" s="32">
        <v>0</v>
      </c>
      <c r="AJ72" s="32">
        <v>0</v>
      </c>
      <c r="AK72" s="20" t="s">
        <v>165</v>
      </c>
      <c r="AL72" s="89" t="s">
        <v>411</v>
      </c>
      <c r="AM72" s="16"/>
      <c r="AN72" s="16"/>
    </row>
    <row r="73" spans="2:40" x14ac:dyDescent="0.25">
      <c r="B73" s="45">
        <f t="shared" si="10"/>
        <v>26</v>
      </c>
      <c r="C73" s="17">
        <v>20200427</v>
      </c>
      <c r="D73" s="16" t="s">
        <v>3</v>
      </c>
      <c r="E73" s="92" t="s">
        <v>503</v>
      </c>
      <c r="F73" s="18" t="s">
        <v>259</v>
      </c>
      <c r="G73" s="57" t="s">
        <v>61</v>
      </c>
      <c r="H73" s="16" t="s">
        <v>220</v>
      </c>
      <c r="I73" s="16" t="s">
        <v>155</v>
      </c>
      <c r="J73" s="16" t="s">
        <v>121</v>
      </c>
      <c r="K73" s="57" t="s">
        <v>61</v>
      </c>
      <c r="L73" s="57" t="s">
        <v>61</v>
      </c>
      <c r="M73" s="57" t="s">
        <v>61</v>
      </c>
      <c r="N73" s="16" t="s">
        <v>148</v>
      </c>
      <c r="O73" s="18" t="s">
        <v>61</v>
      </c>
      <c r="P73" s="18" t="s">
        <v>317</v>
      </c>
      <c r="Q73" s="19"/>
      <c r="R73" s="17" t="s">
        <v>98</v>
      </c>
      <c r="S73" s="16" t="s">
        <v>66</v>
      </c>
      <c r="T73" s="16"/>
      <c r="U73" s="16"/>
      <c r="V73" s="16">
        <v>246</v>
      </c>
      <c r="W73" s="16">
        <f>ROUND(IF(D73=Table!$C$3,Y73*Table!$C$4/8,Y73*Table!$D$4/8),3)</f>
        <v>247.5</v>
      </c>
      <c r="X73" s="16">
        <f t="shared" si="9"/>
        <v>247.5</v>
      </c>
      <c r="Y73" s="16">
        <v>4.4000000000000004</v>
      </c>
      <c r="Z73" s="16">
        <v>2</v>
      </c>
      <c r="AA73" s="16" t="s">
        <v>21</v>
      </c>
      <c r="AB73" s="20">
        <v>43958</v>
      </c>
      <c r="AC73" s="20">
        <v>43946</v>
      </c>
      <c r="AD73" s="20">
        <v>43958</v>
      </c>
      <c r="AE73" s="20">
        <v>43955</v>
      </c>
      <c r="AF73" s="20">
        <v>43955</v>
      </c>
      <c r="AG73" s="20" t="s">
        <v>335</v>
      </c>
      <c r="AH73" s="32">
        <v>1</v>
      </c>
      <c r="AI73" s="32">
        <v>1</v>
      </c>
      <c r="AJ73" s="32">
        <v>1</v>
      </c>
      <c r="AK73" s="20" t="s">
        <v>165</v>
      </c>
      <c r="AL73" s="16"/>
      <c r="AM73" s="16"/>
      <c r="AN73" s="16"/>
    </row>
    <row r="74" spans="2:40" x14ac:dyDescent="0.25">
      <c r="B74" s="45">
        <f t="shared" si="10"/>
        <v>27</v>
      </c>
      <c r="C74" s="17">
        <v>20200427</v>
      </c>
      <c r="D74" s="16" t="s">
        <v>3</v>
      </c>
      <c r="E74" s="92" t="s">
        <v>503</v>
      </c>
      <c r="F74" s="18" t="s">
        <v>259</v>
      </c>
      <c r="G74" s="57" t="s">
        <v>61</v>
      </c>
      <c r="H74" s="16" t="s">
        <v>221</v>
      </c>
      <c r="I74" s="16" t="s">
        <v>284</v>
      </c>
      <c r="J74" s="16" t="s">
        <v>121</v>
      </c>
      <c r="K74" s="57" t="s">
        <v>61</v>
      </c>
      <c r="L74" s="57" t="s">
        <v>61</v>
      </c>
      <c r="M74" s="57" t="s">
        <v>61</v>
      </c>
      <c r="N74" s="16" t="s">
        <v>148</v>
      </c>
      <c r="O74" s="18" t="s">
        <v>61</v>
      </c>
      <c r="P74" s="18" t="s">
        <v>317</v>
      </c>
      <c r="Q74" s="19"/>
      <c r="R74" s="17" t="s">
        <v>98</v>
      </c>
      <c r="S74" s="16" t="s">
        <v>66</v>
      </c>
      <c r="T74" s="16"/>
      <c r="U74" s="16"/>
      <c r="V74" s="16">
        <v>23</v>
      </c>
      <c r="W74" s="16">
        <f>ROUND(IF(D74=Table!$C$3,Y74*Table!$C$4/8,Y74*Table!$D$4/8),3)</f>
        <v>67.5</v>
      </c>
      <c r="X74" s="16">
        <f t="shared" si="9"/>
        <v>67.5</v>
      </c>
      <c r="Y74" s="16">
        <v>1.2</v>
      </c>
      <c r="Z74" s="16">
        <v>0.5</v>
      </c>
      <c r="AA74" s="16" t="s">
        <v>21</v>
      </c>
      <c r="AB74" s="20">
        <v>43958</v>
      </c>
      <c r="AC74" s="20">
        <v>43946</v>
      </c>
      <c r="AD74" s="20">
        <v>43958</v>
      </c>
      <c r="AE74" s="20">
        <v>43955</v>
      </c>
      <c r="AF74" s="20">
        <v>43955</v>
      </c>
      <c r="AG74" s="20" t="s">
        <v>335</v>
      </c>
      <c r="AH74" s="32">
        <v>1</v>
      </c>
      <c r="AI74" s="32">
        <v>1</v>
      </c>
      <c r="AJ74" s="32">
        <v>1</v>
      </c>
      <c r="AK74" s="20" t="s">
        <v>165</v>
      </c>
      <c r="AL74" s="16"/>
      <c r="AM74" s="16"/>
      <c r="AN74" s="16"/>
    </row>
    <row r="75" spans="2:40" x14ac:dyDescent="0.25">
      <c r="B75" s="45">
        <f t="shared" si="10"/>
        <v>28</v>
      </c>
      <c r="C75" s="17">
        <v>20200427</v>
      </c>
      <c r="D75" s="16" t="s">
        <v>3</v>
      </c>
      <c r="E75" s="92" t="s">
        <v>503</v>
      </c>
      <c r="F75" s="18" t="s">
        <v>259</v>
      </c>
      <c r="G75" s="57" t="s">
        <v>61</v>
      </c>
      <c r="H75" s="16" t="s">
        <v>222</v>
      </c>
      <c r="I75" s="16" t="s">
        <v>285</v>
      </c>
      <c r="J75" s="16" t="s">
        <v>121</v>
      </c>
      <c r="K75" s="57" t="s">
        <v>61</v>
      </c>
      <c r="L75" s="57" t="s">
        <v>61</v>
      </c>
      <c r="M75" s="57" t="s">
        <v>61</v>
      </c>
      <c r="N75" s="16" t="s">
        <v>148</v>
      </c>
      <c r="O75" s="18" t="s">
        <v>61</v>
      </c>
      <c r="P75" s="18" t="s">
        <v>317</v>
      </c>
      <c r="Q75" s="19"/>
      <c r="R75" s="17" t="s">
        <v>97</v>
      </c>
      <c r="S75" s="16" t="s">
        <v>156</v>
      </c>
      <c r="T75" s="16"/>
      <c r="U75" s="16"/>
      <c r="V75" s="16">
        <v>126</v>
      </c>
      <c r="W75" s="16">
        <f>ROUND(IF(D75=Table!$C$3,Y75*Table!$C$4/8,Y75*Table!$D$4/8),3)</f>
        <v>114.75</v>
      </c>
      <c r="X75" s="16">
        <f t="shared" si="9"/>
        <v>114.75</v>
      </c>
      <c r="Y75" s="16">
        <v>2.04</v>
      </c>
      <c r="Z75" s="16">
        <v>3</v>
      </c>
      <c r="AA75" s="16" t="s">
        <v>21</v>
      </c>
      <c r="AB75" s="20">
        <v>43958</v>
      </c>
      <c r="AC75" s="20">
        <v>43946</v>
      </c>
      <c r="AD75" s="20">
        <v>43958</v>
      </c>
      <c r="AE75" s="20">
        <v>43956</v>
      </c>
      <c r="AF75" s="20">
        <v>43956</v>
      </c>
      <c r="AG75" s="20" t="s">
        <v>335</v>
      </c>
      <c r="AH75" s="32">
        <v>1</v>
      </c>
      <c r="AI75" s="32">
        <v>0.96</v>
      </c>
      <c r="AJ75" s="32">
        <v>0.33</v>
      </c>
      <c r="AK75" s="20" t="s">
        <v>165</v>
      </c>
      <c r="AL75" s="16" t="s">
        <v>436</v>
      </c>
      <c r="AM75" s="16"/>
      <c r="AN75" s="16"/>
    </row>
    <row r="76" spans="2:40" x14ac:dyDescent="0.25">
      <c r="B76" s="45">
        <f t="shared" si="10"/>
        <v>29</v>
      </c>
      <c r="C76" s="17">
        <v>20200427</v>
      </c>
      <c r="D76" s="16" t="s">
        <v>3</v>
      </c>
      <c r="E76" s="92" t="s">
        <v>503</v>
      </c>
      <c r="F76" s="18" t="s">
        <v>259</v>
      </c>
      <c r="G76" s="57" t="s">
        <v>61</v>
      </c>
      <c r="H76" s="16" t="s">
        <v>223</v>
      </c>
      <c r="I76" s="16" t="s">
        <v>286</v>
      </c>
      <c r="J76" s="16" t="s">
        <v>121</v>
      </c>
      <c r="K76" s="57" t="s">
        <v>61</v>
      </c>
      <c r="L76" s="57" t="s">
        <v>61</v>
      </c>
      <c r="M76" s="57" t="s">
        <v>61</v>
      </c>
      <c r="N76" s="16" t="s">
        <v>148</v>
      </c>
      <c r="O76" s="18" t="s">
        <v>61</v>
      </c>
      <c r="P76" s="18" t="s">
        <v>317</v>
      </c>
      <c r="Q76" s="19"/>
      <c r="R76" s="17" t="s">
        <v>98</v>
      </c>
      <c r="S76" s="16" t="s">
        <v>66</v>
      </c>
      <c r="T76" s="16"/>
      <c r="U76" s="16"/>
      <c r="V76" s="16">
        <v>50</v>
      </c>
      <c r="W76" s="16">
        <f>ROUND(IF(D76=Table!$C$3,Y76*Table!$C$4/8,Y76*Table!$D$4/8),3)</f>
        <v>67.5</v>
      </c>
      <c r="X76" s="16">
        <f t="shared" si="9"/>
        <v>67.5</v>
      </c>
      <c r="Y76" s="16">
        <v>1.2</v>
      </c>
      <c r="Z76" s="16">
        <v>0.5</v>
      </c>
      <c r="AA76" s="16" t="s">
        <v>21</v>
      </c>
      <c r="AB76" s="20">
        <v>43958</v>
      </c>
      <c r="AC76" s="20">
        <v>43946</v>
      </c>
      <c r="AD76" s="20">
        <v>43958</v>
      </c>
      <c r="AE76" s="20">
        <v>43955</v>
      </c>
      <c r="AF76" s="20">
        <v>43955</v>
      </c>
      <c r="AG76" s="20" t="s">
        <v>335</v>
      </c>
      <c r="AH76" s="32">
        <v>1</v>
      </c>
      <c r="AI76" s="32">
        <v>1</v>
      </c>
      <c r="AJ76" s="3" t="s">
        <v>412</v>
      </c>
      <c r="AK76" s="20" t="s">
        <v>165</v>
      </c>
      <c r="AL76" s="16"/>
      <c r="AM76" s="16"/>
      <c r="AN76" s="16"/>
    </row>
    <row r="77" spans="2:40" x14ac:dyDescent="0.25">
      <c r="B77" s="45">
        <f t="shared" si="10"/>
        <v>30</v>
      </c>
      <c r="C77" s="17">
        <v>20200427</v>
      </c>
      <c r="D77" s="16" t="s">
        <v>3</v>
      </c>
      <c r="E77" s="92" t="s">
        <v>503</v>
      </c>
      <c r="F77" s="18" t="s">
        <v>259</v>
      </c>
      <c r="G77" s="57" t="s">
        <v>61</v>
      </c>
      <c r="H77" s="16" t="s">
        <v>224</v>
      </c>
      <c r="I77" s="16" t="s">
        <v>287</v>
      </c>
      <c r="J77" s="16" t="s">
        <v>121</v>
      </c>
      <c r="K77" s="57" t="s">
        <v>61</v>
      </c>
      <c r="L77" s="57" t="s">
        <v>61</v>
      </c>
      <c r="M77" s="57" t="s">
        <v>61</v>
      </c>
      <c r="N77" s="16" t="s">
        <v>148</v>
      </c>
      <c r="O77" s="18" t="s">
        <v>61</v>
      </c>
      <c r="P77" s="18" t="s">
        <v>317</v>
      </c>
      <c r="Q77" s="19"/>
      <c r="R77" s="17" t="s">
        <v>98</v>
      </c>
      <c r="S77" s="16" t="s">
        <v>66</v>
      </c>
      <c r="T77" s="16"/>
      <c r="U77" s="16"/>
      <c r="V77" s="16">
        <v>206</v>
      </c>
      <c r="W77" s="16">
        <f>ROUND(IF(D77=Table!$C$3,Y77*Table!$C$4/8,Y77*Table!$D$4/8),3)</f>
        <v>202.5</v>
      </c>
      <c r="X77" s="16">
        <f t="shared" si="9"/>
        <v>202.5</v>
      </c>
      <c r="Y77" s="16">
        <v>3.6</v>
      </c>
      <c r="Z77" s="16">
        <v>1</v>
      </c>
      <c r="AA77" s="16" t="s">
        <v>21</v>
      </c>
      <c r="AB77" s="20">
        <v>43958</v>
      </c>
      <c r="AC77" s="20">
        <v>43946</v>
      </c>
      <c r="AD77" s="20">
        <v>43958</v>
      </c>
      <c r="AE77" s="20">
        <v>43955</v>
      </c>
      <c r="AF77" s="20">
        <v>43955</v>
      </c>
      <c r="AG77" s="20" t="s">
        <v>335</v>
      </c>
      <c r="AH77" s="32">
        <v>1</v>
      </c>
      <c r="AI77" s="32">
        <v>0.97</v>
      </c>
      <c r="AJ77" s="3" t="s">
        <v>412</v>
      </c>
      <c r="AK77" s="20" t="s">
        <v>165</v>
      </c>
      <c r="AL77" s="90" t="s">
        <v>413</v>
      </c>
      <c r="AM77" s="16"/>
      <c r="AN77" s="16"/>
    </row>
    <row r="78" spans="2:40" x14ac:dyDescent="0.25">
      <c r="B78" s="45">
        <f t="shared" si="10"/>
        <v>31</v>
      </c>
      <c r="C78" s="17">
        <v>20200427</v>
      </c>
      <c r="D78" s="16" t="s">
        <v>3</v>
      </c>
      <c r="E78" s="92" t="s">
        <v>503</v>
      </c>
      <c r="F78" s="18" t="s">
        <v>259</v>
      </c>
      <c r="G78" s="57" t="s">
        <v>61</v>
      </c>
      <c r="H78" s="16" t="s">
        <v>225</v>
      </c>
      <c r="I78" s="16" t="s">
        <v>288</v>
      </c>
      <c r="J78" s="16" t="s">
        <v>121</v>
      </c>
      <c r="K78" s="57" t="s">
        <v>61</v>
      </c>
      <c r="L78" s="57" t="s">
        <v>61</v>
      </c>
      <c r="M78" s="57" t="s">
        <v>61</v>
      </c>
      <c r="N78" s="16" t="s">
        <v>148</v>
      </c>
      <c r="O78" s="18" t="s">
        <v>61</v>
      </c>
      <c r="P78" s="18" t="s">
        <v>317</v>
      </c>
      <c r="Q78" s="19"/>
      <c r="R78" s="17" t="s">
        <v>98</v>
      </c>
      <c r="S78" s="16" t="s">
        <v>66</v>
      </c>
      <c r="T78" s="16"/>
      <c r="U78" s="16"/>
      <c r="V78" s="16">
        <v>131</v>
      </c>
      <c r="W78" s="16">
        <f>ROUND(IF(D78=Table!$C$3,Y78*Table!$C$4/8,Y78*Table!$D$4/8),3)</f>
        <v>135</v>
      </c>
      <c r="X78" s="16">
        <f t="shared" si="9"/>
        <v>135</v>
      </c>
      <c r="Y78" s="16">
        <v>2.4</v>
      </c>
      <c r="Z78" s="16">
        <v>1</v>
      </c>
      <c r="AA78" s="16" t="s">
        <v>21</v>
      </c>
      <c r="AB78" s="20">
        <v>43958</v>
      </c>
      <c r="AC78" s="20">
        <v>43946</v>
      </c>
      <c r="AD78" s="20">
        <v>43958</v>
      </c>
      <c r="AE78" s="20">
        <v>43955</v>
      </c>
      <c r="AF78" s="20">
        <v>43955</v>
      </c>
      <c r="AG78" s="20" t="s">
        <v>335</v>
      </c>
      <c r="AH78" s="32">
        <v>1</v>
      </c>
      <c r="AI78" s="32">
        <v>1</v>
      </c>
      <c r="AJ78" s="3" t="s">
        <v>412</v>
      </c>
      <c r="AK78" s="20" t="s">
        <v>165</v>
      </c>
      <c r="AL78" s="16"/>
      <c r="AM78" s="16"/>
      <c r="AN78" s="16"/>
    </row>
    <row r="79" spans="2:40" x14ac:dyDescent="0.25">
      <c r="B79" s="45">
        <f t="shared" si="10"/>
        <v>32</v>
      </c>
      <c r="C79" s="17">
        <v>20200427</v>
      </c>
      <c r="D79" s="16" t="s">
        <v>3</v>
      </c>
      <c r="E79" s="92" t="s">
        <v>503</v>
      </c>
      <c r="F79" s="18" t="s">
        <v>259</v>
      </c>
      <c r="G79" s="57" t="s">
        <v>61</v>
      </c>
      <c r="H79" s="16" t="s">
        <v>226</v>
      </c>
      <c r="I79" s="16" t="s">
        <v>289</v>
      </c>
      <c r="J79" s="16" t="s">
        <v>121</v>
      </c>
      <c r="K79" s="57" t="s">
        <v>61</v>
      </c>
      <c r="L79" s="57" t="s">
        <v>61</v>
      </c>
      <c r="M79" s="57" t="s">
        <v>61</v>
      </c>
      <c r="N79" s="16" t="s">
        <v>148</v>
      </c>
      <c r="O79" s="18" t="s">
        <v>61</v>
      </c>
      <c r="P79" s="18" t="s">
        <v>317</v>
      </c>
      <c r="Q79" s="19"/>
      <c r="R79" s="17" t="s">
        <v>98</v>
      </c>
      <c r="S79" s="16" t="s">
        <v>6</v>
      </c>
      <c r="T79" s="16"/>
      <c r="U79" s="16"/>
      <c r="V79" s="16">
        <v>146</v>
      </c>
      <c r="W79" s="16">
        <f>ROUND(IF(D79=Table!$C$3,Y79*Table!$C$4/8,Y79*Table!$D$4/8),3)</f>
        <v>76.5</v>
      </c>
      <c r="X79" s="16">
        <f t="shared" si="9"/>
        <v>76.5</v>
      </c>
      <c r="Y79" s="16">
        <v>1.36</v>
      </c>
      <c r="Z79" s="16">
        <v>2</v>
      </c>
      <c r="AA79" s="16" t="s">
        <v>21</v>
      </c>
      <c r="AB79" s="20">
        <v>43958</v>
      </c>
      <c r="AC79" s="20">
        <v>43946</v>
      </c>
      <c r="AD79" s="20">
        <v>43958</v>
      </c>
      <c r="AE79" s="20">
        <v>43955</v>
      </c>
      <c r="AF79" s="20">
        <v>43955</v>
      </c>
      <c r="AG79" s="20" t="s">
        <v>335</v>
      </c>
      <c r="AH79" s="32">
        <v>1</v>
      </c>
      <c r="AI79" s="32">
        <v>1</v>
      </c>
      <c r="AJ79" s="32">
        <v>1</v>
      </c>
      <c r="AK79" s="20" t="s">
        <v>165</v>
      </c>
      <c r="AL79" s="16"/>
      <c r="AM79" s="16"/>
      <c r="AN79" s="16"/>
    </row>
    <row r="80" spans="2:40" x14ac:dyDescent="0.25">
      <c r="B80" s="45">
        <f t="shared" si="10"/>
        <v>33</v>
      </c>
      <c r="C80" s="17">
        <v>20200427</v>
      </c>
      <c r="D80" s="16" t="s">
        <v>3</v>
      </c>
      <c r="E80" s="92" t="s">
        <v>503</v>
      </c>
      <c r="F80" s="18" t="s">
        <v>259</v>
      </c>
      <c r="G80" s="57" t="s">
        <v>61</v>
      </c>
      <c r="H80" s="16" t="s">
        <v>227</v>
      </c>
      <c r="I80" s="16" t="s">
        <v>290</v>
      </c>
      <c r="J80" s="16" t="s">
        <v>121</v>
      </c>
      <c r="K80" s="57" t="s">
        <v>61</v>
      </c>
      <c r="L80" s="57" t="s">
        <v>61</v>
      </c>
      <c r="M80" s="57" t="s">
        <v>61</v>
      </c>
      <c r="N80" s="16" t="s">
        <v>148</v>
      </c>
      <c r="O80" s="18" t="s">
        <v>61</v>
      </c>
      <c r="P80" s="18" t="s">
        <v>317</v>
      </c>
      <c r="Q80" s="19"/>
      <c r="R80" s="17" t="s">
        <v>98</v>
      </c>
      <c r="S80" s="16" t="s">
        <v>6</v>
      </c>
      <c r="T80" s="16"/>
      <c r="U80" s="16"/>
      <c r="V80" s="16">
        <v>94</v>
      </c>
      <c r="W80" s="16">
        <f>ROUND(IF(D80=Table!$C$3,Y80*Table!$C$4/8,Y80*Table!$D$4/8),3)</f>
        <v>107.1</v>
      </c>
      <c r="X80" s="16">
        <f t="shared" si="9"/>
        <v>107.1</v>
      </c>
      <c r="Y80" s="16">
        <v>1.9040000000000001</v>
      </c>
      <c r="Z80" s="16">
        <v>2</v>
      </c>
      <c r="AA80" s="16" t="s">
        <v>21</v>
      </c>
      <c r="AB80" s="20">
        <v>43958</v>
      </c>
      <c r="AC80" s="20">
        <v>43946</v>
      </c>
      <c r="AD80" s="20">
        <v>43958</v>
      </c>
      <c r="AE80" s="20">
        <v>43955</v>
      </c>
      <c r="AF80" s="20">
        <v>43955</v>
      </c>
      <c r="AG80" s="20" t="s">
        <v>335</v>
      </c>
      <c r="AH80" s="32">
        <v>1</v>
      </c>
      <c r="AI80" s="32">
        <v>1</v>
      </c>
      <c r="AJ80" s="32">
        <v>1</v>
      </c>
      <c r="AK80" s="20" t="s">
        <v>165</v>
      </c>
      <c r="AL80" s="16"/>
      <c r="AM80" s="16"/>
      <c r="AN80" s="16"/>
    </row>
    <row r="81" spans="2:40" x14ac:dyDescent="0.25">
      <c r="B81" s="45">
        <f t="shared" si="10"/>
        <v>34</v>
      </c>
      <c r="C81" s="17">
        <v>20200427</v>
      </c>
      <c r="D81" s="16" t="s">
        <v>3</v>
      </c>
      <c r="E81" s="92" t="s">
        <v>503</v>
      </c>
      <c r="F81" s="18" t="s">
        <v>259</v>
      </c>
      <c r="G81" s="57" t="s">
        <v>61</v>
      </c>
      <c r="H81" s="16" t="s">
        <v>228</v>
      </c>
      <c r="I81" s="16" t="s">
        <v>291</v>
      </c>
      <c r="J81" s="16" t="s">
        <v>121</v>
      </c>
      <c r="K81" s="57" t="s">
        <v>61</v>
      </c>
      <c r="L81" s="57" t="s">
        <v>61</v>
      </c>
      <c r="M81" s="57" t="s">
        <v>61</v>
      </c>
      <c r="N81" s="16" t="s">
        <v>148</v>
      </c>
      <c r="O81" s="18" t="s">
        <v>61</v>
      </c>
      <c r="P81" s="18" t="s">
        <v>317</v>
      </c>
      <c r="Q81" s="19"/>
      <c r="R81" s="17" t="s">
        <v>98</v>
      </c>
      <c r="S81" s="16" t="s">
        <v>6</v>
      </c>
      <c r="T81" s="16"/>
      <c r="U81" s="16"/>
      <c r="V81" s="16">
        <v>149</v>
      </c>
      <c r="W81" s="16">
        <f>ROUND(IF(D81=Table!$C$3,Y81*Table!$C$4/8,Y81*Table!$D$4/8),3)</f>
        <v>157.5</v>
      </c>
      <c r="X81" s="16">
        <f t="shared" ref="X81:X112" si="13">W81</f>
        <v>157.5</v>
      </c>
      <c r="Y81" s="16">
        <v>2.8</v>
      </c>
      <c r="Z81" s="16">
        <v>3</v>
      </c>
      <c r="AA81" s="16" t="s">
        <v>21</v>
      </c>
      <c r="AB81" s="20">
        <v>43958</v>
      </c>
      <c r="AC81" s="20">
        <v>43946</v>
      </c>
      <c r="AD81" s="20">
        <v>43958</v>
      </c>
      <c r="AE81" s="20">
        <v>43955</v>
      </c>
      <c r="AF81" s="20">
        <v>43955</v>
      </c>
      <c r="AG81" s="20" t="s">
        <v>335</v>
      </c>
      <c r="AH81" s="32">
        <v>1</v>
      </c>
      <c r="AI81" s="32">
        <v>1</v>
      </c>
      <c r="AJ81" s="32">
        <v>0.5</v>
      </c>
      <c r="AK81" s="20" t="s">
        <v>165</v>
      </c>
      <c r="AL81" s="16"/>
      <c r="AM81" s="16"/>
      <c r="AN81" s="16"/>
    </row>
    <row r="82" spans="2:40" x14ac:dyDescent="0.25">
      <c r="B82" s="45">
        <f t="shared" si="10"/>
        <v>35</v>
      </c>
      <c r="C82" s="17">
        <v>20200427</v>
      </c>
      <c r="D82" s="16" t="s">
        <v>3</v>
      </c>
      <c r="E82" s="92" t="s">
        <v>503</v>
      </c>
      <c r="F82" s="18" t="s">
        <v>259</v>
      </c>
      <c r="G82" s="57" t="s">
        <v>61</v>
      </c>
      <c r="H82" s="16" t="s">
        <v>229</v>
      </c>
      <c r="I82" s="16" t="s">
        <v>292</v>
      </c>
      <c r="J82" s="16" t="s">
        <v>121</v>
      </c>
      <c r="K82" s="57" t="s">
        <v>61</v>
      </c>
      <c r="L82" s="57" t="s">
        <v>61</v>
      </c>
      <c r="M82" s="57" t="s">
        <v>61</v>
      </c>
      <c r="N82" s="16" t="s">
        <v>148</v>
      </c>
      <c r="O82" s="18" t="s">
        <v>61</v>
      </c>
      <c r="P82" s="18" t="s">
        <v>317</v>
      </c>
      <c r="Q82" s="19"/>
      <c r="R82" s="17" t="s">
        <v>98</v>
      </c>
      <c r="S82" s="16" t="s">
        <v>66</v>
      </c>
      <c r="T82" s="16"/>
      <c r="U82" s="16"/>
      <c r="V82" s="16">
        <v>27</v>
      </c>
      <c r="W82" s="16">
        <f>ROUND(IF(D82=Table!$C$3,Y82*Table!$C$4/8,Y82*Table!$D$4/8),3)</f>
        <v>67.5</v>
      </c>
      <c r="X82" s="16">
        <f t="shared" si="13"/>
        <v>67.5</v>
      </c>
      <c r="Y82" s="16">
        <v>1.2</v>
      </c>
      <c r="Z82" s="16">
        <v>0.1</v>
      </c>
      <c r="AA82" s="16" t="s">
        <v>21</v>
      </c>
      <c r="AB82" s="20">
        <v>43958</v>
      </c>
      <c r="AC82" s="20">
        <v>43946</v>
      </c>
      <c r="AD82" s="20">
        <v>43958</v>
      </c>
      <c r="AE82" s="20">
        <v>43956</v>
      </c>
      <c r="AF82" s="20">
        <v>43956</v>
      </c>
      <c r="AG82" s="20" t="s">
        <v>335</v>
      </c>
      <c r="AH82" s="99">
        <v>1</v>
      </c>
      <c r="AI82" s="32">
        <v>1</v>
      </c>
      <c r="AJ82" s="32">
        <v>1</v>
      </c>
      <c r="AK82" s="20" t="s">
        <v>165</v>
      </c>
      <c r="AL82" s="16"/>
      <c r="AM82" s="16"/>
      <c r="AN82" s="16"/>
    </row>
    <row r="83" spans="2:40" x14ac:dyDescent="0.25">
      <c r="B83" s="45">
        <f t="shared" si="10"/>
        <v>36</v>
      </c>
      <c r="C83" s="17">
        <v>20200427</v>
      </c>
      <c r="D83" s="16" t="s">
        <v>3</v>
      </c>
      <c r="E83" s="92" t="s">
        <v>503</v>
      </c>
      <c r="F83" s="18" t="s">
        <v>259</v>
      </c>
      <c r="G83" s="57" t="s">
        <v>61</v>
      </c>
      <c r="H83" s="16" t="s">
        <v>230</v>
      </c>
      <c r="I83" s="16" t="s">
        <v>293</v>
      </c>
      <c r="J83" s="16" t="s">
        <v>121</v>
      </c>
      <c r="K83" s="57" t="s">
        <v>61</v>
      </c>
      <c r="L83" s="57" t="s">
        <v>61</v>
      </c>
      <c r="M83" s="57" t="s">
        <v>61</v>
      </c>
      <c r="N83" s="16" t="s">
        <v>148</v>
      </c>
      <c r="O83" s="18" t="s">
        <v>61</v>
      </c>
      <c r="P83" s="18" t="s">
        <v>317</v>
      </c>
      <c r="Q83" s="19"/>
      <c r="R83" s="17" t="s">
        <v>98</v>
      </c>
      <c r="S83" s="16" t="s">
        <v>66</v>
      </c>
      <c r="T83" s="16"/>
      <c r="U83" s="16"/>
      <c r="V83" s="16">
        <v>21</v>
      </c>
      <c r="W83" s="16">
        <f>ROUND(IF(D83=Table!$C$3,Y83*Table!$C$4/8,Y83*Table!$D$4/8),3)</f>
        <v>67.5</v>
      </c>
      <c r="X83" s="16">
        <f t="shared" si="13"/>
        <v>67.5</v>
      </c>
      <c r="Y83" s="16">
        <v>1.2</v>
      </c>
      <c r="Z83" s="16">
        <v>0.1</v>
      </c>
      <c r="AA83" s="16" t="s">
        <v>21</v>
      </c>
      <c r="AB83" s="20">
        <v>43958</v>
      </c>
      <c r="AC83" s="20">
        <v>43946</v>
      </c>
      <c r="AD83" s="20">
        <v>43958</v>
      </c>
      <c r="AE83" s="20">
        <v>43956</v>
      </c>
      <c r="AF83" s="20">
        <v>43956</v>
      </c>
      <c r="AG83" s="20" t="s">
        <v>335</v>
      </c>
      <c r="AH83" s="99">
        <v>1</v>
      </c>
      <c r="AI83" s="32">
        <v>1</v>
      </c>
      <c r="AJ83" s="32">
        <v>1</v>
      </c>
      <c r="AK83" s="20" t="s">
        <v>165</v>
      </c>
      <c r="AL83" s="16"/>
      <c r="AM83" s="16"/>
      <c r="AN83" s="16"/>
    </row>
    <row r="84" spans="2:40" x14ac:dyDescent="0.25">
      <c r="B84" s="45">
        <f t="shared" si="10"/>
        <v>37</v>
      </c>
      <c r="C84" s="17">
        <v>20200427</v>
      </c>
      <c r="D84" s="16" t="s">
        <v>3</v>
      </c>
      <c r="E84" s="92" t="s">
        <v>503</v>
      </c>
      <c r="F84" s="18" t="s">
        <v>259</v>
      </c>
      <c r="G84" s="57" t="s">
        <v>61</v>
      </c>
      <c r="H84" s="16" t="s">
        <v>231</v>
      </c>
      <c r="I84" s="16" t="s">
        <v>294</v>
      </c>
      <c r="J84" s="16" t="s">
        <v>121</v>
      </c>
      <c r="K84" s="57" t="s">
        <v>61</v>
      </c>
      <c r="L84" s="57" t="s">
        <v>61</v>
      </c>
      <c r="M84" s="57" t="s">
        <v>61</v>
      </c>
      <c r="N84" s="16" t="s">
        <v>148</v>
      </c>
      <c r="O84" s="18" t="s">
        <v>61</v>
      </c>
      <c r="P84" s="18" t="s">
        <v>317</v>
      </c>
      <c r="Q84" s="19"/>
      <c r="R84" s="17" t="s">
        <v>98</v>
      </c>
      <c r="S84" s="16" t="s">
        <v>66</v>
      </c>
      <c r="T84" s="16"/>
      <c r="U84" s="16"/>
      <c r="V84" s="16">
        <v>113</v>
      </c>
      <c r="W84" s="16">
        <f>ROUND(IF(D84=Table!$C$3,Y84*Table!$C$4/8,Y84*Table!$D$4/8),3)</f>
        <v>67.5</v>
      </c>
      <c r="X84" s="16">
        <f t="shared" si="13"/>
        <v>67.5</v>
      </c>
      <c r="Y84" s="16">
        <v>1.2</v>
      </c>
      <c r="Z84" s="16">
        <v>0.5</v>
      </c>
      <c r="AA84" s="16" t="s">
        <v>21</v>
      </c>
      <c r="AB84" s="20">
        <v>43958</v>
      </c>
      <c r="AC84" s="20">
        <v>43946</v>
      </c>
      <c r="AD84" s="20">
        <v>43958</v>
      </c>
      <c r="AE84" s="20">
        <v>43956</v>
      </c>
      <c r="AF84" s="20">
        <v>43956</v>
      </c>
      <c r="AG84" s="20" t="s">
        <v>335</v>
      </c>
      <c r="AH84" s="99">
        <v>1</v>
      </c>
      <c r="AI84" s="32">
        <v>1</v>
      </c>
      <c r="AJ84" s="32">
        <v>1</v>
      </c>
      <c r="AK84" s="20" t="s">
        <v>165</v>
      </c>
      <c r="AL84" s="16"/>
      <c r="AM84" s="16"/>
      <c r="AN84" s="16"/>
    </row>
    <row r="85" spans="2:40" x14ac:dyDescent="0.25">
      <c r="B85" s="45">
        <f t="shared" si="10"/>
        <v>38</v>
      </c>
      <c r="C85" s="17">
        <v>20200427</v>
      </c>
      <c r="D85" s="16" t="s">
        <v>3</v>
      </c>
      <c r="E85" s="92" t="s">
        <v>503</v>
      </c>
      <c r="F85" s="18" t="s">
        <v>259</v>
      </c>
      <c r="G85" s="57" t="s">
        <v>61</v>
      </c>
      <c r="H85" s="16" t="s">
        <v>232</v>
      </c>
      <c r="I85" s="16" t="s">
        <v>295</v>
      </c>
      <c r="J85" s="16" t="s">
        <v>121</v>
      </c>
      <c r="K85" s="57" t="s">
        <v>61</v>
      </c>
      <c r="L85" s="57" t="s">
        <v>61</v>
      </c>
      <c r="M85" s="57" t="s">
        <v>61</v>
      </c>
      <c r="N85" s="16" t="s">
        <v>148</v>
      </c>
      <c r="O85" s="18" t="s">
        <v>61</v>
      </c>
      <c r="P85" s="18" t="s">
        <v>317</v>
      </c>
      <c r="Q85" s="19"/>
      <c r="R85" s="17" t="s">
        <v>98</v>
      </c>
      <c r="S85" s="16" t="s">
        <v>66</v>
      </c>
      <c r="T85" s="16"/>
      <c r="U85" s="16"/>
      <c r="V85" s="16">
        <v>82</v>
      </c>
      <c r="W85" s="16">
        <f>ROUND(IF(D85=Table!$C$3,Y85*Table!$C$4/8,Y85*Table!$D$4/8),3)</f>
        <v>6.75</v>
      </c>
      <c r="X85" s="16">
        <f t="shared" si="13"/>
        <v>6.75</v>
      </c>
      <c r="Y85" s="16">
        <v>0.12</v>
      </c>
      <c r="Z85" s="16">
        <v>0.1</v>
      </c>
      <c r="AA85" s="16" t="s">
        <v>21</v>
      </c>
      <c r="AB85" s="20">
        <v>43958</v>
      </c>
      <c r="AC85" s="20">
        <v>43946</v>
      </c>
      <c r="AD85" s="20">
        <v>43958</v>
      </c>
      <c r="AE85" s="20">
        <v>43956</v>
      </c>
      <c r="AF85" s="20">
        <v>43956</v>
      </c>
      <c r="AG85" s="20" t="s">
        <v>335</v>
      </c>
      <c r="AH85" s="99">
        <v>1</v>
      </c>
      <c r="AI85" s="32">
        <v>1</v>
      </c>
      <c r="AJ85" s="32">
        <v>1</v>
      </c>
      <c r="AK85" s="20" t="s">
        <v>165</v>
      </c>
      <c r="AL85" s="16"/>
      <c r="AM85" s="16"/>
      <c r="AN85" s="16"/>
    </row>
    <row r="86" spans="2:40" x14ac:dyDescent="0.25">
      <c r="B86" s="45">
        <f t="shared" si="10"/>
        <v>39</v>
      </c>
      <c r="C86" s="17">
        <v>20200427</v>
      </c>
      <c r="D86" s="16" t="s">
        <v>3</v>
      </c>
      <c r="E86" s="92" t="s">
        <v>503</v>
      </c>
      <c r="F86" s="18" t="s">
        <v>259</v>
      </c>
      <c r="G86" s="57" t="s">
        <v>61</v>
      </c>
      <c r="H86" s="16" t="s">
        <v>233</v>
      </c>
      <c r="I86" s="16" t="s">
        <v>296</v>
      </c>
      <c r="J86" s="16" t="s">
        <v>121</v>
      </c>
      <c r="K86" s="57" t="s">
        <v>61</v>
      </c>
      <c r="L86" s="57" t="s">
        <v>61</v>
      </c>
      <c r="M86" s="57" t="s">
        <v>61</v>
      </c>
      <c r="N86" s="16" t="s">
        <v>148</v>
      </c>
      <c r="O86" s="18" t="s">
        <v>61</v>
      </c>
      <c r="P86" s="18" t="s">
        <v>317</v>
      </c>
      <c r="Q86" s="19"/>
      <c r="R86" s="17" t="s">
        <v>97</v>
      </c>
      <c r="S86" s="16" t="s">
        <v>156</v>
      </c>
      <c r="T86" s="16"/>
      <c r="U86" s="16"/>
      <c r="V86" s="16">
        <v>57</v>
      </c>
      <c r="W86" s="16">
        <f>ROUND(IF(D86=Table!$C$3,Y86*Table!$C$4/8,Y86*Table!$D$4/8),3)</f>
        <v>67.5</v>
      </c>
      <c r="X86" s="16">
        <f t="shared" si="13"/>
        <v>67.5</v>
      </c>
      <c r="Y86" s="16">
        <v>1.2</v>
      </c>
      <c r="Z86" s="16">
        <v>0.25</v>
      </c>
      <c r="AA86" s="16" t="s">
        <v>21</v>
      </c>
      <c r="AB86" s="20">
        <v>43958</v>
      </c>
      <c r="AC86" s="20">
        <v>43946</v>
      </c>
      <c r="AD86" s="20">
        <v>43958</v>
      </c>
      <c r="AE86" s="20">
        <v>43956</v>
      </c>
      <c r="AF86" s="20">
        <v>43956</v>
      </c>
      <c r="AG86" s="20" t="s">
        <v>335</v>
      </c>
      <c r="AH86" s="104">
        <v>1</v>
      </c>
      <c r="AI86" s="105">
        <v>0.96</v>
      </c>
      <c r="AJ86" s="105">
        <v>1</v>
      </c>
      <c r="AK86" s="20" t="s">
        <v>165</v>
      </c>
      <c r="AL86" s="16" t="s">
        <v>444</v>
      </c>
      <c r="AM86" s="16"/>
      <c r="AN86" s="16"/>
    </row>
    <row r="87" spans="2:40" x14ac:dyDescent="0.25">
      <c r="B87" s="45">
        <f t="shared" si="10"/>
        <v>40</v>
      </c>
      <c r="C87" s="17">
        <v>20200427</v>
      </c>
      <c r="D87" s="16" t="s">
        <v>3</v>
      </c>
      <c r="E87" s="92" t="s">
        <v>503</v>
      </c>
      <c r="F87" s="18" t="s">
        <v>259</v>
      </c>
      <c r="G87" s="57" t="s">
        <v>61</v>
      </c>
      <c r="H87" s="16" t="s">
        <v>234</v>
      </c>
      <c r="I87" s="16" t="s">
        <v>297</v>
      </c>
      <c r="J87" s="16" t="s">
        <v>121</v>
      </c>
      <c r="K87" s="57" t="s">
        <v>61</v>
      </c>
      <c r="L87" s="57" t="s">
        <v>61</v>
      </c>
      <c r="M87" s="57" t="s">
        <v>61</v>
      </c>
      <c r="N87" s="16" t="s">
        <v>148</v>
      </c>
      <c r="O87" s="18" t="s">
        <v>61</v>
      </c>
      <c r="P87" s="18" t="s">
        <v>317</v>
      </c>
      <c r="Q87" s="19"/>
      <c r="R87" s="17" t="s">
        <v>97</v>
      </c>
      <c r="S87" s="16" t="s">
        <v>156</v>
      </c>
      <c r="T87" s="16"/>
      <c r="U87" s="16"/>
      <c r="V87" s="16">
        <v>103</v>
      </c>
      <c r="W87" s="16">
        <f>ROUND(IF(D87=Table!$C$3,Y87*Table!$C$4/8,Y87*Table!$D$4/8),3)</f>
        <v>6.75</v>
      </c>
      <c r="X87" s="16">
        <f t="shared" si="13"/>
        <v>6.75</v>
      </c>
      <c r="Y87" s="16">
        <v>0.12</v>
      </c>
      <c r="Z87" s="16">
        <v>0.1</v>
      </c>
      <c r="AA87" s="16" t="s">
        <v>21</v>
      </c>
      <c r="AB87" s="20">
        <v>43958</v>
      </c>
      <c r="AC87" s="20">
        <v>43946</v>
      </c>
      <c r="AD87" s="20">
        <v>43958</v>
      </c>
      <c r="AE87" s="20">
        <v>43955</v>
      </c>
      <c r="AF87" s="20">
        <v>43955</v>
      </c>
      <c r="AG87" s="20" t="s">
        <v>335</v>
      </c>
      <c r="AH87" s="104">
        <v>1</v>
      </c>
      <c r="AI87" s="105">
        <v>1</v>
      </c>
      <c r="AJ87" s="105">
        <v>1</v>
      </c>
      <c r="AK87" s="20" t="s">
        <v>165</v>
      </c>
      <c r="AL87" s="16"/>
      <c r="AM87" s="16"/>
      <c r="AN87" s="16"/>
    </row>
    <row r="88" spans="2:40" x14ac:dyDescent="0.25">
      <c r="B88" s="45">
        <f t="shared" si="10"/>
        <v>41</v>
      </c>
      <c r="C88" s="17">
        <v>20200427</v>
      </c>
      <c r="D88" s="16" t="s">
        <v>3</v>
      </c>
      <c r="E88" s="92" t="s">
        <v>503</v>
      </c>
      <c r="F88" s="18" t="s">
        <v>259</v>
      </c>
      <c r="G88" s="57" t="s">
        <v>61</v>
      </c>
      <c r="H88" s="16" t="s">
        <v>235</v>
      </c>
      <c r="I88" s="16" t="s">
        <v>298</v>
      </c>
      <c r="J88" s="16" t="s">
        <v>121</v>
      </c>
      <c r="K88" s="57" t="s">
        <v>61</v>
      </c>
      <c r="L88" s="57" t="s">
        <v>61</v>
      </c>
      <c r="M88" s="57" t="s">
        <v>61</v>
      </c>
      <c r="N88" s="16" t="s">
        <v>148</v>
      </c>
      <c r="O88" s="18" t="s">
        <v>61</v>
      </c>
      <c r="P88" s="18" t="s">
        <v>317</v>
      </c>
      <c r="Q88" s="19"/>
      <c r="R88" s="17" t="s">
        <v>97</v>
      </c>
      <c r="S88" s="16" t="s">
        <v>156</v>
      </c>
      <c r="T88" s="16"/>
      <c r="U88" s="16"/>
      <c r="V88" s="16">
        <v>59</v>
      </c>
      <c r="W88" s="16">
        <f>ROUND(IF(D88=Table!$C$3,Y88*Table!$C$4/8,Y88*Table!$D$4/8),3)</f>
        <v>6.75</v>
      </c>
      <c r="X88" s="16">
        <f t="shared" si="13"/>
        <v>6.75</v>
      </c>
      <c r="Y88" s="16">
        <v>0.12</v>
      </c>
      <c r="Z88" s="16">
        <v>0.1</v>
      </c>
      <c r="AA88" s="16" t="s">
        <v>21</v>
      </c>
      <c r="AB88" s="20">
        <v>43958</v>
      </c>
      <c r="AC88" s="20">
        <v>43946</v>
      </c>
      <c r="AD88" s="20">
        <v>43958</v>
      </c>
      <c r="AE88" s="20">
        <v>43955</v>
      </c>
      <c r="AF88" s="20">
        <v>43955</v>
      </c>
      <c r="AG88" s="20" t="s">
        <v>335</v>
      </c>
      <c r="AH88" s="104">
        <v>1</v>
      </c>
      <c r="AI88" s="105">
        <v>1</v>
      </c>
      <c r="AJ88" s="105">
        <v>1</v>
      </c>
      <c r="AK88" s="20" t="s">
        <v>165</v>
      </c>
      <c r="AL88" s="16"/>
      <c r="AM88" s="16"/>
      <c r="AN88" s="16"/>
    </row>
    <row r="89" spans="2:40" x14ac:dyDescent="0.25">
      <c r="B89" s="45">
        <f t="shared" si="10"/>
        <v>42</v>
      </c>
      <c r="C89" s="17">
        <v>20200427</v>
      </c>
      <c r="D89" s="16" t="s">
        <v>3</v>
      </c>
      <c r="E89" s="92" t="s">
        <v>503</v>
      </c>
      <c r="F89" s="18" t="s">
        <v>259</v>
      </c>
      <c r="G89" s="57" t="s">
        <v>61</v>
      </c>
      <c r="H89" s="16" t="s">
        <v>236</v>
      </c>
      <c r="I89" s="16" t="s">
        <v>299</v>
      </c>
      <c r="J89" s="16" t="s">
        <v>121</v>
      </c>
      <c r="K89" s="57" t="s">
        <v>61</v>
      </c>
      <c r="L89" s="57" t="s">
        <v>61</v>
      </c>
      <c r="M89" s="57" t="s">
        <v>61</v>
      </c>
      <c r="N89" s="16" t="s">
        <v>148</v>
      </c>
      <c r="O89" s="18" t="s">
        <v>61</v>
      </c>
      <c r="P89" s="18" t="s">
        <v>317</v>
      </c>
      <c r="Q89" s="19"/>
      <c r="R89" s="17" t="s">
        <v>97</v>
      </c>
      <c r="S89" s="16" t="s">
        <v>156</v>
      </c>
      <c r="T89" s="16"/>
      <c r="U89" s="16"/>
      <c r="V89" s="16">
        <v>101</v>
      </c>
      <c r="W89" s="16">
        <f>ROUND(IF(D89=Table!$C$3,Y89*Table!$C$4/8,Y89*Table!$D$4/8),3)</f>
        <v>67.5</v>
      </c>
      <c r="X89" s="16">
        <f t="shared" si="13"/>
        <v>67.5</v>
      </c>
      <c r="Y89" s="16">
        <v>1.2</v>
      </c>
      <c r="Z89" s="16">
        <v>1</v>
      </c>
      <c r="AA89" s="16" t="s">
        <v>21</v>
      </c>
      <c r="AB89" s="20">
        <v>43958</v>
      </c>
      <c r="AC89" s="20">
        <v>43946</v>
      </c>
      <c r="AD89" s="20">
        <v>43958</v>
      </c>
      <c r="AE89" s="20">
        <v>43955</v>
      </c>
      <c r="AF89" s="20">
        <v>43955</v>
      </c>
      <c r="AG89" s="20" t="s">
        <v>335</v>
      </c>
      <c r="AH89" s="104">
        <v>1</v>
      </c>
      <c r="AI89" s="105">
        <v>0.9</v>
      </c>
      <c r="AJ89" s="105">
        <v>0.5</v>
      </c>
      <c r="AK89" s="20" t="s">
        <v>165</v>
      </c>
      <c r="AL89" s="16" t="s">
        <v>445</v>
      </c>
      <c r="AM89" s="16" t="s">
        <v>422</v>
      </c>
      <c r="AN89" s="16"/>
    </row>
    <row r="90" spans="2:40" x14ac:dyDescent="0.25">
      <c r="B90" s="45">
        <f t="shared" si="10"/>
        <v>43</v>
      </c>
      <c r="C90" s="17">
        <v>20200427</v>
      </c>
      <c r="D90" s="16" t="s">
        <v>3</v>
      </c>
      <c r="E90" s="92" t="s">
        <v>503</v>
      </c>
      <c r="F90" s="18" t="s">
        <v>259</v>
      </c>
      <c r="G90" s="57" t="s">
        <v>61</v>
      </c>
      <c r="H90" s="16" t="s">
        <v>237</v>
      </c>
      <c r="I90" s="16" t="s">
        <v>300</v>
      </c>
      <c r="J90" s="16" t="s">
        <v>121</v>
      </c>
      <c r="K90" s="57" t="s">
        <v>61</v>
      </c>
      <c r="L90" s="57" t="s">
        <v>61</v>
      </c>
      <c r="M90" s="57" t="s">
        <v>61</v>
      </c>
      <c r="N90" s="16" t="s">
        <v>148</v>
      </c>
      <c r="O90" s="18" t="s">
        <v>61</v>
      </c>
      <c r="P90" s="18" t="s">
        <v>317</v>
      </c>
      <c r="Q90" s="19"/>
      <c r="R90" s="17" t="s">
        <v>97</v>
      </c>
      <c r="S90" s="16" t="s">
        <v>156</v>
      </c>
      <c r="T90" s="16"/>
      <c r="U90" s="16"/>
      <c r="V90" s="16">
        <v>626</v>
      </c>
      <c r="W90" s="16">
        <f>ROUND(IF(D90=Table!$C$3,Y90*Table!$C$4/8,Y90*Table!$D$4/8),3)</f>
        <v>6.75</v>
      </c>
      <c r="X90" s="16">
        <f t="shared" si="13"/>
        <v>6.75</v>
      </c>
      <c r="Y90" s="16">
        <v>0.12</v>
      </c>
      <c r="Z90" s="16">
        <v>0.1</v>
      </c>
      <c r="AA90" s="16" t="s">
        <v>21</v>
      </c>
      <c r="AB90" s="20">
        <v>43958</v>
      </c>
      <c r="AC90" s="20">
        <v>43946</v>
      </c>
      <c r="AD90" s="20">
        <v>43958</v>
      </c>
      <c r="AE90" s="20">
        <v>43955</v>
      </c>
      <c r="AF90" s="20">
        <v>43955</v>
      </c>
      <c r="AG90" s="20" t="s">
        <v>335</v>
      </c>
      <c r="AH90" s="104">
        <v>1</v>
      </c>
      <c r="AI90" s="105">
        <v>1</v>
      </c>
      <c r="AJ90" s="105">
        <v>0.83</v>
      </c>
      <c r="AK90" s="20" t="s">
        <v>165</v>
      </c>
      <c r="AL90" s="16"/>
      <c r="AM90" s="16"/>
      <c r="AN90" s="16"/>
    </row>
    <row r="91" spans="2:40" x14ac:dyDescent="0.25">
      <c r="B91" s="45">
        <f t="shared" si="10"/>
        <v>44</v>
      </c>
      <c r="C91" s="17">
        <v>20200427</v>
      </c>
      <c r="D91" s="16" t="s">
        <v>3</v>
      </c>
      <c r="E91" s="92" t="s">
        <v>503</v>
      </c>
      <c r="F91" s="18" t="s">
        <v>259</v>
      </c>
      <c r="G91" s="57" t="s">
        <v>61</v>
      </c>
      <c r="H91" s="16" t="s">
        <v>238</v>
      </c>
      <c r="I91" s="16" t="s">
        <v>301</v>
      </c>
      <c r="J91" s="16" t="s">
        <v>121</v>
      </c>
      <c r="K91" s="57" t="s">
        <v>61</v>
      </c>
      <c r="L91" s="57" t="s">
        <v>61</v>
      </c>
      <c r="M91" s="57" t="s">
        <v>61</v>
      </c>
      <c r="N91" s="16" t="s">
        <v>148</v>
      </c>
      <c r="O91" s="18" t="s">
        <v>61</v>
      </c>
      <c r="P91" s="18" t="s">
        <v>317</v>
      </c>
      <c r="Q91" s="19"/>
      <c r="R91" s="17" t="s">
        <v>97</v>
      </c>
      <c r="S91" s="16" t="s">
        <v>156</v>
      </c>
      <c r="T91" s="16"/>
      <c r="U91" s="16"/>
      <c r="V91" s="16">
        <v>90</v>
      </c>
      <c r="W91" s="16">
        <f>ROUND(IF(D91=Table!$C$3,Y91*Table!$C$4/8,Y91*Table!$D$4/8),3)</f>
        <v>95.625</v>
      </c>
      <c r="X91" s="16">
        <f t="shared" si="13"/>
        <v>95.625</v>
      </c>
      <c r="Y91" s="16">
        <v>1.7</v>
      </c>
      <c r="Z91" s="16">
        <v>3</v>
      </c>
      <c r="AA91" s="16" t="s">
        <v>21</v>
      </c>
      <c r="AB91" s="20">
        <v>43958</v>
      </c>
      <c r="AC91" s="20">
        <v>43946</v>
      </c>
      <c r="AD91" s="20">
        <v>43958</v>
      </c>
      <c r="AE91" s="20">
        <v>43956</v>
      </c>
      <c r="AF91" s="20">
        <v>43956</v>
      </c>
      <c r="AG91" s="20" t="s">
        <v>335</v>
      </c>
      <c r="AH91" s="104">
        <v>1</v>
      </c>
      <c r="AI91" s="105">
        <v>1</v>
      </c>
      <c r="AJ91" s="105">
        <v>0.9</v>
      </c>
      <c r="AK91" s="20" t="s">
        <v>165</v>
      </c>
      <c r="AL91" s="16"/>
      <c r="AM91" s="16"/>
      <c r="AN91" s="16"/>
    </row>
    <row r="92" spans="2:40" x14ac:dyDescent="0.25">
      <c r="B92" s="45">
        <f t="shared" si="10"/>
        <v>45</v>
      </c>
      <c r="C92" s="17">
        <v>20200427</v>
      </c>
      <c r="D92" s="16" t="s">
        <v>3</v>
      </c>
      <c r="E92" s="92" t="s">
        <v>503</v>
      </c>
      <c r="F92" s="18" t="s">
        <v>259</v>
      </c>
      <c r="G92" s="57" t="s">
        <v>61</v>
      </c>
      <c r="H92" s="16" t="s">
        <v>239</v>
      </c>
      <c r="I92" s="16" t="s">
        <v>302</v>
      </c>
      <c r="J92" s="16" t="s">
        <v>121</v>
      </c>
      <c r="K92" s="57" t="s">
        <v>61</v>
      </c>
      <c r="L92" s="57" t="s">
        <v>61</v>
      </c>
      <c r="M92" s="57" t="s">
        <v>61</v>
      </c>
      <c r="N92" s="16" t="s">
        <v>148</v>
      </c>
      <c r="O92" s="18" t="s">
        <v>61</v>
      </c>
      <c r="P92" s="18" t="s">
        <v>317</v>
      </c>
      <c r="Q92" s="19"/>
      <c r="R92" s="17" t="s">
        <v>98</v>
      </c>
      <c r="S92" s="16" t="s">
        <v>66</v>
      </c>
      <c r="T92" s="16"/>
      <c r="U92" s="16"/>
      <c r="V92" s="16">
        <v>59</v>
      </c>
      <c r="W92" s="16">
        <f>ROUND(IF(D92=Table!$C$3,Y92*Table!$C$4/8,Y92*Table!$D$4/8),3)</f>
        <v>67.5</v>
      </c>
      <c r="X92" s="16">
        <f t="shared" si="13"/>
        <v>67.5</v>
      </c>
      <c r="Y92" s="16">
        <v>1.2</v>
      </c>
      <c r="Z92" s="16">
        <v>1</v>
      </c>
      <c r="AA92" s="16" t="s">
        <v>21</v>
      </c>
      <c r="AB92" s="20">
        <v>43958</v>
      </c>
      <c r="AC92" s="20">
        <v>43946</v>
      </c>
      <c r="AD92" s="20">
        <v>43958</v>
      </c>
      <c r="AE92" s="20">
        <v>43956</v>
      </c>
      <c r="AF92" s="20">
        <v>43956</v>
      </c>
      <c r="AG92" s="20" t="s">
        <v>335</v>
      </c>
      <c r="AH92" s="99">
        <v>1</v>
      </c>
      <c r="AI92" s="32">
        <v>0.96</v>
      </c>
      <c r="AJ92" s="32">
        <v>1</v>
      </c>
      <c r="AK92" s="20" t="s">
        <v>165</v>
      </c>
      <c r="AL92" s="100" t="s">
        <v>444</v>
      </c>
      <c r="AM92" s="16"/>
      <c r="AN92" s="16"/>
    </row>
    <row r="93" spans="2:40" x14ac:dyDescent="0.25">
      <c r="B93" s="45">
        <f t="shared" si="10"/>
        <v>46</v>
      </c>
      <c r="C93" s="17">
        <v>20200427</v>
      </c>
      <c r="D93" s="16" t="s">
        <v>3</v>
      </c>
      <c r="E93" s="92" t="s">
        <v>503</v>
      </c>
      <c r="F93" s="18" t="s">
        <v>259</v>
      </c>
      <c r="G93" s="57" t="s">
        <v>61</v>
      </c>
      <c r="H93" s="16" t="s">
        <v>240</v>
      </c>
      <c r="I93" s="16" t="s">
        <v>152</v>
      </c>
      <c r="J93" s="16" t="s">
        <v>121</v>
      </c>
      <c r="K93" s="57" t="s">
        <v>61</v>
      </c>
      <c r="L93" s="57" t="s">
        <v>61</v>
      </c>
      <c r="M93" s="57" t="s">
        <v>61</v>
      </c>
      <c r="N93" s="16" t="s">
        <v>148</v>
      </c>
      <c r="O93" s="18" t="s">
        <v>61</v>
      </c>
      <c r="P93" s="18" t="s">
        <v>317</v>
      </c>
      <c r="Q93" s="19"/>
      <c r="R93" s="17" t="s">
        <v>98</v>
      </c>
      <c r="S93" s="16" t="s">
        <v>66</v>
      </c>
      <c r="T93" s="16"/>
      <c r="U93" s="16"/>
      <c r="V93" s="16">
        <v>459</v>
      </c>
      <c r="W93" s="16">
        <f>ROUND(IF(D93=Table!$C$3,Y93*Table!$C$4/8,Y93*Table!$D$4/8),3)</f>
        <v>6.75</v>
      </c>
      <c r="X93" s="16">
        <f t="shared" si="13"/>
        <v>6.75</v>
      </c>
      <c r="Y93" s="16">
        <v>0.12</v>
      </c>
      <c r="Z93" s="16">
        <v>0.5</v>
      </c>
      <c r="AA93" s="16" t="s">
        <v>21</v>
      </c>
      <c r="AB93" s="20">
        <v>43958</v>
      </c>
      <c r="AC93" s="20">
        <v>43946</v>
      </c>
      <c r="AD93" s="20">
        <v>43958</v>
      </c>
      <c r="AE93" s="20">
        <v>43956</v>
      </c>
      <c r="AF93" s="20">
        <v>43956</v>
      </c>
      <c r="AG93" s="20" t="s">
        <v>335</v>
      </c>
      <c r="AH93" s="99">
        <v>1</v>
      </c>
      <c r="AI93" s="32">
        <v>1</v>
      </c>
      <c r="AJ93" s="32">
        <v>1</v>
      </c>
      <c r="AK93" s="20" t="s">
        <v>165</v>
      </c>
      <c r="AL93" s="16"/>
      <c r="AM93" s="16"/>
      <c r="AN93" s="16"/>
    </row>
    <row r="94" spans="2:40" x14ac:dyDescent="0.25">
      <c r="B94" s="45">
        <f t="shared" si="10"/>
        <v>47</v>
      </c>
      <c r="C94" s="17">
        <v>20200427</v>
      </c>
      <c r="D94" s="16" t="s">
        <v>3</v>
      </c>
      <c r="E94" s="92" t="s">
        <v>503</v>
      </c>
      <c r="F94" s="18" t="s">
        <v>259</v>
      </c>
      <c r="G94" s="57" t="s">
        <v>61</v>
      </c>
      <c r="H94" s="16" t="s">
        <v>241</v>
      </c>
      <c r="I94" s="16" t="s">
        <v>303</v>
      </c>
      <c r="J94" s="16" t="s">
        <v>121</v>
      </c>
      <c r="K94" s="57" t="s">
        <v>61</v>
      </c>
      <c r="L94" s="57" t="s">
        <v>61</v>
      </c>
      <c r="M94" s="57" t="s">
        <v>61</v>
      </c>
      <c r="N94" s="16" t="s">
        <v>148</v>
      </c>
      <c r="O94" s="18" t="s">
        <v>61</v>
      </c>
      <c r="P94" s="18" t="s">
        <v>317</v>
      </c>
      <c r="Q94" s="19"/>
      <c r="R94" s="17" t="s">
        <v>98</v>
      </c>
      <c r="S94" s="16" t="s">
        <v>66</v>
      </c>
      <c r="T94" s="16"/>
      <c r="U94" s="16"/>
      <c r="V94" s="16">
        <v>72</v>
      </c>
      <c r="W94" s="16">
        <f>ROUND(IF(D94=Table!$C$3,Y94*Table!$C$4/8,Y94*Table!$D$4/8),3)</f>
        <v>84.15</v>
      </c>
      <c r="X94" s="16">
        <f t="shared" si="13"/>
        <v>84.15</v>
      </c>
      <c r="Y94" s="16">
        <v>1.496</v>
      </c>
      <c r="Z94" s="16">
        <v>1</v>
      </c>
      <c r="AA94" s="16" t="s">
        <v>21</v>
      </c>
      <c r="AB94" s="20">
        <v>43958</v>
      </c>
      <c r="AC94" s="20">
        <v>43946</v>
      </c>
      <c r="AD94" s="20">
        <v>43958</v>
      </c>
      <c r="AE94" s="20">
        <v>43956</v>
      </c>
      <c r="AF94" s="20">
        <v>43956</v>
      </c>
      <c r="AG94" s="20" t="s">
        <v>335</v>
      </c>
      <c r="AH94" s="99">
        <v>1</v>
      </c>
      <c r="AI94" s="32">
        <v>1</v>
      </c>
      <c r="AJ94" s="32">
        <v>1</v>
      </c>
      <c r="AK94" s="20" t="s">
        <v>165</v>
      </c>
      <c r="AL94" s="16"/>
      <c r="AM94" s="16"/>
      <c r="AN94" s="16"/>
    </row>
    <row r="95" spans="2:40" x14ac:dyDescent="0.25">
      <c r="B95" s="45">
        <f t="shared" si="10"/>
        <v>48</v>
      </c>
      <c r="C95" s="17">
        <v>20200427</v>
      </c>
      <c r="D95" s="16" t="s">
        <v>3</v>
      </c>
      <c r="E95" s="92" t="s">
        <v>503</v>
      </c>
      <c r="F95" s="18" t="s">
        <v>259</v>
      </c>
      <c r="G95" s="57" t="s">
        <v>61</v>
      </c>
      <c r="H95" s="16" t="s">
        <v>242</v>
      </c>
      <c r="I95" s="16" t="s">
        <v>153</v>
      </c>
      <c r="J95" s="16" t="s">
        <v>121</v>
      </c>
      <c r="K95" s="57" t="s">
        <v>61</v>
      </c>
      <c r="L95" s="57" t="s">
        <v>61</v>
      </c>
      <c r="M95" s="57" t="s">
        <v>61</v>
      </c>
      <c r="N95" s="16" t="s">
        <v>148</v>
      </c>
      <c r="O95" s="18" t="s">
        <v>61</v>
      </c>
      <c r="P95" s="18" t="s">
        <v>317</v>
      </c>
      <c r="Q95" s="19"/>
      <c r="R95" s="17" t="s">
        <v>98</v>
      </c>
      <c r="S95" s="16" t="s">
        <v>66</v>
      </c>
      <c r="T95" s="16"/>
      <c r="U95" s="16"/>
      <c r="V95" s="16">
        <v>89</v>
      </c>
      <c r="W95" s="16">
        <f>ROUND(IF(D95=Table!$C$3,Y95*Table!$C$4/8,Y95*Table!$D$4/8),3)</f>
        <v>76.5</v>
      </c>
      <c r="X95" s="16">
        <f t="shared" si="13"/>
        <v>76.5</v>
      </c>
      <c r="Y95" s="16">
        <v>1.36</v>
      </c>
      <c r="Z95" s="16">
        <v>1</v>
      </c>
      <c r="AA95" s="16" t="s">
        <v>21</v>
      </c>
      <c r="AB95" s="20">
        <v>43958</v>
      </c>
      <c r="AC95" s="20">
        <v>43946</v>
      </c>
      <c r="AD95" s="20">
        <v>43958</v>
      </c>
      <c r="AE95" s="20">
        <v>43956</v>
      </c>
      <c r="AF95" s="20">
        <v>43956</v>
      </c>
      <c r="AG95" s="20" t="s">
        <v>335</v>
      </c>
      <c r="AH95" s="99">
        <v>1</v>
      </c>
      <c r="AI95" s="32">
        <v>0.9</v>
      </c>
      <c r="AJ95" s="32">
        <v>0.5</v>
      </c>
      <c r="AK95" s="20" t="s">
        <v>165</v>
      </c>
      <c r="AL95" s="101" t="s">
        <v>445</v>
      </c>
      <c r="AM95" s="16"/>
      <c r="AN95" s="16"/>
    </row>
    <row r="96" spans="2:40" x14ac:dyDescent="0.25">
      <c r="B96" s="45">
        <f t="shared" si="10"/>
        <v>49</v>
      </c>
      <c r="C96" s="17">
        <v>20200427</v>
      </c>
      <c r="D96" s="16" t="s">
        <v>3</v>
      </c>
      <c r="E96" s="92" t="s">
        <v>503</v>
      </c>
      <c r="F96" s="18" t="s">
        <v>259</v>
      </c>
      <c r="G96" s="57" t="s">
        <v>61</v>
      </c>
      <c r="H96" s="16" t="s">
        <v>243</v>
      </c>
      <c r="I96" s="16" t="s">
        <v>304</v>
      </c>
      <c r="J96" s="16" t="s">
        <v>121</v>
      </c>
      <c r="K96" s="57" t="s">
        <v>61</v>
      </c>
      <c r="L96" s="57" t="s">
        <v>61</v>
      </c>
      <c r="M96" s="57" t="s">
        <v>61</v>
      </c>
      <c r="N96" s="16" t="s">
        <v>148</v>
      </c>
      <c r="O96" s="18" t="s">
        <v>61</v>
      </c>
      <c r="P96" s="18" t="s">
        <v>317</v>
      </c>
      <c r="Q96" s="19"/>
      <c r="R96" s="17" t="s">
        <v>98</v>
      </c>
      <c r="S96" s="16" t="s">
        <v>66</v>
      </c>
      <c r="T96" s="16"/>
      <c r="U96" s="16"/>
      <c r="V96" s="16">
        <v>171</v>
      </c>
      <c r="W96" s="16">
        <f>ROUND(IF(D96=Table!$C$3,Y96*Table!$C$4/8,Y96*Table!$D$4/8),3)</f>
        <v>114.75</v>
      </c>
      <c r="X96" s="16">
        <f t="shared" si="13"/>
        <v>114.75</v>
      </c>
      <c r="Y96" s="16">
        <v>2.04</v>
      </c>
      <c r="Z96" s="16">
        <v>1</v>
      </c>
      <c r="AA96" s="16" t="s">
        <v>21</v>
      </c>
      <c r="AB96" s="20">
        <v>43958</v>
      </c>
      <c r="AC96" s="20">
        <v>43946</v>
      </c>
      <c r="AD96" s="20">
        <v>43958</v>
      </c>
      <c r="AE96" s="20">
        <v>43956</v>
      </c>
      <c r="AF96" s="20">
        <v>43956</v>
      </c>
      <c r="AG96" s="20" t="s">
        <v>335</v>
      </c>
      <c r="AH96" s="99">
        <v>1</v>
      </c>
      <c r="AI96" s="32">
        <v>1</v>
      </c>
      <c r="AJ96" s="32">
        <v>0.83</v>
      </c>
      <c r="AK96" s="20" t="s">
        <v>165</v>
      </c>
      <c r="AL96" s="16"/>
      <c r="AM96" s="16"/>
      <c r="AN96" s="16"/>
    </row>
    <row r="97" spans="2:40" x14ac:dyDescent="0.25">
      <c r="B97" s="45">
        <f t="shared" si="10"/>
        <v>50</v>
      </c>
      <c r="C97" s="17">
        <v>20200427</v>
      </c>
      <c r="D97" s="16" t="s">
        <v>3</v>
      </c>
      <c r="E97" s="92" t="s">
        <v>503</v>
      </c>
      <c r="F97" s="18" t="s">
        <v>259</v>
      </c>
      <c r="G97" s="57" t="s">
        <v>61</v>
      </c>
      <c r="H97" s="16" t="s">
        <v>244</v>
      </c>
      <c r="I97" s="16" t="s">
        <v>305</v>
      </c>
      <c r="J97" s="16" t="s">
        <v>121</v>
      </c>
      <c r="K97" s="57" t="s">
        <v>61</v>
      </c>
      <c r="L97" s="57" t="s">
        <v>61</v>
      </c>
      <c r="M97" s="57" t="s">
        <v>61</v>
      </c>
      <c r="N97" s="16" t="s">
        <v>148</v>
      </c>
      <c r="O97" s="18" t="s">
        <v>61</v>
      </c>
      <c r="P97" s="18" t="s">
        <v>317</v>
      </c>
      <c r="Q97" s="19"/>
      <c r="R97" s="17" t="s">
        <v>98</v>
      </c>
      <c r="S97" s="16" t="s">
        <v>66</v>
      </c>
      <c r="T97" s="16"/>
      <c r="U97" s="16"/>
      <c r="V97" s="16">
        <v>97</v>
      </c>
      <c r="W97" s="16">
        <f>ROUND(IF(D97=Table!$C$3,Y97*Table!$C$4/8,Y97*Table!$D$4/8),3)</f>
        <v>95.625</v>
      </c>
      <c r="X97" s="16">
        <f t="shared" si="13"/>
        <v>95.625</v>
      </c>
      <c r="Y97" s="16">
        <v>1.7</v>
      </c>
      <c r="Z97" s="16">
        <v>1</v>
      </c>
      <c r="AA97" s="16" t="s">
        <v>21</v>
      </c>
      <c r="AB97" s="20">
        <v>43958</v>
      </c>
      <c r="AC97" s="20">
        <v>43946</v>
      </c>
      <c r="AD97" s="20">
        <v>43958</v>
      </c>
      <c r="AE97" s="20">
        <v>43956</v>
      </c>
      <c r="AF97" s="20">
        <v>43956</v>
      </c>
      <c r="AG97" s="20" t="s">
        <v>335</v>
      </c>
      <c r="AH97" s="99">
        <v>1</v>
      </c>
      <c r="AI97" s="32">
        <v>0.97</v>
      </c>
      <c r="AJ97" s="32">
        <v>1</v>
      </c>
      <c r="AK97" s="20" t="s">
        <v>165</v>
      </c>
      <c r="AL97" s="100" t="s">
        <v>446</v>
      </c>
      <c r="AM97" s="16"/>
      <c r="AN97" s="16"/>
    </row>
    <row r="98" spans="2:40" ht="30" x14ac:dyDescent="0.25">
      <c r="B98" s="45">
        <f t="shared" si="10"/>
        <v>51</v>
      </c>
      <c r="C98" s="17">
        <v>20200427</v>
      </c>
      <c r="D98" s="16" t="s">
        <v>3</v>
      </c>
      <c r="E98" s="92" t="s">
        <v>503</v>
      </c>
      <c r="F98" s="18" t="s">
        <v>259</v>
      </c>
      <c r="G98" s="57" t="s">
        <v>61</v>
      </c>
      <c r="H98" s="16" t="s">
        <v>245</v>
      </c>
      <c r="I98" s="16" t="s">
        <v>306</v>
      </c>
      <c r="J98" s="16" t="s">
        <v>121</v>
      </c>
      <c r="K98" s="57" t="s">
        <v>61</v>
      </c>
      <c r="L98" s="57" t="s">
        <v>61</v>
      </c>
      <c r="M98" s="57" t="s">
        <v>61</v>
      </c>
      <c r="N98" s="16" t="s">
        <v>148</v>
      </c>
      <c r="O98" s="18" t="s">
        <v>61</v>
      </c>
      <c r="P98" s="18" t="s">
        <v>317</v>
      </c>
      <c r="Q98" s="19"/>
      <c r="R98" s="17" t="s">
        <v>97</v>
      </c>
      <c r="S98" s="16" t="s">
        <v>156</v>
      </c>
      <c r="T98" s="16"/>
      <c r="U98" s="16"/>
      <c r="V98" s="16">
        <v>91</v>
      </c>
      <c r="W98" s="16">
        <f>ROUND(IF(D98=Table!$C$3,Y98*Table!$C$4/8,Y98*Table!$D$4/8),3)</f>
        <v>107.1</v>
      </c>
      <c r="X98" s="16">
        <f t="shared" si="13"/>
        <v>107.1</v>
      </c>
      <c r="Y98" s="16">
        <v>1.9040000000000001</v>
      </c>
      <c r="Z98" s="16">
        <v>2</v>
      </c>
      <c r="AA98" s="16" t="s">
        <v>21</v>
      </c>
      <c r="AB98" s="20">
        <v>43958</v>
      </c>
      <c r="AC98" s="20">
        <v>43946</v>
      </c>
      <c r="AD98" s="20">
        <v>43958</v>
      </c>
      <c r="AE98" s="20">
        <v>43955</v>
      </c>
      <c r="AF98" s="20">
        <v>43955</v>
      </c>
      <c r="AG98" s="20" t="s">
        <v>335</v>
      </c>
      <c r="AH98" s="99">
        <v>1</v>
      </c>
      <c r="AI98" s="32">
        <v>1</v>
      </c>
      <c r="AJ98" s="32">
        <v>1</v>
      </c>
      <c r="AK98" s="20" t="s">
        <v>165</v>
      </c>
      <c r="AL98" s="113" t="s">
        <v>611</v>
      </c>
      <c r="AM98" s="16"/>
      <c r="AN98" s="16"/>
    </row>
    <row r="99" spans="2:40" x14ac:dyDescent="0.25">
      <c r="B99" s="45">
        <f t="shared" si="10"/>
        <v>52</v>
      </c>
      <c r="C99" s="17">
        <v>20200427</v>
      </c>
      <c r="D99" s="16" t="s">
        <v>3</v>
      </c>
      <c r="E99" s="92" t="s">
        <v>503</v>
      </c>
      <c r="F99" s="18" t="s">
        <v>259</v>
      </c>
      <c r="G99" s="57" t="s">
        <v>61</v>
      </c>
      <c r="H99" s="16" t="s">
        <v>246</v>
      </c>
      <c r="I99" s="16" t="s">
        <v>307</v>
      </c>
      <c r="J99" s="16" t="s">
        <v>121</v>
      </c>
      <c r="K99" s="57" t="s">
        <v>61</v>
      </c>
      <c r="L99" s="57" t="s">
        <v>61</v>
      </c>
      <c r="M99" s="57" t="s">
        <v>61</v>
      </c>
      <c r="N99" s="16" t="s">
        <v>148</v>
      </c>
      <c r="O99" s="18" t="s">
        <v>61</v>
      </c>
      <c r="P99" s="18" t="s">
        <v>317</v>
      </c>
      <c r="Q99" s="19"/>
      <c r="R99" s="17" t="s">
        <v>98</v>
      </c>
      <c r="S99" s="16" t="s">
        <v>66</v>
      </c>
      <c r="T99" s="16"/>
      <c r="U99" s="16"/>
      <c r="V99" s="16">
        <v>66</v>
      </c>
      <c r="W99" s="16">
        <f>ROUND(IF(D99=Table!$C$3,Y99*Table!$C$4/8,Y99*Table!$D$4/8),3)</f>
        <v>67.5</v>
      </c>
      <c r="X99" s="16">
        <f t="shared" si="13"/>
        <v>67.5</v>
      </c>
      <c r="Y99" s="16">
        <v>1.2</v>
      </c>
      <c r="Z99" s="16">
        <v>1</v>
      </c>
      <c r="AA99" s="16" t="s">
        <v>21</v>
      </c>
      <c r="AB99" s="20">
        <v>43958</v>
      </c>
      <c r="AC99" s="20">
        <v>43946</v>
      </c>
      <c r="AD99" s="20">
        <v>43958</v>
      </c>
      <c r="AE99" s="20">
        <v>43950</v>
      </c>
      <c r="AF99" s="20">
        <v>43950</v>
      </c>
      <c r="AG99" s="20" t="s">
        <v>335</v>
      </c>
      <c r="AH99" s="99">
        <v>1</v>
      </c>
      <c r="AI99" s="32">
        <v>1</v>
      </c>
      <c r="AJ99" s="32">
        <v>1</v>
      </c>
      <c r="AK99" s="20" t="s">
        <v>165</v>
      </c>
      <c r="AL99" s="16"/>
      <c r="AM99" s="16"/>
      <c r="AN99" s="16"/>
    </row>
    <row r="100" spans="2:40" x14ac:dyDescent="0.25">
      <c r="B100" s="45">
        <f t="shared" si="10"/>
        <v>53</v>
      </c>
      <c r="C100" s="17">
        <v>20200427</v>
      </c>
      <c r="D100" s="16" t="s">
        <v>3</v>
      </c>
      <c r="E100" s="92" t="s">
        <v>503</v>
      </c>
      <c r="F100" s="18" t="s">
        <v>259</v>
      </c>
      <c r="G100" s="57" t="s">
        <v>61</v>
      </c>
      <c r="H100" s="16" t="s">
        <v>247</v>
      </c>
      <c r="I100" s="16" t="s">
        <v>308</v>
      </c>
      <c r="J100" s="16" t="s">
        <v>121</v>
      </c>
      <c r="K100" s="57" t="s">
        <v>61</v>
      </c>
      <c r="L100" s="57" t="s">
        <v>61</v>
      </c>
      <c r="M100" s="57" t="s">
        <v>61</v>
      </c>
      <c r="N100" s="16" t="s">
        <v>148</v>
      </c>
      <c r="O100" s="18" t="s">
        <v>61</v>
      </c>
      <c r="P100" s="18" t="s">
        <v>317</v>
      </c>
      <c r="Q100" s="19"/>
      <c r="R100" s="17" t="s">
        <v>97</v>
      </c>
      <c r="S100" s="16" t="s">
        <v>156</v>
      </c>
      <c r="T100" s="16"/>
      <c r="U100" s="16"/>
      <c r="V100" s="16">
        <v>118</v>
      </c>
      <c r="W100" s="16">
        <f>ROUND(IF(D100=Table!$C$3,Y100*Table!$C$4/8,Y100*Table!$D$4/8),3)</f>
        <v>114.75</v>
      </c>
      <c r="X100" s="16">
        <f t="shared" si="13"/>
        <v>114.75</v>
      </c>
      <c r="Y100" s="16">
        <v>2.04</v>
      </c>
      <c r="Z100" s="16">
        <v>5</v>
      </c>
      <c r="AA100" s="16" t="s">
        <v>21</v>
      </c>
      <c r="AB100" s="20">
        <v>43958</v>
      </c>
      <c r="AC100" s="20">
        <v>43946</v>
      </c>
      <c r="AD100" s="20">
        <v>43958</v>
      </c>
      <c r="AE100" s="20">
        <v>43957</v>
      </c>
      <c r="AF100" s="20">
        <v>43957</v>
      </c>
      <c r="AG100" s="20" t="s">
        <v>335</v>
      </c>
      <c r="AH100" s="99">
        <v>1</v>
      </c>
      <c r="AI100" s="32">
        <v>1</v>
      </c>
      <c r="AJ100" s="32">
        <v>1</v>
      </c>
      <c r="AK100" s="20" t="s">
        <v>165</v>
      </c>
      <c r="AL100" s="16"/>
      <c r="AM100" s="16"/>
      <c r="AN100" s="16"/>
    </row>
    <row r="101" spans="2:40" x14ac:dyDescent="0.25">
      <c r="B101" s="45">
        <f t="shared" si="10"/>
        <v>54</v>
      </c>
      <c r="C101" s="17">
        <v>20200427</v>
      </c>
      <c r="D101" s="16" t="s">
        <v>3</v>
      </c>
      <c r="E101" s="92" t="s">
        <v>503</v>
      </c>
      <c r="F101" s="18" t="s">
        <v>259</v>
      </c>
      <c r="G101" s="57" t="s">
        <v>61</v>
      </c>
      <c r="H101" s="16" t="s">
        <v>248</v>
      </c>
      <c r="I101" s="16" t="s">
        <v>309</v>
      </c>
      <c r="J101" s="16" t="s">
        <v>121</v>
      </c>
      <c r="K101" s="57" t="s">
        <v>61</v>
      </c>
      <c r="L101" s="57" t="s">
        <v>61</v>
      </c>
      <c r="M101" s="57" t="s">
        <v>61</v>
      </c>
      <c r="N101" s="16" t="s">
        <v>148</v>
      </c>
      <c r="O101" s="18" t="s">
        <v>61</v>
      </c>
      <c r="P101" s="18" t="s">
        <v>317</v>
      </c>
      <c r="Q101" s="19"/>
      <c r="R101" s="17" t="s">
        <v>97</v>
      </c>
      <c r="S101" s="16" t="s">
        <v>156</v>
      </c>
      <c r="T101" s="16"/>
      <c r="U101" s="16"/>
      <c r="V101" s="16">
        <v>145</v>
      </c>
      <c r="W101" s="16">
        <f>ROUND(IF(D101=Table!$C$3,Y101*Table!$C$4/8,Y101*Table!$D$4/8),3)</f>
        <v>67.5</v>
      </c>
      <c r="X101" s="16">
        <f t="shared" si="13"/>
        <v>67.5</v>
      </c>
      <c r="Y101" s="16">
        <v>1.2</v>
      </c>
      <c r="Z101" s="16">
        <v>0.25</v>
      </c>
      <c r="AA101" s="16" t="s">
        <v>21</v>
      </c>
      <c r="AB101" s="20">
        <v>43958</v>
      </c>
      <c r="AC101" s="20">
        <v>43946</v>
      </c>
      <c r="AD101" s="20">
        <v>43958</v>
      </c>
      <c r="AE101" s="20">
        <v>43955</v>
      </c>
      <c r="AF101" s="20">
        <v>43955</v>
      </c>
      <c r="AG101" s="20" t="s">
        <v>335</v>
      </c>
      <c r="AH101" s="99">
        <v>1</v>
      </c>
      <c r="AI101" s="32">
        <v>0.94</v>
      </c>
      <c r="AJ101" s="32">
        <v>1</v>
      </c>
      <c r="AK101" s="20" t="s">
        <v>165</v>
      </c>
      <c r="AL101" s="16" t="s">
        <v>434</v>
      </c>
      <c r="AM101" s="16"/>
      <c r="AN101" s="16"/>
    </row>
    <row r="102" spans="2:40" x14ac:dyDescent="0.25">
      <c r="B102" s="45">
        <f t="shared" si="10"/>
        <v>55</v>
      </c>
      <c r="C102" s="17">
        <v>20200427</v>
      </c>
      <c r="D102" s="16" t="s">
        <v>3</v>
      </c>
      <c r="E102" s="92" t="s">
        <v>503</v>
      </c>
      <c r="F102" s="18" t="s">
        <v>259</v>
      </c>
      <c r="G102" s="57" t="s">
        <v>61</v>
      </c>
      <c r="H102" s="16" t="s">
        <v>249</v>
      </c>
      <c r="I102" s="16" t="s">
        <v>310</v>
      </c>
      <c r="J102" s="16" t="s">
        <v>121</v>
      </c>
      <c r="K102" s="57" t="s">
        <v>61</v>
      </c>
      <c r="L102" s="57" t="s">
        <v>61</v>
      </c>
      <c r="M102" s="57" t="s">
        <v>61</v>
      </c>
      <c r="N102" s="16" t="s">
        <v>148</v>
      </c>
      <c r="O102" s="18" t="s">
        <v>61</v>
      </c>
      <c r="P102" s="18" t="s">
        <v>317</v>
      </c>
      <c r="Q102" s="19"/>
      <c r="R102" s="17" t="s">
        <v>98</v>
      </c>
      <c r="S102" s="16" t="s">
        <v>66</v>
      </c>
      <c r="T102" s="16"/>
      <c r="U102" s="16"/>
      <c r="V102" s="16">
        <v>26</v>
      </c>
      <c r="W102" s="16">
        <f>ROUND(IF(D102=Table!$C$3,Y102*Table!$C$4/8,Y102*Table!$D$4/8),3)</f>
        <v>67.5</v>
      </c>
      <c r="X102" s="16">
        <f t="shared" si="13"/>
        <v>67.5</v>
      </c>
      <c r="Y102" s="16">
        <v>1.2</v>
      </c>
      <c r="Z102" s="16">
        <v>1</v>
      </c>
      <c r="AA102" s="16" t="s">
        <v>21</v>
      </c>
      <c r="AB102" s="20">
        <v>43958</v>
      </c>
      <c r="AC102" s="20">
        <v>43946</v>
      </c>
      <c r="AD102" s="20">
        <v>43958</v>
      </c>
      <c r="AE102" s="20">
        <v>43950</v>
      </c>
      <c r="AF102" s="20">
        <v>43950</v>
      </c>
      <c r="AG102" s="20" t="s">
        <v>335</v>
      </c>
      <c r="AH102" s="32">
        <v>1</v>
      </c>
      <c r="AI102" s="32">
        <v>1</v>
      </c>
      <c r="AJ102" s="32">
        <v>1</v>
      </c>
      <c r="AK102" s="20" t="s">
        <v>165</v>
      </c>
      <c r="AL102" s="16"/>
      <c r="AM102" s="16"/>
      <c r="AN102" s="16"/>
    </row>
    <row r="103" spans="2:40" x14ac:dyDescent="0.25">
      <c r="B103" s="45">
        <f t="shared" si="10"/>
        <v>56</v>
      </c>
      <c r="C103" s="17">
        <v>20200427</v>
      </c>
      <c r="D103" s="16" t="s">
        <v>3</v>
      </c>
      <c r="E103" s="92" t="s">
        <v>503</v>
      </c>
      <c r="F103" s="18" t="s">
        <v>259</v>
      </c>
      <c r="G103" s="57" t="s">
        <v>61</v>
      </c>
      <c r="H103" s="16" t="s">
        <v>250</v>
      </c>
      <c r="I103" s="16" t="s">
        <v>154</v>
      </c>
      <c r="J103" s="16" t="s">
        <v>121</v>
      </c>
      <c r="K103" s="57" t="s">
        <v>61</v>
      </c>
      <c r="L103" s="57" t="s">
        <v>61</v>
      </c>
      <c r="M103" s="57" t="s">
        <v>61</v>
      </c>
      <c r="N103" s="16" t="s">
        <v>148</v>
      </c>
      <c r="O103" s="18" t="s">
        <v>61</v>
      </c>
      <c r="P103" s="18" t="s">
        <v>317</v>
      </c>
      <c r="Q103" s="19"/>
      <c r="R103" s="17" t="s">
        <v>98</v>
      </c>
      <c r="S103" s="16" t="s">
        <v>66</v>
      </c>
      <c r="T103" s="16"/>
      <c r="U103" s="16"/>
      <c r="V103" s="16">
        <v>45</v>
      </c>
      <c r="W103" s="16">
        <f>ROUND(IF(D103=Table!$C$3,Y103*Table!$C$4/8,Y103*Table!$D$4/8),3)</f>
        <v>67.5</v>
      </c>
      <c r="X103" s="16">
        <f t="shared" si="13"/>
        <v>67.5</v>
      </c>
      <c r="Y103" s="16">
        <v>1.2</v>
      </c>
      <c r="Z103" s="16">
        <f t="shared" ref="Z103:Z104" si="14">Y103</f>
        <v>1.2</v>
      </c>
      <c r="AA103" s="16" t="s">
        <v>21</v>
      </c>
      <c r="AB103" s="20">
        <v>43958</v>
      </c>
      <c r="AC103" s="20">
        <v>43946</v>
      </c>
      <c r="AD103" s="20">
        <v>43958</v>
      </c>
      <c r="AE103" s="20">
        <v>43950</v>
      </c>
      <c r="AF103" s="20">
        <v>43950</v>
      </c>
      <c r="AG103" s="20" t="s">
        <v>335</v>
      </c>
      <c r="AH103" s="32">
        <v>1</v>
      </c>
      <c r="AI103" s="32">
        <v>1</v>
      </c>
      <c r="AJ103" s="32">
        <v>1</v>
      </c>
      <c r="AK103" s="20" t="s">
        <v>165</v>
      </c>
      <c r="AL103" s="16"/>
      <c r="AM103" s="16"/>
      <c r="AN103" s="16"/>
    </row>
    <row r="104" spans="2:40" x14ac:dyDescent="0.25">
      <c r="B104" s="45">
        <f t="shared" si="10"/>
        <v>57</v>
      </c>
      <c r="C104" s="17">
        <v>20200427</v>
      </c>
      <c r="D104" s="16" t="s">
        <v>3</v>
      </c>
      <c r="E104" s="92" t="s">
        <v>503</v>
      </c>
      <c r="F104" s="18" t="s">
        <v>259</v>
      </c>
      <c r="G104" s="57" t="s">
        <v>61</v>
      </c>
      <c r="H104" s="16" t="s">
        <v>251</v>
      </c>
      <c r="I104" s="16" t="s">
        <v>311</v>
      </c>
      <c r="J104" s="16" t="s">
        <v>121</v>
      </c>
      <c r="K104" s="57" t="s">
        <v>61</v>
      </c>
      <c r="L104" s="57" t="s">
        <v>61</v>
      </c>
      <c r="M104" s="57" t="s">
        <v>61</v>
      </c>
      <c r="N104" s="16" t="s">
        <v>148</v>
      </c>
      <c r="O104" s="18" t="s">
        <v>61</v>
      </c>
      <c r="P104" s="18" t="s">
        <v>317</v>
      </c>
      <c r="Q104" s="19"/>
      <c r="R104" s="17" t="s">
        <v>98</v>
      </c>
      <c r="S104" s="16" t="s">
        <v>66</v>
      </c>
      <c r="T104" s="16"/>
      <c r="U104" s="16"/>
      <c r="V104" s="16">
        <v>8</v>
      </c>
      <c r="W104" s="16">
        <f>ROUND(IF(D104=Table!$C$3,Y104*Table!$C$4/8,Y104*Table!$D$4/8),3)</f>
        <v>6.75</v>
      </c>
      <c r="X104" s="16">
        <f t="shared" si="13"/>
        <v>6.75</v>
      </c>
      <c r="Y104" s="16">
        <v>0.12</v>
      </c>
      <c r="Z104" s="16">
        <f t="shared" si="14"/>
        <v>0.12</v>
      </c>
      <c r="AA104" s="16" t="s">
        <v>21</v>
      </c>
      <c r="AB104" s="20">
        <v>43958</v>
      </c>
      <c r="AC104" s="20">
        <v>43946</v>
      </c>
      <c r="AD104" s="20">
        <v>43958</v>
      </c>
      <c r="AE104" s="20">
        <v>43950</v>
      </c>
      <c r="AF104" s="20">
        <v>43950</v>
      </c>
      <c r="AG104" s="20" t="s">
        <v>335</v>
      </c>
      <c r="AH104" s="32">
        <v>1</v>
      </c>
      <c r="AI104" s="32">
        <v>1</v>
      </c>
      <c r="AJ104" s="32">
        <v>1</v>
      </c>
      <c r="AK104" s="20" t="s">
        <v>165</v>
      </c>
      <c r="AL104" s="16"/>
      <c r="AM104" s="16"/>
      <c r="AN104" s="16"/>
    </row>
    <row r="105" spans="2:40" x14ac:dyDescent="0.25">
      <c r="B105" s="45">
        <f t="shared" si="10"/>
        <v>58</v>
      </c>
      <c r="C105" s="17">
        <v>20200427</v>
      </c>
      <c r="D105" s="16" t="s">
        <v>3</v>
      </c>
      <c r="E105" s="92" t="s">
        <v>503</v>
      </c>
      <c r="F105" s="18" t="s">
        <v>259</v>
      </c>
      <c r="G105" s="57" t="s">
        <v>61</v>
      </c>
      <c r="H105" s="16" t="s">
        <v>252</v>
      </c>
      <c r="I105" s="16" t="s">
        <v>312</v>
      </c>
      <c r="J105" s="16" t="s">
        <v>121</v>
      </c>
      <c r="K105" s="57" t="s">
        <v>61</v>
      </c>
      <c r="L105" s="57" t="s">
        <v>61</v>
      </c>
      <c r="M105" s="57" t="s">
        <v>61</v>
      </c>
      <c r="N105" s="16" t="s">
        <v>148</v>
      </c>
      <c r="O105" s="18" t="s">
        <v>61</v>
      </c>
      <c r="P105" s="18" t="s">
        <v>317</v>
      </c>
      <c r="Q105" s="19"/>
      <c r="R105" s="17" t="s">
        <v>97</v>
      </c>
      <c r="S105" s="16" t="s">
        <v>156</v>
      </c>
      <c r="T105" s="16"/>
      <c r="U105" s="16"/>
      <c r="V105" s="16">
        <v>113</v>
      </c>
      <c r="W105" s="16">
        <f>ROUND(IF(D105=Table!$C$3,Y105*Table!$C$4/8,Y105*Table!$D$4/8),3)</f>
        <v>114.75</v>
      </c>
      <c r="X105" s="16">
        <f t="shared" si="13"/>
        <v>114.75</v>
      </c>
      <c r="Y105" s="16">
        <v>2.04</v>
      </c>
      <c r="Z105" s="16">
        <v>5</v>
      </c>
      <c r="AA105" s="16" t="s">
        <v>21</v>
      </c>
      <c r="AB105" s="20">
        <v>43958</v>
      </c>
      <c r="AC105" s="20">
        <v>43946</v>
      </c>
      <c r="AD105" s="20">
        <v>43958</v>
      </c>
      <c r="AE105" s="20">
        <v>43957</v>
      </c>
      <c r="AF105" s="20">
        <v>43957</v>
      </c>
      <c r="AG105" s="20" t="s">
        <v>335</v>
      </c>
      <c r="AH105" s="32">
        <v>0.57999999999999996</v>
      </c>
      <c r="AI105" s="32">
        <v>0.44</v>
      </c>
      <c r="AJ105" s="32">
        <v>0.75</v>
      </c>
      <c r="AK105" s="20" t="s">
        <v>165</v>
      </c>
      <c r="AL105" s="16" t="s">
        <v>474</v>
      </c>
      <c r="AM105" s="16"/>
      <c r="AN105" s="16"/>
    </row>
    <row r="106" spans="2:40" x14ac:dyDescent="0.25">
      <c r="B106" s="45">
        <f t="shared" si="10"/>
        <v>59</v>
      </c>
      <c r="C106" s="17">
        <v>20200427</v>
      </c>
      <c r="D106" s="16" t="s">
        <v>3</v>
      </c>
      <c r="E106" s="92" t="s">
        <v>503</v>
      </c>
      <c r="F106" s="18" t="s">
        <v>259</v>
      </c>
      <c r="G106" s="57" t="s">
        <v>61</v>
      </c>
      <c r="H106" s="16" t="s">
        <v>253</v>
      </c>
      <c r="I106" s="16" t="s">
        <v>313</v>
      </c>
      <c r="J106" s="16" t="s">
        <v>121</v>
      </c>
      <c r="K106" s="57" t="s">
        <v>61</v>
      </c>
      <c r="L106" s="57" t="s">
        <v>61</v>
      </c>
      <c r="M106" s="57" t="s">
        <v>61</v>
      </c>
      <c r="N106" s="16" t="s">
        <v>148</v>
      </c>
      <c r="O106" s="18" t="s">
        <v>61</v>
      </c>
      <c r="P106" s="18" t="s">
        <v>317</v>
      </c>
      <c r="Q106" s="19"/>
      <c r="R106" s="17" t="s">
        <v>98</v>
      </c>
      <c r="S106" s="16" t="s">
        <v>66</v>
      </c>
      <c r="T106" s="16"/>
      <c r="U106" s="16"/>
      <c r="V106" s="16">
        <v>19</v>
      </c>
      <c r="W106" s="16">
        <f>ROUND(IF(D106=Table!$C$3,Y106*Table!$C$4/8,Y106*Table!$D$4/8),3)</f>
        <v>6.75</v>
      </c>
      <c r="X106" s="16">
        <f t="shared" si="13"/>
        <v>6.75</v>
      </c>
      <c r="Y106" s="16">
        <v>0.12</v>
      </c>
      <c r="Z106" s="16">
        <f t="shared" ref="Z106:Z107" si="15">Y106</f>
        <v>0.12</v>
      </c>
      <c r="AA106" s="16" t="s">
        <v>21</v>
      </c>
      <c r="AB106" s="20">
        <v>43958</v>
      </c>
      <c r="AC106" s="20">
        <v>43946</v>
      </c>
      <c r="AD106" s="20">
        <v>43958</v>
      </c>
      <c r="AE106" s="20">
        <v>43950</v>
      </c>
      <c r="AF106" s="20">
        <v>43950</v>
      </c>
      <c r="AG106" s="20" t="s">
        <v>335</v>
      </c>
      <c r="AH106" s="32">
        <v>1</v>
      </c>
      <c r="AI106" s="32">
        <v>1</v>
      </c>
      <c r="AJ106" s="32">
        <v>1</v>
      </c>
      <c r="AK106" s="20" t="s">
        <v>165</v>
      </c>
      <c r="AL106" s="16"/>
      <c r="AM106" s="16"/>
      <c r="AN106" s="16"/>
    </row>
    <row r="107" spans="2:40" x14ac:dyDescent="0.25">
      <c r="B107" s="45">
        <f t="shared" si="10"/>
        <v>60</v>
      </c>
      <c r="C107" s="17">
        <v>20200427</v>
      </c>
      <c r="D107" s="16" t="s">
        <v>3</v>
      </c>
      <c r="E107" s="92" t="s">
        <v>503</v>
      </c>
      <c r="F107" s="18" t="s">
        <v>259</v>
      </c>
      <c r="G107" s="57" t="s">
        <v>61</v>
      </c>
      <c r="H107" s="16" t="s">
        <v>254</v>
      </c>
      <c r="I107" s="16" t="s">
        <v>314</v>
      </c>
      <c r="J107" s="16" t="s">
        <v>121</v>
      </c>
      <c r="K107" s="57" t="s">
        <v>61</v>
      </c>
      <c r="L107" s="57" t="s">
        <v>61</v>
      </c>
      <c r="M107" s="57" t="s">
        <v>61</v>
      </c>
      <c r="N107" s="16" t="s">
        <v>148</v>
      </c>
      <c r="O107" s="18" t="s">
        <v>61</v>
      </c>
      <c r="P107" s="18" t="s">
        <v>317</v>
      </c>
      <c r="Q107" s="19"/>
      <c r="R107" s="17" t="s">
        <v>98</v>
      </c>
      <c r="S107" s="16" t="s">
        <v>66</v>
      </c>
      <c r="T107" s="16"/>
      <c r="U107" s="16"/>
      <c r="V107" s="16">
        <v>53</v>
      </c>
      <c r="W107" s="16">
        <f>ROUND(IF(D107=Table!$C$3,Y107*Table!$C$4/8,Y107*Table!$D$4/8),3)</f>
        <v>67.5</v>
      </c>
      <c r="X107" s="16">
        <f t="shared" si="13"/>
        <v>67.5</v>
      </c>
      <c r="Y107" s="16">
        <v>1.2</v>
      </c>
      <c r="Z107" s="16">
        <f t="shared" si="15"/>
        <v>1.2</v>
      </c>
      <c r="AA107" s="16" t="s">
        <v>21</v>
      </c>
      <c r="AB107" s="20">
        <v>43958</v>
      </c>
      <c r="AC107" s="20">
        <v>43946</v>
      </c>
      <c r="AD107" s="20">
        <v>43958</v>
      </c>
      <c r="AE107" s="20">
        <v>43950</v>
      </c>
      <c r="AF107" s="20">
        <v>43950</v>
      </c>
      <c r="AG107" s="20" t="s">
        <v>335</v>
      </c>
      <c r="AH107" s="32">
        <v>1</v>
      </c>
      <c r="AI107" s="32">
        <v>1</v>
      </c>
      <c r="AJ107" s="32">
        <v>1</v>
      </c>
      <c r="AK107" s="20" t="s">
        <v>165</v>
      </c>
      <c r="AL107" s="16"/>
      <c r="AM107" s="16"/>
      <c r="AN107" s="16"/>
    </row>
    <row r="108" spans="2:40" x14ac:dyDescent="0.25">
      <c r="B108" s="45">
        <f t="shared" si="10"/>
        <v>61</v>
      </c>
      <c r="C108" s="17">
        <v>20200427</v>
      </c>
      <c r="D108" s="16" t="s">
        <v>3</v>
      </c>
      <c r="E108" s="92" t="s">
        <v>503</v>
      </c>
      <c r="F108" s="18" t="s">
        <v>259</v>
      </c>
      <c r="G108" s="57" t="s">
        <v>61</v>
      </c>
      <c r="H108" s="16" t="s">
        <v>255</v>
      </c>
      <c r="I108" s="16" t="s">
        <v>315</v>
      </c>
      <c r="J108" s="16" t="s">
        <v>121</v>
      </c>
      <c r="K108" s="57" t="s">
        <v>61</v>
      </c>
      <c r="L108" s="57" t="s">
        <v>61</v>
      </c>
      <c r="M108" s="57" t="s">
        <v>61</v>
      </c>
      <c r="N108" s="16" t="s">
        <v>148</v>
      </c>
      <c r="O108" s="18" t="s">
        <v>61</v>
      </c>
      <c r="P108" s="18" t="s">
        <v>317</v>
      </c>
      <c r="Q108" s="19"/>
      <c r="R108" s="17" t="s">
        <v>97</v>
      </c>
      <c r="S108" s="16" t="s">
        <v>156</v>
      </c>
      <c r="T108" s="16"/>
      <c r="U108" s="16"/>
      <c r="V108" s="16">
        <v>54</v>
      </c>
      <c r="W108" s="16">
        <f>ROUND(IF(D108=Table!$C$3,Y108*Table!$C$4/8,Y108*Table!$D$4/8),3)</f>
        <v>72</v>
      </c>
      <c r="X108" s="16">
        <f t="shared" si="13"/>
        <v>72</v>
      </c>
      <c r="Y108" s="16">
        <v>1.28</v>
      </c>
      <c r="Z108" s="16">
        <v>0.5</v>
      </c>
      <c r="AA108" s="16" t="s">
        <v>21</v>
      </c>
      <c r="AB108" s="20">
        <v>43958</v>
      </c>
      <c r="AC108" s="20">
        <v>43946</v>
      </c>
      <c r="AD108" s="20">
        <v>43958</v>
      </c>
      <c r="AE108" s="20">
        <v>43955</v>
      </c>
      <c r="AF108" s="20">
        <v>43955</v>
      </c>
      <c r="AG108" s="20" t="s">
        <v>335</v>
      </c>
      <c r="AH108" s="91">
        <v>0.68</v>
      </c>
      <c r="AI108" s="91">
        <v>0.6</v>
      </c>
      <c r="AJ108" s="91">
        <v>1</v>
      </c>
      <c r="AK108" s="20" t="s">
        <v>165</v>
      </c>
      <c r="AL108" s="16" t="s">
        <v>593</v>
      </c>
      <c r="AM108" s="16"/>
      <c r="AN108" s="16"/>
    </row>
    <row r="109" spans="2:40" x14ac:dyDescent="0.25">
      <c r="B109" s="109">
        <f t="shared" ref="B109:B145" si="16">B108+1</f>
        <v>62</v>
      </c>
      <c r="C109" s="17">
        <v>20200506</v>
      </c>
      <c r="D109" s="16" t="s">
        <v>3</v>
      </c>
      <c r="E109" s="92" t="s">
        <v>513</v>
      </c>
      <c r="F109" s="18" t="s">
        <v>514</v>
      </c>
      <c r="G109" s="57" t="s">
        <v>61</v>
      </c>
      <c r="H109" s="16" t="s">
        <v>518</v>
      </c>
      <c r="I109" s="16" t="s">
        <v>505</v>
      </c>
      <c r="J109" s="16" t="s">
        <v>121</v>
      </c>
      <c r="K109" s="57" t="s">
        <v>61</v>
      </c>
      <c r="L109" s="57" t="s">
        <v>61</v>
      </c>
      <c r="M109" s="57" t="s">
        <v>61</v>
      </c>
      <c r="N109" s="16" t="s">
        <v>524</v>
      </c>
      <c r="O109" s="18" t="s">
        <v>61</v>
      </c>
      <c r="P109" s="18" t="s">
        <v>526</v>
      </c>
      <c r="Q109" s="19"/>
      <c r="R109" s="17" t="s">
        <v>572</v>
      </c>
      <c r="S109" s="16" t="s">
        <v>156</v>
      </c>
      <c r="T109" s="16"/>
      <c r="U109" s="16"/>
      <c r="V109" s="16">
        <v>403</v>
      </c>
      <c r="W109" s="16">
        <f>ROUND(IF(D109=Table!$C$3,Y109*Table!$C$4/8,Y109*Table!$D$4/8),3)</f>
        <v>765</v>
      </c>
      <c r="X109" s="16">
        <f t="shared" si="13"/>
        <v>765</v>
      </c>
      <c r="Y109" s="16">
        <v>13.6</v>
      </c>
      <c r="Z109" s="16">
        <v>5</v>
      </c>
      <c r="AA109" s="16" t="s">
        <v>21</v>
      </c>
      <c r="AB109" s="20">
        <v>43959</v>
      </c>
      <c r="AC109" s="20">
        <v>43957</v>
      </c>
      <c r="AD109" s="20">
        <v>43959</v>
      </c>
      <c r="AE109" s="20">
        <v>43958</v>
      </c>
      <c r="AF109" s="20">
        <v>43958</v>
      </c>
      <c r="AG109" s="20" t="s">
        <v>335</v>
      </c>
      <c r="AH109" s="32">
        <v>0.99</v>
      </c>
      <c r="AI109" s="32">
        <v>0.98</v>
      </c>
      <c r="AJ109" s="32">
        <v>0.86</v>
      </c>
      <c r="AK109" s="20" t="s">
        <v>165</v>
      </c>
      <c r="AL109" s="16" t="s">
        <v>612</v>
      </c>
      <c r="AM109" s="16"/>
      <c r="AN109" s="16"/>
    </row>
    <row r="110" spans="2:40" x14ac:dyDescent="0.25">
      <c r="B110" s="109">
        <f t="shared" si="16"/>
        <v>63</v>
      </c>
      <c r="C110" s="17">
        <v>20200506</v>
      </c>
      <c r="D110" s="16" t="s">
        <v>3</v>
      </c>
      <c r="E110" s="92" t="s">
        <v>513</v>
      </c>
      <c r="F110" s="18" t="s">
        <v>515</v>
      </c>
      <c r="G110" s="57" t="s">
        <v>61</v>
      </c>
      <c r="H110" s="16" t="s">
        <v>519</v>
      </c>
      <c r="I110" s="16" t="s">
        <v>506</v>
      </c>
      <c r="J110" s="16" t="s">
        <v>121</v>
      </c>
      <c r="K110" s="57" t="s">
        <v>61</v>
      </c>
      <c r="L110" s="57" t="s">
        <v>61</v>
      </c>
      <c r="M110" s="57" t="s">
        <v>61</v>
      </c>
      <c r="N110" s="16" t="s">
        <v>524</v>
      </c>
      <c r="O110" s="18" t="s">
        <v>61</v>
      </c>
      <c r="P110" s="18" t="s">
        <v>526</v>
      </c>
      <c r="Q110" s="19"/>
      <c r="R110" s="17" t="s">
        <v>572</v>
      </c>
      <c r="S110" s="16" t="s">
        <v>156</v>
      </c>
      <c r="T110" s="16"/>
      <c r="U110" s="16"/>
      <c r="V110" s="16">
        <v>159</v>
      </c>
      <c r="W110" s="16">
        <f>ROUND(IF(D110=Table!$C$3,Y110*Table!$C$4/8,Y110*Table!$D$4/8),3)</f>
        <v>315</v>
      </c>
      <c r="X110" s="16">
        <f t="shared" si="13"/>
        <v>315</v>
      </c>
      <c r="Y110" s="16">
        <v>5.6</v>
      </c>
      <c r="Z110" s="16">
        <v>3</v>
      </c>
      <c r="AA110" s="16" t="s">
        <v>21</v>
      </c>
      <c r="AB110" s="20">
        <v>43959</v>
      </c>
      <c r="AC110" s="20">
        <v>43957</v>
      </c>
      <c r="AD110" s="20">
        <v>43959</v>
      </c>
      <c r="AE110" s="20">
        <v>43958</v>
      </c>
      <c r="AF110" s="20">
        <v>43958</v>
      </c>
      <c r="AG110" s="20" t="s">
        <v>335</v>
      </c>
      <c r="AH110" s="32">
        <v>1</v>
      </c>
      <c r="AI110" s="32">
        <v>1</v>
      </c>
      <c r="AJ110" s="32">
        <v>0.53</v>
      </c>
      <c r="AK110" s="20" t="s">
        <v>165</v>
      </c>
      <c r="AL110" s="16"/>
      <c r="AM110" s="16"/>
      <c r="AN110" s="16"/>
    </row>
    <row r="111" spans="2:40" x14ac:dyDescent="0.25">
      <c r="B111" s="109">
        <f t="shared" si="16"/>
        <v>64</v>
      </c>
      <c r="C111" s="17">
        <v>20200506</v>
      </c>
      <c r="D111" s="16" t="s">
        <v>2</v>
      </c>
      <c r="E111" s="92" t="s">
        <v>513</v>
      </c>
      <c r="F111" s="18" t="s">
        <v>516</v>
      </c>
      <c r="G111" s="57" t="s">
        <v>61</v>
      </c>
      <c r="H111" s="16" t="s">
        <v>207</v>
      </c>
      <c r="I111" s="16" t="s">
        <v>507</v>
      </c>
      <c r="J111" s="16" t="s">
        <v>121</v>
      </c>
      <c r="K111" s="57" t="s">
        <v>61</v>
      </c>
      <c r="L111" s="57" t="s">
        <v>61</v>
      </c>
      <c r="M111" s="57" t="s">
        <v>61</v>
      </c>
      <c r="N111" s="16" t="s">
        <v>525</v>
      </c>
      <c r="O111" s="18" t="s">
        <v>527</v>
      </c>
      <c r="P111" s="18" t="s">
        <v>526</v>
      </c>
      <c r="Q111" s="19"/>
      <c r="R111" s="17" t="s">
        <v>571</v>
      </c>
      <c r="S111" s="16" t="s">
        <v>66</v>
      </c>
      <c r="T111" s="16"/>
      <c r="U111" s="16"/>
      <c r="V111" s="16">
        <v>62</v>
      </c>
      <c r="W111" s="16">
        <f>ROUND(IF(D111=Table!$C$3,Y111*Table!$C$4/8,Y111*Table!$D$4/8),3)</f>
        <v>65</v>
      </c>
      <c r="X111" s="16">
        <f t="shared" si="13"/>
        <v>65</v>
      </c>
      <c r="Y111" s="16">
        <v>4</v>
      </c>
      <c r="Z111" s="16">
        <v>1</v>
      </c>
      <c r="AA111" s="16" t="s">
        <v>21</v>
      </c>
      <c r="AB111" s="20">
        <v>43959</v>
      </c>
      <c r="AC111" s="20">
        <v>43957</v>
      </c>
      <c r="AD111" s="20">
        <v>43959</v>
      </c>
      <c r="AE111" s="20">
        <v>43959</v>
      </c>
      <c r="AF111" s="20">
        <v>43959</v>
      </c>
      <c r="AG111" s="20" t="s">
        <v>335</v>
      </c>
      <c r="AH111" s="103">
        <v>1</v>
      </c>
      <c r="AI111" s="103">
        <v>1</v>
      </c>
      <c r="AJ111" s="103">
        <v>0.75</v>
      </c>
      <c r="AK111" s="20" t="s">
        <v>165</v>
      </c>
      <c r="AL111" s="16"/>
      <c r="AM111" s="16"/>
      <c r="AN111" s="16"/>
    </row>
    <row r="112" spans="2:40" x14ac:dyDescent="0.25">
      <c r="B112" s="109">
        <f t="shared" si="16"/>
        <v>65</v>
      </c>
      <c r="C112" s="17">
        <v>20200506</v>
      </c>
      <c r="D112" s="16" t="s">
        <v>2</v>
      </c>
      <c r="E112" s="92" t="s">
        <v>513</v>
      </c>
      <c r="F112" s="18" t="s">
        <v>516</v>
      </c>
      <c r="G112" s="57" t="s">
        <v>61</v>
      </c>
      <c r="H112" s="16" t="s">
        <v>520</v>
      </c>
      <c r="I112" s="16" t="s">
        <v>508</v>
      </c>
      <c r="J112" s="16" t="s">
        <v>121</v>
      </c>
      <c r="K112" s="57" t="s">
        <v>61</v>
      </c>
      <c r="L112" s="57" t="s">
        <v>61</v>
      </c>
      <c r="M112" s="57" t="s">
        <v>61</v>
      </c>
      <c r="N112" s="16" t="s">
        <v>525</v>
      </c>
      <c r="O112" s="18" t="s">
        <v>528</v>
      </c>
      <c r="P112" s="18" t="s">
        <v>526</v>
      </c>
      <c r="Q112" s="19"/>
      <c r="R112" s="17" t="s">
        <v>571</v>
      </c>
      <c r="S112" s="16" t="s">
        <v>66</v>
      </c>
      <c r="T112" s="16"/>
      <c r="U112" s="16"/>
      <c r="V112" s="16">
        <v>114</v>
      </c>
      <c r="W112" s="16">
        <f>ROUND(IF(D112=Table!$C$3,Y112*Table!$C$4/8,Y112*Table!$D$4/8),3)</f>
        <v>117</v>
      </c>
      <c r="X112" s="16">
        <f t="shared" si="13"/>
        <v>117</v>
      </c>
      <c r="Y112" s="16">
        <v>7.2</v>
      </c>
      <c r="Z112" s="16">
        <v>1</v>
      </c>
      <c r="AA112" s="16" t="s">
        <v>21</v>
      </c>
      <c r="AB112" s="20">
        <v>43959</v>
      </c>
      <c r="AC112" s="20">
        <v>43957</v>
      </c>
      <c r="AD112" s="20">
        <v>43959</v>
      </c>
      <c r="AE112" s="20">
        <v>43959</v>
      </c>
      <c r="AF112" s="20">
        <v>43959</v>
      </c>
      <c r="AG112" s="20" t="s">
        <v>335</v>
      </c>
      <c r="AH112" s="32" t="s">
        <v>412</v>
      </c>
      <c r="AI112" s="32" t="s">
        <v>412</v>
      </c>
      <c r="AJ112" s="32" t="s">
        <v>412</v>
      </c>
      <c r="AK112" s="20" t="s">
        <v>165</v>
      </c>
      <c r="AL112" s="16" t="s">
        <v>610</v>
      </c>
      <c r="AM112" s="16"/>
      <c r="AN112" s="16"/>
    </row>
    <row r="113" spans="2:40" x14ac:dyDescent="0.25">
      <c r="B113" s="109">
        <f t="shared" si="16"/>
        <v>66</v>
      </c>
      <c r="C113" s="17">
        <v>20200506</v>
      </c>
      <c r="D113" s="16" t="s">
        <v>2</v>
      </c>
      <c r="E113" s="92" t="s">
        <v>513</v>
      </c>
      <c r="F113" s="18" t="s">
        <v>516</v>
      </c>
      <c r="G113" s="57" t="s">
        <v>61</v>
      </c>
      <c r="H113" s="16" t="s">
        <v>521</v>
      </c>
      <c r="I113" s="16" t="s">
        <v>509</v>
      </c>
      <c r="J113" s="16" t="s">
        <v>121</v>
      </c>
      <c r="K113" s="57" t="s">
        <v>61</v>
      </c>
      <c r="L113" s="57" t="s">
        <v>61</v>
      </c>
      <c r="M113" s="57" t="s">
        <v>61</v>
      </c>
      <c r="N113" s="16" t="s">
        <v>525</v>
      </c>
      <c r="O113" s="18" t="s">
        <v>365</v>
      </c>
      <c r="P113" s="18" t="s">
        <v>526</v>
      </c>
      <c r="Q113" s="19"/>
      <c r="R113" s="17" t="s">
        <v>571</v>
      </c>
      <c r="S113" s="16" t="s">
        <v>66</v>
      </c>
      <c r="T113" s="16"/>
      <c r="U113" s="16"/>
      <c r="V113" s="16">
        <v>59</v>
      </c>
      <c r="W113" s="16">
        <f>ROUND(IF(D113=Table!$C$3,Y113*Table!$C$4/8,Y113*Table!$D$4/8),3)</f>
        <v>65</v>
      </c>
      <c r="X113" s="16">
        <f t="shared" ref="X113:X116" si="17">W113</f>
        <v>65</v>
      </c>
      <c r="Y113" s="16">
        <v>4</v>
      </c>
      <c r="Z113" s="16">
        <v>1</v>
      </c>
      <c r="AA113" s="16" t="s">
        <v>21</v>
      </c>
      <c r="AB113" s="20">
        <v>43959</v>
      </c>
      <c r="AC113" s="20">
        <v>43957</v>
      </c>
      <c r="AD113" s="20">
        <v>43959</v>
      </c>
      <c r="AE113" s="20">
        <v>43959</v>
      </c>
      <c r="AF113" s="20">
        <v>43959</v>
      </c>
      <c r="AG113" s="20" t="s">
        <v>335</v>
      </c>
      <c r="AH113" s="32">
        <v>1</v>
      </c>
      <c r="AI113" s="32">
        <v>1</v>
      </c>
      <c r="AJ113" s="32" t="s">
        <v>412</v>
      </c>
      <c r="AK113" s="20" t="s">
        <v>165</v>
      </c>
      <c r="AL113" s="16"/>
      <c r="AM113" s="16"/>
      <c r="AN113" s="16"/>
    </row>
    <row r="114" spans="2:40" x14ac:dyDescent="0.25">
      <c r="B114" s="109">
        <f t="shared" si="16"/>
        <v>67</v>
      </c>
      <c r="C114" s="17">
        <v>20200506</v>
      </c>
      <c r="D114" s="16" t="s">
        <v>2</v>
      </c>
      <c r="E114" s="92" t="s">
        <v>513</v>
      </c>
      <c r="F114" s="18" t="s">
        <v>516</v>
      </c>
      <c r="G114" s="57" t="s">
        <v>61</v>
      </c>
      <c r="H114" s="16" t="s">
        <v>522</v>
      </c>
      <c r="I114" s="16" t="s">
        <v>510</v>
      </c>
      <c r="J114" s="16" t="s">
        <v>121</v>
      </c>
      <c r="K114" s="57" t="s">
        <v>61</v>
      </c>
      <c r="L114" s="57" t="s">
        <v>61</v>
      </c>
      <c r="M114" s="57" t="s">
        <v>61</v>
      </c>
      <c r="N114" s="16" t="s">
        <v>525</v>
      </c>
      <c r="O114" s="18" t="s">
        <v>365</v>
      </c>
      <c r="P114" s="18" t="s">
        <v>526</v>
      </c>
      <c r="Q114" s="19"/>
      <c r="R114" s="17" t="s">
        <v>571</v>
      </c>
      <c r="S114" s="16" t="s">
        <v>66</v>
      </c>
      <c r="T114" s="16"/>
      <c r="U114" s="16"/>
      <c r="V114" s="16">
        <v>42</v>
      </c>
      <c r="W114" s="16">
        <f>ROUND(IF(D114=Table!$C$3,Y114*Table!$C$4/8,Y114*Table!$D$4/8),3)</f>
        <v>39</v>
      </c>
      <c r="X114" s="16">
        <f t="shared" si="17"/>
        <v>39</v>
      </c>
      <c r="Y114" s="16">
        <v>2.4</v>
      </c>
      <c r="Z114" s="16">
        <v>1</v>
      </c>
      <c r="AA114" s="16" t="s">
        <v>21</v>
      </c>
      <c r="AB114" s="20">
        <v>43959</v>
      </c>
      <c r="AC114" s="20">
        <v>43957</v>
      </c>
      <c r="AD114" s="20">
        <v>43959</v>
      </c>
      <c r="AE114" s="20">
        <v>43959</v>
      </c>
      <c r="AF114" s="20">
        <v>43959</v>
      </c>
      <c r="AG114" s="20" t="s">
        <v>335</v>
      </c>
      <c r="AH114" s="32">
        <v>1</v>
      </c>
      <c r="AI114" s="32">
        <v>1</v>
      </c>
      <c r="AJ114" s="32" t="s">
        <v>412</v>
      </c>
      <c r="AK114" s="20" t="s">
        <v>165</v>
      </c>
      <c r="AL114" s="16"/>
      <c r="AM114" s="16"/>
      <c r="AN114" s="16"/>
    </row>
    <row r="115" spans="2:40" x14ac:dyDescent="0.25">
      <c r="B115" s="109">
        <f t="shared" si="16"/>
        <v>68</v>
      </c>
      <c r="C115" s="17">
        <v>20200506</v>
      </c>
      <c r="D115" s="16" t="s">
        <v>2</v>
      </c>
      <c r="E115" s="92" t="s">
        <v>513</v>
      </c>
      <c r="F115" s="18" t="s">
        <v>516</v>
      </c>
      <c r="G115" s="57" t="s">
        <v>61</v>
      </c>
      <c r="H115" s="16" t="s">
        <v>523</v>
      </c>
      <c r="I115" s="16" t="s">
        <v>511</v>
      </c>
      <c r="J115" s="16" t="s">
        <v>121</v>
      </c>
      <c r="K115" s="57" t="s">
        <v>61</v>
      </c>
      <c r="L115" s="57" t="s">
        <v>61</v>
      </c>
      <c r="M115" s="57" t="s">
        <v>61</v>
      </c>
      <c r="N115" s="16" t="s">
        <v>525</v>
      </c>
      <c r="O115" s="18" t="s">
        <v>365</v>
      </c>
      <c r="P115" s="18" t="s">
        <v>526</v>
      </c>
      <c r="Q115" s="19"/>
      <c r="R115" s="17" t="s">
        <v>571</v>
      </c>
      <c r="S115" s="16" t="s">
        <v>66</v>
      </c>
      <c r="T115" s="16"/>
      <c r="U115" s="16"/>
      <c r="V115" s="16">
        <v>41</v>
      </c>
      <c r="W115" s="16">
        <f>ROUND(IF(D115=Table!$C$3,Y115*Table!$C$4/8,Y115*Table!$D$4/8),3)</f>
        <v>52</v>
      </c>
      <c r="X115" s="16">
        <f t="shared" si="17"/>
        <v>52</v>
      </c>
      <c r="Y115" s="16">
        <v>3.2</v>
      </c>
      <c r="Z115" s="16">
        <v>1</v>
      </c>
      <c r="AA115" s="16" t="s">
        <v>21</v>
      </c>
      <c r="AB115" s="20">
        <v>43959</v>
      </c>
      <c r="AC115" s="20">
        <v>43957</v>
      </c>
      <c r="AD115" s="20">
        <v>43959</v>
      </c>
      <c r="AE115" s="20">
        <v>43959</v>
      </c>
      <c r="AF115" s="20">
        <v>43959</v>
      </c>
      <c r="AG115" s="20" t="s">
        <v>335</v>
      </c>
      <c r="AH115" s="32">
        <v>1</v>
      </c>
      <c r="AI115" s="32">
        <v>1</v>
      </c>
      <c r="AJ115" s="32">
        <v>0.5</v>
      </c>
      <c r="AK115" s="20" t="s">
        <v>165</v>
      </c>
      <c r="AL115" s="16"/>
      <c r="AM115" s="16"/>
      <c r="AN115" s="16"/>
    </row>
    <row r="116" spans="2:40" x14ac:dyDescent="0.25">
      <c r="B116" s="109">
        <f t="shared" si="16"/>
        <v>69</v>
      </c>
      <c r="C116" s="17">
        <v>20200506</v>
      </c>
      <c r="D116" s="16" t="s">
        <v>2</v>
      </c>
      <c r="E116" s="92" t="s">
        <v>513</v>
      </c>
      <c r="F116" s="18" t="s">
        <v>517</v>
      </c>
      <c r="G116" s="57" t="s">
        <v>61</v>
      </c>
      <c r="H116" s="16" t="s">
        <v>96</v>
      </c>
      <c r="I116" s="16" t="s">
        <v>512</v>
      </c>
      <c r="J116" s="16" t="s">
        <v>121</v>
      </c>
      <c r="K116" s="57" t="s">
        <v>61</v>
      </c>
      <c r="L116" s="57" t="s">
        <v>61</v>
      </c>
      <c r="M116" s="57" t="s">
        <v>61</v>
      </c>
      <c r="N116" s="16" t="s">
        <v>524</v>
      </c>
      <c r="O116" s="18" t="s">
        <v>61</v>
      </c>
      <c r="P116" s="18" t="s">
        <v>526</v>
      </c>
      <c r="Q116" s="19"/>
      <c r="R116" s="17" t="s">
        <v>572</v>
      </c>
      <c r="S116" s="16" t="s">
        <v>156</v>
      </c>
      <c r="T116" s="16"/>
      <c r="U116" s="16"/>
      <c r="V116" s="16">
        <v>279</v>
      </c>
      <c r="W116" s="16">
        <f>ROUND(IF(D116=Table!$C$3,Y116*Table!$C$4/8,Y116*Table!$D$4/8),3)</f>
        <v>156</v>
      </c>
      <c r="X116" s="16">
        <f t="shared" si="17"/>
        <v>156</v>
      </c>
      <c r="Y116" s="16">
        <v>9.6</v>
      </c>
      <c r="Z116" s="16">
        <v>5</v>
      </c>
      <c r="AA116" s="16" t="s">
        <v>21</v>
      </c>
      <c r="AB116" s="20">
        <v>43959</v>
      </c>
      <c r="AC116" s="20">
        <v>43957</v>
      </c>
      <c r="AD116" s="20">
        <v>43959</v>
      </c>
      <c r="AE116" s="20">
        <v>43959</v>
      </c>
      <c r="AF116" s="20">
        <v>43959</v>
      </c>
      <c r="AG116" s="20" t="s">
        <v>335</v>
      </c>
      <c r="AH116" s="32">
        <v>1</v>
      </c>
      <c r="AI116" s="32">
        <v>1</v>
      </c>
      <c r="AJ116" s="32">
        <v>0.33</v>
      </c>
      <c r="AK116" s="20" t="s">
        <v>165</v>
      </c>
      <c r="AL116" s="16"/>
      <c r="AM116" s="16"/>
      <c r="AN116" s="16"/>
    </row>
    <row r="117" spans="2:40" x14ac:dyDescent="0.25">
      <c r="B117" s="125">
        <f t="shared" si="16"/>
        <v>70</v>
      </c>
      <c r="C117" s="17">
        <v>20200511</v>
      </c>
      <c r="D117" s="16" t="s">
        <v>2</v>
      </c>
      <c r="E117" s="92" t="s">
        <v>656</v>
      </c>
      <c r="F117" s="18" t="s">
        <v>657</v>
      </c>
      <c r="G117" s="57" t="s">
        <v>61</v>
      </c>
      <c r="H117" s="16" t="s">
        <v>663</v>
      </c>
      <c r="I117" s="16" t="s">
        <v>625</v>
      </c>
      <c r="J117" s="16" t="s">
        <v>121</v>
      </c>
      <c r="K117" s="57" t="s">
        <v>61</v>
      </c>
      <c r="L117" s="57" t="s">
        <v>61</v>
      </c>
      <c r="M117" s="57" t="s">
        <v>61</v>
      </c>
      <c r="N117" s="16" t="s">
        <v>728</v>
      </c>
      <c r="O117" s="18" t="s">
        <v>654</v>
      </c>
      <c r="P117" s="18" t="s">
        <v>677</v>
      </c>
      <c r="Q117" s="19"/>
      <c r="R117" s="17" t="s">
        <v>97</v>
      </c>
      <c r="S117" s="16" t="s">
        <v>156</v>
      </c>
      <c r="T117" s="16"/>
      <c r="U117" s="16"/>
      <c r="V117" s="16"/>
      <c r="W117" s="16">
        <f>ROUND(IF(D117=Table!$C$3,Y117*Table!$C$4/8,Y117*Table!$D$4/8),3)</f>
        <v>76.7</v>
      </c>
      <c r="X117" s="16">
        <v>76.7</v>
      </c>
      <c r="Y117" s="16">
        <v>4.72</v>
      </c>
      <c r="Z117" s="16">
        <v>4</v>
      </c>
      <c r="AA117" s="16" t="s">
        <v>21</v>
      </c>
      <c r="AB117" s="20">
        <v>43969</v>
      </c>
      <c r="AC117" s="20">
        <v>43962</v>
      </c>
      <c r="AD117" s="20">
        <v>43971</v>
      </c>
      <c r="AE117" s="20">
        <v>43964</v>
      </c>
      <c r="AF117" s="20">
        <v>43965</v>
      </c>
      <c r="AG117" s="20" t="s">
        <v>335</v>
      </c>
      <c r="AH117" s="32">
        <v>1</v>
      </c>
      <c r="AI117" s="32">
        <v>1</v>
      </c>
      <c r="AJ117" s="32">
        <v>1</v>
      </c>
      <c r="AK117" s="20" t="s">
        <v>165</v>
      </c>
      <c r="AL117" s="16"/>
      <c r="AM117" s="16"/>
      <c r="AN117" s="16"/>
    </row>
    <row r="118" spans="2:40" x14ac:dyDescent="0.25">
      <c r="B118" s="125">
        <f t="shared" si="16"/>
        <v>71</v>
      </c>
      <c r="C118" s="17">
        <v>20200511</v>
      </c>
      <c r="D118" s="16" t="s">
        <v>2</v>
      </c>
      <c r="E118" s="92" t="s">
        <v>656</v>
      </c>
      <c r="F118" s="18" t="s">
        <v>256</v>
      </c>
      <c r="G118" s="57" t="s">
        <v>61</v>
      </c>
      <c r="H118" s="16" t="s">
        <v>664</v>
      </c>
      <c r="I118" s="16" t="s">
        <v>626</v>
      </c>
      <c r="J118" s="16" t="s">
        <v>121</v>
      </c>
      <c r="K118" s="57" t="s">
        <v>61</v>
      </c>
      <c r="L118" s="57" t="s">
        <v>61</v>
      </c>
      <c r="M118" s="57" t="s">
        <v>61</v>
      </c>
      <c r="N118" s="16" t="s">
        <v>728</v>
      </c>
      <c r="O118" s="18" t="s">
        <v>143</v>
      </c>
      <c r="P118" s="18" t="s">
        <v>677</v>
      </c>
      <c r="Q118" s="19"/>
      <c r="R118" s="17" t="s">
        <v>97</v>
      </c>
      <c r="S118" s="16" t="s">
        <v>156</v>
      </c>
      <c r="T118" s="16"/>
      <c r="U118" s="16"/>
      <c r="V118" s="16"/>
      <c r="W118" s="16">
        <f>ROUND(IF(D118=Table!$C$3,Y118*Table!$C$4/8,Y118*Table!$D$4/8),3)</f>
        <v>22.1</v>
      </c>
      <c r="X118" s="16">
        <v>22.1</v>
      </c>
      <c r="Y118" s="16">
        <v>1.36</v>
      </c>
      <c r="Z118" s="16">
        <v>1</v>
      </c>
      <c r="AA118" s="16" t="s">
        <v>21</v>
      </c>
      <c r="AB118" s="20">
        <v>43969</v>
      </c>
      <c r="AC118" s="20">
        <v>43962</v>
      </c>
      <c r="AD118" s="20">
        <v>43971</v>
      </c>
      <c r="AE118" s="20">
        <v>43964</v>
      </c>
      <c r="AF118" s="20">
        <v>43965</v>
      </c>
      <c r="AG118" s="20" t="s">
        <v>335</v>
      </c>
      <c r="AH118" s="32">
        <v>1</v>
      </c>
      <c r="AI118" s="32">
        <v>1</v>
      </c>
      <c r="AJ118" s="32">
        <v>1</v>
      </c>
      <c r="AK118" s="20" t="s">
        <v>165</v>
      </c>
      <c r="AL118" s="16"/>
      <c r="AM118" s="16"/>
      <c r="AN118" s="16"/>
    </row>
    <row r="119" spans="2:40" x14ac:dyDescent="0.25">
      <c r="B119" s="125">
        <f t="shared" si="16"/>
        <v>72</v>
      </c>
      <c r="C119" s="17">
        <v>20200511</v>
      </c>
      <c r="D119" s="16" t="s">
        <v>2</v>
      </c>
      <c r="E119" s="92" t="s">
        <v>656</v>
      </c>
      <c r="F119" s="18" t="s">
        <v>256</v>
      </c>
      <c r="G119" s="57" t="s">
        <v>61</v>
      </c>
      <c r="H119" s="16" t="s">
        <v>665</v>
      </c>
      <c r="I119" s="16" t="s">
        <v>627</v>
      </c>
      <c r="J119" s="16" t="s">
        <v>121</v>
      </c>
      <c r="K119" s="57" t="s">
        <v>61</v>
      </c>
      <c r="L119" s="57" t="s">
        <v>61</v>
      </c>
      <c r="M119" s="57" t="s">
        <v>61</v>
      </c>
      <c r="N119" s="16" t="s">
        <v>728</v>
      </c>
      <c r="O119" s="18" t="s">
        <v>365</v>
      </c>
      <c r="P119" s="18" t="s">
        <v>677</v>
      </c>
      <c r="Q119" s="19"/>
      <c r="R119" s="17" t="s">
        <v>97</v>
      </c>
      <c r="S119" s="16" t="s">
        <v>156</v>
      </c>
      <c r="T119" s="16"/>
      <c r="U119" s="16"/>
      <c r="V119" s="16"/>
      <c r="W119" s="16">
        <f>ROUND(IF(D119=Table!$C$3,Y119*Table!$C$4/8,Y119*Table!$D$4/8),3)</f>
        <v>29.9</v>
      </c>
      <c r="X119" s="16">
        <v>29.9</v>
      </c>
      <c r="Y119" s="16">
        <v>1.84</v>
      </c>
      <c r="Z119" s="16">
        <v>1</v>
      </c>
      <c r="AA119" s="16" t="s">
        <v>21</v>
      </c>
      <c r="AB119" s="20">
        <v>43969</v>
      </c>
      <c r="AC119" s="20">
        <v>43962</v>
      </c>
      <c r="AD119" s="20">
        <v>43971</v>
      </c>
      <c r="AE119" s="20">
        <v>43964</v>
      </c>
      <c r="AF119" s="20">
        <v>43965</v>
      </c>
      <c r="AG119" s="20" t="s">
        <v>335</v>
      </c>
      <c r="AH119" s="32">
        <v>1</v>
      </c>
      <c r="AI119" s="32">
        <v>1</v>
      </c>
      <c r="AJ119" s="32" t="s">
        <v>412</v>
      </c>
      <c r="AK119" s="20" t="s">
        <v>165</v>
      </c>
      <c r="AL119" s="16"/>
      <c r="AM119" s="16"/>
      <c r="AN119" s="16"/>
    </row>
    <row r="120" spans="2:40" x14ac:dyDescent="0.25">
      <c r="B120" s="125">
        <f t="shared" si="16"/>
        <v>73</v>
      </c>
      <c r="C120" s="17">
        <v>20200511</v>
      </c>
      <c r="D120" s="16" t="s">
        <v>2</v>
      </c>
      <c r="E120" s="92" t="s">
        <v>656</v>
      </c>
      <c r="F120" s="18" t="s">
        <v>256</v>
      </c>
      <c r="G120" s="57" t="s">
        <v>61</v>
      </c>
      <c r="H120" s="16" t="s">
        <v>666</v>
      </c>
      <c r="I120" s="16" t="s">
        <v>628</v>
      </c>
      <c r="J120" s="16" t="s">
        <v>121</v>
      </c>
      <c r="K120" s="57" t="s">
        <v>61</v>
      </c>
      <c r="L120" s="57" t="s">
        <v>61</v>
      </c>
      <c r="M120" s="57" t="s">
        <v>61</v>
      </c>
      <c r="N120" s="16" t="s">
        <v>728</v>
      </c>
      <c r="O120" s="18" t="s">
        <v>365</v>
      </c>
      <c r="P120" s="18" t="s">
        <v>677</v>
      </c>
      <c r="Q120" s="19"/>
      <c r="R120" s="17" t="s">
        <v>97</v>
      </c>
      <c r="S120" s="16" t="s">
        <v>156</v>
      </c>
      <c r="T120" s="16"/>
      <c r="U120" s="16"/>
      <c r="V120" s="16"/>
      <c r="W120" s="16">
        <f>ROUND(IF(D120=Table!$C$3,Y120*Table!$C$4/8,Y120*Table!$D$4/8),3)</f>
        <v>78</v>
      </c>
      <c r="X120" s="16">
        <v>78</v>
      </c>
      <c r="Y120" s="16">
        <v>4.8</v>
      </c>
      <c r="Z120" s="16">
        <v>4</v>
      </c>
      <c r="AA120" s="16" t="s">
        <v>21</v>
      </c>
      <c r="AB120" s="20">
        <v>43969</v>
      </c>
      <c r="AC120" s="20">
        <v>43962</v>
      </c>
      <c r="AD120" s="20">
        <v>43971</v>
      </c>
      <c r="AE120" s="20">
        <v>43965</v>
      </c>
      <c r="AF120" s="20">
        <v>43966</v>
      </c>
      <c r="AG120" s="20" t="s">
        <v>335</v>
      </c>
      <c r="AH120" s="32">
        <v>1</v>
      </c>
      <c r="AI120" s="32">
        <v>1</v>
      </c>
      <c r="AJ120" s="32" t="s">
        <v>412</v>
      </c>
      <c r="AK120" s="20" t="s">
        <v>165</v>
      </c>
      <c r="AL120" s="16"/>
      <c r="AM120" s="16"/>
      <c r="AN120" s="16"/>
    </row>
    <row r="121" spans="2:40" x14ac:dyDescent="0.25">
      <c r="B121" s="125">
        <f t="shared" si="16"/>
        <v>74</v>
      </c>
      <c r="C121" s="17">
        <v>20200511</v>
      </c>
      <c r="D121" s="16" t="s">
        <v>2</v>
      </c>
      <c r="E121" s="92" t="s">
        <v>656</v>
      </c>
      <c r="F121" s="18" t="s">
        <v>256</v>
      </c>
      <c r="G121" s="57" t="s">
        <v>61</v>
      </c>
      <c r="H121" s="16" t="s">
        <v>667</v>
      </c>
      <c r="I121" s="16" t="s">
        <v>629</v>
      </c>
      <c r="J121" s="16" t="s">
        <v>121</v>
      </c>
      <c r="K121" s="57" t="s">
        <v>61</v>
      </c>
      <c r="L121" s="57" t="s">
        <v>61</v>
      </c>
      <c r="M121" s="57" t="s">
        <v>61</v>
      </c>
      <c r="N121" s="16" t="s">
        <v>728</v>
      </c>
      <c r="O121" s="18" t="s">
        <v>365</v>
      </c>
      <c r="P121" s="18" t="s">
        <v>677</v>
      </c>
      <c r="Q121" s="19"/>
      <c r="R121" s="17" t="s">
        <v>97</v>
      </c>
      <c r="S121" s="16" t="s">
        <v>156</v>
      </c>
      <c r="T121" s="16"/>
      <c r="U121" s="16"/>
      <c r="V121" s="16"/>
      <c r="W121" s="16">
        <f>ROUND(IF(D121=Table!$C$3,Y121*Table!$C$4/8,Y121*Table!$D$4/8),3)</f>
        <v>22.1</v>
      </c>
      <c r="X121" s="16">
        <v>22.1</v>
      </c>
      <c r="Y121" s="16">
        <v>1.36</v>
      </c>
      <c r="Z121" s="16">
        <v>1</v>
      </c>
      <c r="AA121" s="16" t="s">
        <v>21</v>
      </c>
      <c r="AB121" s="20">
        <v>43969</v>
      </c>
      <c r="AC121" s="20">
        <v>43962</v>
      </c>
      <c r="AD121" s="20">
        <v>43971</v>
      </c>
      <c r="AE121" s="20">
        <v>43965</v>
      </c>
      <c r="AF121" s="20">
        <v>43966</v>
      </c>
      <c r="AG121" s="20" t="s">
        <v>335</v>
      </c>
      <c r="AH121" s="32">
        <v>1</v>
      </c>
      <c r="AI121" s="32">
        <v>1</v>
      </c>
      <c r="AJ121" s="32" t="s">
        <v>412</v>
      </c>
      <c r="AK121" s="20" t="s">
        <v>165</v>
      </c>
      <c r="AL121" s="16"/>
      <c r="AM121" s="16"/>
      <c r="AN121" s="16"/>
    </row>
    <row r="122" spans="2:40" x14ac:dyDescent="0.25">
      <c r="B122" s="125">
        <f t="shared" si="16"/>
        <v>75</v>
      </c>
      <c r="C122" s="17">
        <v>20200511</v>
      </c>
      <c r="D122" s="16" t="s">
        <v>2</v>
      </c>
      <c r="E122" s="92" t="s">
        <v>656</v>
      </c>
      <c r="F122" s="18" t="s">
        <v>256</v>
      </c>
      <c r="G122" s="57" t="s">
        <v>61</v>
      </c>
      <c r="H122" s="16" t="s">
        <v>668</v>
      </c>
      <c r="I122" s="16" t="s">
        <v>630</v>
      </c>
      <c r="J122" s="16" t="s">
        <v>121</v>
      </c>
      <c r="K122" s="57" t="s">
        <v>61</v>
      </c>
      <c r="L122" s="57" t="s">
        <v>61</v>
      </c>
      <c r="M122" s="57" t="s">
        <v>61</v>
      </c>
      <c r="N122" s="16" t="s">
        <v>728</v>
      </c>
      <c r="O122" s="18" t="s">
        <v>655</v>
      </c>
      <c r="P122" s="18" t="s">
        <v>677</v>
      </c>
      <c r="Q122" s="19"/>
      <c r="R122" s="17" t="s">
        <v>98</v>
      </c>
      <c r="S122" s="16" t="s">
        <v>66</v>
      </c>
      <c r="T122" s="16"/>
      <c r="U122" s="16"/>
      <c r="V122" s="16"/>
      <c r="W122" s="16">
        <f>ROUND(IF(D122=Table!$C$3,Y122*Table!$C$4/8,Y122*Table!$D$4/8),3)</f>
        <v>344.5</v>
      </c>
      <c r="X122" s="16">
        <f t="shared" ref="X122:X145" si="18">W122</f>
        <v>344.5</v>
      </c>
      <c r="Y122" s="16">
        <v>21.2</v>
      </c>
      <c r="Z122" s="16">
        <v>16</v>
      </c>
      <c r="AA122" s="16" t="s">
        <v>21</v>
      </c>
      <c r="AB122" s="20">
        <v>43969</v>
      </c>
      <c r="AC122" s="20">
        <v>43962</v>
      </c>
      <c r="AD122" s="20">
        <v>43971</v>
      </c>
      <c r="AE122" s="20">
        <v>43966</v>
      </c>
      <c r="AF122" s="20">
        <v>43966</v>
      </c>
      <c r="AG122" s="20" t="s">
        <v>335</v>
      </c>
      <c r="AH122" s="32">
        <v>0.99399999999999999</v>
      </c>
      <c r="AI122" s="32">
        <v>0.99399999999999999</v>
      </c>
      <c r="AJ122" s="32">
        <v>0.98199999999999998</v>
      </c>
      <c r="AK122" s="20" t="s">
        <v>165</v>
      </c>
      <c r="AL122" s="18" t="s">
        <v>857</v>
      </c>
      <c r="AM122" s="16"/>
      <c r="AN122" s="16"/>
    </row>
    <row r="123" spans="2:40" x14ac:dyDescent="0.25">
      <c r="B123" s="125">
        <f t="shared" si="16"/>
        <v>76</v>
      </c>
      <c r="C123" s="17">
        <v>20200511</v>
      </c>
      <c r="D123" s="16" t="s">
        <v>2</v>
      </c>
      <c r="E123" s="92" t="s">
        <v>656</v>
      </c>
      <c r="F123" s="18" t="s">
        <v>256</v>
      </c>
      <c r="G123" s="57" t="s">
        <v>61</v>
      </c>
      <c r="H123" s="16" t="s">
        <v>669</v>
      </c>
      <c r="I123" s="16" t="s">
        <v>631</v>
      </c>
      <c r="J123" s="16" t="s">
        <v>121</v>
      </c>
      <c r="K123" s="57" t="s">
        <v>61</v>
      </c>
      <c r="L123" s="57" t="s">
        <v>61</v>
      </c>
      <c r="M123" s="57" t="s">
        <v>61</v>
      </c>
      <c r="N123" s="16" t="s">
        <v>728</v>
      </c>
      <c r="O123" s="18" t="s">
        <v>365</v>
      </c>
      <c r="P123" s="18" t="s">
        <v>677</v>
      </c>
      <c r="Q123" s="19"/>
      <c r="R123" s="17" t="s">
        <v>98</v>
      </c>
      <c r="S123" s="16" t="s">
        <v>66</v>
      </c>
      <c r="T123" s="16"/>
      <c r="U123" s="16"/>
      <c r="V123" s="16"/>
      <c r="W123" s="16">
        <f>ROUND(IF(D123=Table!$C$3,Y123*Table!$C$4/8,Y123*Table!$D$4/8),3)</f>
        <v>22.1</v>
      </c>
      <c r="X123" s="16">
        <f t="shared" si="18"/>
        <v>22.1</v>
      </c>
      <c r="Y123" s="16">
        <v>1.36</v>
      </c>
      <c r="Z123" s="16">
        <v>2</v>
      </c>
      <c r="AA123" s="16" t="s">
        <v>21</v>
      </c>
      <c r="AB123" s="20">
        <v>43969</v>
      </c>
      <c r="AC123" s="20">
        <v>43962</v>
      </c>
      <c r="AD123" s="20">
        <v>43971</v>
      </c>
      <c r="AE123" s="20">
        <v>43964</v>
      </c>
      <c r="AF123" s="20">
        <v>43964</v>
      </c>
      <c r="AG123" s="20" t="s">
        <v>335</v>
      </c>
      <c r="AH123" s="103">
        <v>1</v>
      </c>
      <c r="AI123" s="103">
        <v>1</v>
      </c>
      <c r="AJ123" s="103" t="s">
        <v>412</v>
      </c>
      <c r="AK123" s="102" t="s">
        <v>165</v>
      </c>
      <c r="AL123" s="92"/>
      <c r="AM123" s="16"/>
      <c r="AN123" s="16"/>
    </row>
    <row r="124" spans="2:40" x14ac:dyDescent="0.25">
      <c r="B124" s="125">
        <f t="shared" si="16"/>
        <v>77</v>
      </c>
      <c r="C124" s="17">
        <v>20200511</v>
      </c>
      <c r="D124" s="16" t="s">
        <v>2</v>
      </c>
      <c r="E124" s="92" t="s">
        <v>656</v>
      </c>
      <c r="F124" s="18" t="s">
        <v>256</v>
      </c>
      <c r="G124" s="57" t="s">
        <v>61</v>
      </c>
      <c r="H124" s="16" t="s">
        <v>670</v>
      </c>
      <c r="I124" s="16" t="s">
        <v>632</v>
      </c>
      <c r="J124" s="16" t="s">
        <v>121</v>
      </c>
      <c r="K124" s="57" t="s">
        <v>61</v>
      </c>
      <c r="L124" s="57" t="s">
        <v>61</v>
      </c>
      <c r="M124" s="57" t="s">
        <v>61</v>
      </c>
      <c r="N124" s="16" t="s">
        <v>728</v>
      </c>
      <c r="O124" s="18" t="s">
        <v>365</v>
      </c>
      <c r="P124" s="18" t="s">
        <v>677</v>
      </c>
      <c r="Q124" s="19"/>
      <c r="R124" s="17" t="s">
        <v>98</v>
      </c>
      <c r="S124" s="16" t="s">
        <v>66</v>
      </c>
      <c r="T124" s="16"/>
      <c r="U124" s="16"/>
      <c r="V124" s="16"/>
      <c r="W124" s="16">
        <f>ROUND(IF(D124=Table!$C$3,Y124*Table!$C$4/8,Y124*Table!$D$4/8),3)</f>
        <v>22.1</v>
      </c>
      <c r="X124" s="16">
        <f t="shared" si="18"/>
        <v>22.1</v>
      </c>
      <c r="Y124" s="16">
        <v>1.36</v>
      </c>
      <c r="Z124" s="16">
        <v>2</v>
      </c>
      <c r="AA124" s="16" t="s">
        <v>21</v>
      </c>
      <c r="AB124" s="20">
        <v>43969</v>
      </c>
      <c r="AC124" s="20">
        <v>43962</v>
      </c>
      <c r="AD124" s="20">
        <v>43971</v>
      </c>
      <c r="AE124" s="20">
        <v>43964</v>
      </c>
      <c r="AF124" s="20">
        <v>43964</v>
      </c>
      <c r="AG124" s="20" t="s">
        <v>335</v>
      </c>
      <c r="AH124" s="103">
        <v>1</v>
      </c>
      <c r="AI124" s="103">
        <v>1</v>
      </c>
      <c r="AJ124" s="103">
        <v>1</v>
      </c>
      <c r="AK124" s="102" t="s">
        <v>165</v>
      </c>
      <c r="AL124" s="92"/>
      <c r="AM124" s="16"/>
      <c r="AN124" s="16"/>
    </row>
    <row r="125" spans="2:40" x14ac:dyDescent="0.25">
      <c r="B125" s="125">
        <f t="shared" si="16"/>
        <v>78</v>
      </c>
      <c r="C125" s="17">
        <v>20200511</v>
      </c>
      <c r="D125" s="16" t="s">
        <v>2</v>
      </c>
      <c r="E125" s="92" t="s">
        <v>656</v>
      </c>
      <c r="F125" s="18" t="s">
        <v>256</v>
      </c>
      <c r="G125" s="57" t="s">
        <v>61</v>
      </c>
      <c r="H125" s="16" t="s">
        <v>671</v>
      </c>
      <c r="I125" s="16" t="s">
        <v>633</v>
      </c>
      <c r="J125" s="16" t="s">
        <v>121</v>
      </c>
      <c r="K125" s="57" t="s">
        <v>61</v>
      </c>
      <c r="L125" s="57" t="s">
        <v>61</v>
      </c>
      <c r="M125" s="57" t="s">
        <v>61</v>
      </c>
      <c r="N125" s="16" t="s">
        <v>728</v>
      </c>
      <c r="O125" s="18" t="s">
        <v>365</v>
      </c>
      <c r="P125" s="18" t="s">
        <v>677</v>
      </c>
      <c r="Q125" s="19"/>
      <c r="R125" s="17" t="s">
        <v>98</v>
      </c>
      <c r="S125" s="16" t="s">
        <v>66</v>
      </c>
      <c r="T125" s="16"/>
      <c r="U125" s="16"/>
      <c r="V125" s="16"/>
      <c r="W125" s="16">
        <f>ROUND(IF(D125=Table!$C$3,Y125*Table!$C$4/8,Y125*Table!$D$4/8),3)</f>
        <v>45.5</v>
      </c>
      <c r="X125" s="16">
        <f t="shared" si="18"/>
        <v>45.5</v>
      </c>
      <c r="Y125" s="16">
        <v>2.8</v>
      </c>
      <c r="Z125" s="16">
        <v>2</v>
      </c>
      <c r="AA125" s="16" t="s">
        <v>21</v>
      </c>
      <c r="AB125" s="20">
        <v>43969</v>
      </c>
      <c r="AC125" s="20">
        <v>43962</v>
      </c>
      <c r="AD125" s="20">
        <v>43971</v>
      </c>
      <c r="AE125" s="20">
        <v>43964</v>
      </c>
      <c r="AF125" s="20">
        <v>43964</v>
      </c>
      <c r="AG125" s="20" t="s">
        <v>335</v>
      </c>
      <c r="AH125" s="103" t="s">
        <v>412</v>
      </c>
      <c r="AI125" s="103" t="s">
        <v>412</v>
      </c>
      <c r="AJ125" s="103" t="s">
        <v>412</v>
      </c>
      <c r="AK125" s="20" t="s">
        <v>165</v>
      </c>
      <c r="AL125" s="92" t="s">
        <v>610</v>
      </c>
      <c r="AM125" s="16"/>
      <c r="AN125" s="16"/>
    </row>
    <row r="126" spans="2:40" x14ac:dyDescent="0.25">
      <c r="B126" s="125">
        <f t="shared" si="16"/>
        <v>79</v>
      </c>
      <c r="C126" s="17">
        <v>20200511</v>
      </c>
      <c r="D126" s="16" t="s">
        <v>2</v>
      </c>
      <c r="E126" s="92" t="s">
        <v>656</v>
      </c>
      <c r="F126" s="18" t="s">
        <v>256</v>
      </c>
      <c r="G126" s="57" t="s">
        <v>61</v>
      </c>
      <c r="H126" s="16" t="s">
        <v>672</v>
      </c>
      <c r="I126" s="16" t="s">
        <v>634</v>
      </c>
      <c r="J126" s="16" t="s">
        <v>121</v>
      </c>
      <c r="K126" s="57" t="s">
        <v>61</v>
      </c>
      <c r="L126" s="57" t="s">
        <v>61</v>
      </c>
      <c r="M126" s="57" t="s">
        <v>61</v>
      </c>
      <c r="N126" s="16" t="s">
        <v>728</v>
      </c>
      <c r="O126" s="18" t="s">
        <v>655</v>
      </c>
      <c r="P126" s="18" t="s">
        <v>677</v>
      </c>
      <c r="Q126" s="19"/>
      <c r="R126" s="17" t="s">
        <v>98</v>
      </c>
      <c r="S126" s="16" t="s">
        <v>66</v>
      </c>
      <c r="T126" s="16"/>
      <c r="U126" s="16"/>
      <c r="V126" s="16"/>
      <c r="W126" s="16">
        <f>ROUND(IF(D126=Table!$C$3,Y126*Table!$C$4/8,Y126*Table!$D$4/8),3)</f>
        <v>130</v>
      </c>
      <c r="X126" s="16">
        <f t="shared" si="18"/>
        <v>130</v>
      </c>
      <c r="Y126" s="16">
        <v>8</v>
      </c>
      <c r="Z126" s="16">
        <v>2</v>
      </c>
      <c r="AA126" s="16" t="s">
        <v>21</v>
      </c>
      <c r="AB126" s="20">
        <v>43969</v>
      </c>
      <c r="AC126" s="20">
        <v>43962</v>
      </c>
      <c r="AD126" s="20">
        <v>43971</v>
      </c>
      <c r="AE126" s="20">
        <v>43964</v>
      </c>
      <c r="AF126" s="20">
        <v>43964</v>
      </c>
      <c r="AG126" s="20" t="s">
        <v>335</v>
      </c>
      <c r="AH126" s="103">
        <v>0.93500000000000005</v>
      </c>
      <c r="AI126" s="103">
        <v>0.94399999999999995</v>
      </c>
      <c r="AJ126" s="103">
        <v>0.78900000000000003</v>
      </c>
      <c r="AK126" s="20" t="s">
        <v>165</v>
      </c>
      <c r="AL126" s="92" t="s">
        <v>780</v>
      </c>
      <c r="AM126" s="16"/>
      <c r="AN126" s="16"/>
    </row>
    <row r="127" spans="2:40" x14ac:dyDescent="0.25">
      <c r="B127" s="125">
        <f t="shared" si="16"/>
        <v>80</v>
      </c>
      <c r="C127" s="17">
        <v>20200511</v>
      </c>
      <c r="D127" s="16" t="s">
        <v>3</v>
      </c>
      <c r="E127" s="92" t="s">
        <v>656</v>
      </c>
      <c r="F127" s="18" t="s">
        <v>658</v>
      </c>
      <c r="G127" s="57" t="s">
        <v>61</v>
      </c>
      <c r="H127" s="16" t="s">
        <v>518</v>
      </c>
      <c r="I127" s="16" t="s">
        <v>635</v>
      </c>
      <c r="J127" s="16" t="s">
        <v>121</v>
      </c>
      <c r="K127" s="57" t="s">
        <v>61</v>
      </c>
      <c r="L127" s="57" t="s">
        <v>61</v>
      </c>
      <c r="M127" s="57" t="s">
        <v>61</v>
      </c>
      <c r="N127" s="16" t="s">
        <v>678</v>
      </c>
      <c r="O127" s="18" t="s">
        <v>61</v>
      </c>
      <c r="P127" s="18" t="s">
        <v>677</v>
      </c>
      <c r="Q127" s="19"/>
      <c r="R127" s="17" t="s">
        <v>98</v>
      </c>
      <c r="S127" s="16" t="s">
        <v>66</v>
      </c>
      <c r="T127" s="16"/>
      <c r="U127" s="16"/>
      <c r="V127" s="16"/>
      <c r="W127" s="16">
        <f>ROUND(IF(D127=Table!$C$3,Y127*Table!$C$4/8,Y127*Table!$D$4/8),3)</f>
        <v>225</v>
      </c>
      <c r="X127" s="16">
        <f t="shared" si="18"/>
        <v>225</v>
      </c>
      <c r="Y127" s="16">
        <v>4</v>
      </c>
      <c r="Z127" s="16">
        <v>1</v>
      </c>
      <c r="AA127" s="16" t="s">
        <v>21</v>
      </c>
      <c r="AB127" s="20">
        <v>43969</v>
      </c>
      <c r="AC127" s="20">
        <v>43962</v>
      </c>
      <c r="AD127" s="20">
        <v>43971</v>
      </c>
      <c r="AE127" s="20">
        <v>43962</v>
      </c>
      <c r="AF127" s="20">
        <v>43962</v>
      </c>
      <c r="AG127" s="20" t="s">
        <v>335</v>
      </c>
      <c r="AH127" s="32">
        <v>1</v>
      </c>
      <c r="AI127" s="32">
        <v>1</v>
      </c>
      <c r="AJ127" s="32">
        <v>1</v>
      </c>
      <c r="AK127" s="20" t="s">
        <v>165</v>
      </c>
      <c r="AL127" s="16"/>
      <c r="AM127" s="16"/>
      <c r="AN127" s="16"/>
    </row>
    <row r="128" spans="2:40" x14ac:dyDescent="0.25">
      <c r="B128" s="125">
        <f t="shared" si="16"/>
        <v>81</v>
      </c>
      <c r="C128" s="17">
        <v>20200511</v>
      </c>
      <c r="D128" s="16" t="s">
        <v>3</v>
      </c>
      <c r="E128" s="92" t="s">
        <v>656</v>
      </c>
      <c r="F128" s="18" t="s">
        <v>659</v>
      </c>
      <c r="G128" s="57" t="s">
        <v>61</v>
      </c>
      <c r="H128" s="16" t="s">
        <v>673</v>
      </c>
      <c r="I128" s="16" t="s">
        <v>636</v>
      </c>
      <c r="J128" s="16" t="s">
        <v>121</v>
      </c>
      <c r="K128" s="57" t="s">
        <v>61</v>
      </c>
      <c r="L128" s="57" t="s">
        <v>61</v>
      </c>
      <c r="M128" s="57" t="s">
        <v>61</v>
      </c>
      <c r="N128" s="16" t="s">
        <v>678</v>
      </c>
      <c r="O128" s="18" t="s">
        <v>61</v>
      </c>
      <c r="P128" s="18" t="s">
        <v>677</v>
      </c>
      <c r="Q128" s="19"/>
      <c r="R128" s="17" t="s">
        <v>98</v>
      </c>
      <c r="S128" s="16" t="s">
        <v>66</v>
      </c>
      <c r="T128" s="16"/>
      <c r="U128" s="16"/>
      <c r="V128" s="16"/>
      <c r="W128" s="16">
        <f>ROUND(IF(D128=Table!$C$3,Y128*Table!$C$4/8,Y128*Table!$D$4/8),3)</f>
        <v>135</v>
      </c>
      <c r="X128" s="16">
        <f t="shared" si="18"/>
        <v>135</v>
      </c>
      <c r="Y128" s="16">
        <v>2.4</v>
      </c>
      <c r="Z128" s="16">
        <v>1</v>
      </c>
      <c r="AA128" s="16" t="s">
        <v>21</v>
      </c>
      <c r="AB128" s="20">
        <v>43969</v>
      </c>
      <c r="AC128" s="20">
        <v>43962</v>
      </c>
      <c r="AD128" s="20">
        <v>43971</v>
      </c>
      <c r="AE128" s="20">
        <v>43962</v>
      </c>
      <c r="AF128" s="20">
        <v>43962</v>
      </c>
      <c r="AG128" s="20" t="s">
        <v>335</v>
      </c>
      <c r="AH128" s="32">
        <v>1</v>
      </c>
      <c r="AI128" s="32">
        <v>1</v>
      </c>
      <c r="AJ128" s="32">
        <v>1</v>
      </c>
      <c r="AK128" s="20" t="s">
        <v>165</v>
      </c>
      <c r="AL128" s="16"/>
      <c r="AM128" s="16"/>
      <c r="AN128" s="16"/>
    </row>
    <row r="129" spans="2:40" x14ac:dyDescent="0.25">
      <c r="B129" s="125">
        <f t="shared" si="16"/>
        <v>82</v>
      </c>
      <c r="C129" s="17">
        <v>20200511</v>
      </c>
      <c r="D129" s="16" t="s">
        <v>3</v>
      </c>
      <c r="E129" s="92" t="s">
        <v>656</v>
      </c>
      <c r="F129" s="18" t="s">
        <v>659</v>
      </c>
      <c r="G129" s="57" t="s">
        <v>61</v>
      </c>
      <c r="H129" s="16" t="s">
        <v>674</v>
      </c>
      <c r="I129" s="16" t="s">
        <v>637</v>
      </c>
      <c r="J129" s="16" t="s">
        <v>121</v>
      </c>
      <c r="K129" s="57" t="s">
        <v>61</v>
      </c>
      <c r="L129" s="57" t="s">
        <v>61</v>
      </c>
      <c r="M129" s="57" t="s">
        <v>61</v>
      </c>
      <c r="N129" s="16" t="s">
        <v>678</v>
      </c>
      <c r="O129" s="18" t="s">
        <v>61</v>
      </c>
      <c r="P129" s="18" t="s">
        <v>677</v>
      </c>
      <c r="Q129" s="19"/>
      <c r="R129" s="17" t="s">
        <v>98</v>
      </c>
      <c r="S129" s="16" t="s">
        <v>66</v>
      </c>
      <c r="T129" s="16"/>
      <c r="U129" s="16"/>
      <c r="V129" s="16"/>
      <c r="W129" s="16">
        <f>ROUND(IF(D129=Table!$C$3,Y129*Table!$C$4/8,Y129*Table!$D$4/8),3)</f>
        <v>67.5</v>
      </c>
      <c r="X129" s="16">
        <f t="shared" si="18"/>
        <v>67.5</v>
      </c>
      <c r="Y129" s="16">
        <v>1.2</v>
      </c>
      <c r="Z129" s="16">
        <v>1</v>
      </c>
      <c r="AA129" s="16" t="s">
        <v>21</v>
      </c>
      <c r="AB129" s="20">
        <v>43969</v>
      </c>
      <c r="AC129" s="20">
        <v>43962</v>
      </c>
      <c r="AD129" s="20">
        <v>43971</v>
      </c>
      <c r="AE129" s="20">
        <v>43962</v>
      </c>
      <c r="AF129" s="20">
        <v>43962</v>
      </c>
      <c r="AG129" s="20" t="s">
        <v>335</v>
      </c>
      <c r="AH129" s="32">
        <v>1</v>
      </c>
      <c r="AI129" s="32">
        <v>1</v>
      </c>
      <c r="AJ129" s="32">
        <v>1</v>
      </c>
      <c r="AK129" s="20" t="s">
        <v>165</v>
      </c>
      <c r="AL129" s="16"/>
      <c r="AM129" s="16"/>
      <c r="AN129" s="16"/>
    </row>
    <row r="130" spans="2:40" x14ac:dyDescent="0.25">
      <c r="B130" s="125">
        <f t="shared" si="16"/>
        <v>83</v>
      </c>
      <c r="C130" s="17">
        <v>20200511</v>
      </c>
      <c r="D130" s="16" t="s">
        <v>3</v>
      </c>
      <c r="E130" s="92" t="s">
        <v>656</v>
      </c>
      <c r="F130" s="18" t="s">
        <v>660</v>
      </c>
      <c r="G130" s="57" t="s">
        <v>61</v>
      </c>
      <c r="H130" s="16" t="s">
        <v>675</v>
      </c>
      <c r="I130" s="16" t="s">
        <v>638</v>
      </c>
      <c r="J130" s="16" t="s">
        <v>121</v>
      </c>
      <c r="K130" s="57" t="s">
        <v>61</v>
      </c>
      <c r="L130" s="57" t="s">
        <v>61</v>
      </c>
      <c r="M130" s="57" t="s">
        <v>61</v>
      </c>
      <c r="N130" s="16" t="s">
        <v>678</v>
      </c>
      <c r="O130" s="18" t="s">
        <v>61</v>
      </c>
      <c r="P130" s="18" t="s">
        <v>677</v>
      </c>
      <c r="Q130" s="19"/>
      <c r="R130" s="17" t="s">
        <v>98</v>
      </c>
      <c r="S130" s="16" t="s">
        <v>66</v>
      </c>
      <c r="T130" s="16"/>
      <c r="U130" s="16"/>
      <c r="V130" s="16"/>
      <c r="W130" s="16">
        <f>ROUND(IF(D130=Table!$C$3,Y130*Table!$C$4/8,Y130*Table!$D$4/8),3)</f>
        <v>67.5</v>
      </c>
      <c r="X130" s="16">
        <f t="shared" si="18"/>
        <v>67.5</v>
      </c>
      <c r="Y130" s="16">
        <v>1.2</v>
      </c>
      <c r="Z130" s="16">
        <v>1</v>
      </c>
      <c r="AA130" s="16" t="s">
        <v>21</v>
      </c>
      <c r="AB130" s="20">
        <v>43969</v>
      </c>
      <c r="AC130" s="20">
        <v>43962</v>
      </c>
      <c r="AD130" s="20">
        <v>43971</v>
      </c>
      <c r="AE130" s="20">
        <v>43962</v>
      </c>
      <c r="AF130" s="20">
        <v>43962</v>
      </c>
      <c r="AG130" s="20" t="s">
        <v>335</v>
      </c>
      <c r="AH130" s="32">
        <v>1</v>
      </c>
      <c r="AI130" s="32">
        <v>1</v>
      </c>
      <c r="AJ130" s="32">
        <v>0.25</v>
      </c>
      <c r="AK130" s="20" t="s">
        <v>165</v>
      </c>
      <c r="AL130" t="s">
        <v>681</v>
      </c>
      <c r="AM130" s="16"/>
      <c r="AN130" s="16"/>
    </row>
    <row r="131" spans="2:40" x14ac:dyDescent="0.25">
      <c r="B131" s="125">
        <f t="shared" si="16"/>
        <v>84</v>
      </c>
      <c r="C131" s="17">
        <v>20200511</v>
      </c>
      <c r="D131" s="16" t="s">
        <v>3</v>
      </c>
      <c r="E131" s="92" t="s">
        <v>656</v>
      </c>
      <c r="F131" s="18" t="s">
        <v>661</v>
      </c>
      <c r="G131" s="57" t="s">
        <v>61</v>
      </c>
      <c r="H131" s="16" t="s">
        <v>522</v>
      </c>
      <c r="I131" s="16" t="s">
        <v>639</v>
      </c>
      <c r="J131" s="16" t="s">
        <v>121</v>
      </c>
      <c r="K131" s="57" t="s">
        <v>61</v>
      </c>
      <c r="L131" s="57" t="s">
        <v>61</v>
      </c>
      <c r="M131" s="57" t="s">
        <v>61</v>
      </c>
      <c r="N131" s="16" t="s">
        <v>678</v>
      </c>
      <c r="O131" s="18" t="s">
        <v>61</v>
      </c>
      <c r="P131" s="18" t="s">
        <v>677</v>
      </c>
      <c r="Q131" s="19"/>
      <c r="R131" s="17" t="s">
        <v>98</v>
      </c>
      <c r="S131" s="16" t="s">
        <v>66</v>
      </c>
      <c r="T131" s="16"/>
      <c r="U131" s="16"/>
      <c r="V131" s="16"/>
      <c r="W131" s="16">
        <f>ROUND(IF(D131=Table!$C$3,Y131*Table!$C$4/8,Y131*Table!$D$4/8),3)</f>
        <v>607.5</v>
      </c>
      <c r="X131" s="16">
        <f t="shared" si="18"/>
        <v>607.5</v>
      </c>
      <c r="Y131" s="16">
        <v>10.8</v>
      </c>
      <c r="Z131" s="16">
        <v>2</v>
      </c>
      <c r="AA131" s="16" t="s">
        <v>21</v>
      </c>
      <c r="AB131" s="20">
        <v>43969</v>
      </c>
      <c r="AC131" s="20">
        <v>43962</v>
      </c>
      <c r="AD131" s="20">
        <v>43971</v>
      </c>
      <c r="AE131" s="20">
        <v>43962</v>
      </c>
      <c r="AF131" s="20">
        <v>43962</v>
      </c>
      <c r="AG131" s="20" t="s">
        <v>335</v>
      </c>
      <c r="AH131" s="32">
        <v>1</v>
      </c>
      <c r="AI131" s="32">
        <v>1</v>
      </c>
      <c r="AJ131" s="32">
        <v>1</v>
      </c>
      <c r="AK131" s="20" t="s">
        <v>165</v>
      </c>
      <c r="AL131" s="16"/>
      <c r="AM131" s="16"/>
      <c r="AN131" s="16"/>
    </row>
    <row r="132" spans="2:40" x14ac:dyDescent="0.25">
      <c r="B132" s="125">
        <f t="shared" si="16"/>
        <v>85</v>
      </c>
      <c r="C132" s="17">
        <v>20200511</v>
      </c>
      <c r="D132" s="16" t="s">
        <v>3</v>
      </c>
      <c r="E132" s="92" t="s">
        <v>656</v>
      </c>
      <c r="F132" s="18" t="s">
        <v>662</v>
      </c>
      <c r="G132" s="57" t="s">
        <v>61</v>
      </c>
      <c r="H132" s="16" t="s">
        <v>217</v>
      </c>
      <c r="I132" s="16" t="s">
        <v>640</v>
      </c>
      <c r="J132" s="16" t="s">
        <v>676</v>
      </c>
      <c r="K132" s="57" t="s">
        <v>61</v>
      </c>
      <c r="L132" s="57" t="s">
        <v>61</v>
      </c>
      <c r="M132" s="57" t="s">
        <v>61</v>
      </c>
      <c r="N132" s="16" t="s">
        <v>678</v>
      </c>
      <c r="O132" s="18" t="s">
        <v>61</v>
      </c>
      <c r="P132" s="18" t="s">
        <v>677</v>
      </c>
      <c r="Q132" s="19"/>
      <c r="R132" s="17" t="s">
        <v>98</v>
      </c>
      <c r="S132" s="16" t="s">
        <v>66</v>
      </c>
      <c r="T132" s="16"/>
      <c r="U132" s="16"/>
      <c r="V132" s="16"/>
      <c r="W132" s="16">
        <f>ROUND(IF(D132=Table!$C$3,Y132*Table!$C$4/8,Y132*Table!$D$4/8),3)</f>
        <v>720</v>
      </c>
      <c r="X132" s="16">
        <f t="shared" si="18"/>
        <v>720</v>
      </c>
      <c r="Y132" s="16">
        <v>12.8</v>
      </c>
      <c r="Z132" s="16">
        <v>2</v>
      </c>
      <c r="AA132" s="16" t="s">
        <v>21</v>
      </c>
      <c r="AB132" s="20">
        <v>43969</v>
      </c>
      <c r="AC132" s="20">
        <v>43962</v>
      </c>
      <c r="AD132" s="20">
        <v>43971</v>
      </c>
      <c r="AE132" s="20">
        <v>43962</v>
      </c>
      <c r="AF132" s="20">
        <v>43962</v>
      </c>
      <c r="AG132" s="20" t="s">
        <v>335</v>
      </c>
      <c r="AH132" s="32">
        <v>1</v>
      </c>
      <c r="AI132" s="32">
        <v>1</v>
      </c>
      <c r="AJ132" s="32">
        <v>1</v>
      </c>
      <c r="AK132" s="20" t="s">
        <v>165</v>
      </c>
      <c r="AL132" s="16"/>
      <c r="AM132" s="16"/>
      <c r="AN132" s="16"/>
    </row>
    <row r="133" spans="2:40" x14ac:dyDescent="0.25">
      <c r="B133" s="125">
        <f t="shared" si="16"/>
        <v>86</v>
      </c>
      <c r="C133" s="17">
        <v>20200511</v>
      </c>
      <c r="D133" s="16" t="s">
        <v>3</v>
      </c>
      <c r="E133" s="92" t="s">
        <v>656</v>
      </c>
      <c r="F133" s="18" t="s">
        <v>662</v>
      </c>
      <c r="G133" s="57" t="s">
        <v>61</v>
      </c>
      <c r="H133" s="16" t="s">
        <v>219</v>
      </c>
      <c r="I133" s="16" t="s">
        <v>641</v>
      </c>
      <c r="J133" s="16" t="s">
        <v>676</v>
      </c>
      <c r="K133" s="57" t="s">
        <v>61</v>
      </c>
      <c r="L133" s="57" t="s">
        <v>61</v>
      </c>
      <c r="M133" s="57" t="s">
        <v>61</v>
      </c>
      <c r="N133" s="16" t="s">
        <v>678</v>
      </c>
      <c r="O133" s="18" t="s">
        <v>61</v>
      </c>
      <c r="P133" s="18" t="s">
        <v>677</v>
      </c>
      <c r="Q133" s="19"/>
      <c r="R133" s="17" t="s">
        <v>98</v>
      </c>
      <c r="S133" s="16" t="s">
        <v>66</v>
      </c>
      <c r="T133" s="16"/>
      <c r="U133" s="16"/>
      <c r="V133" s="16"/>
      <c r="W133" s="16">
        <f>ROUND(IF(D133=Table!$C$3,Y133*Table!$C$4/8,Y133*Table!$D$4/8),3)</f>
        <v>360</v>
      </c>
      <c r="X133" s="16">
        <f t="shared" si="18"/>
        <v>360</v>
      </c>
      <c r="Y133" s="16">
        <v>6.4</v>
      </c>
      <c r="Z133" s="16">
        <v>4</v>
      </c>
      <c r="AA133" s="16" t="s">
        <v>21</v>
      </c>
      <c r="AB133" s="20">
        <v>43969</v>
      </c>
      <c r="AC133" s="20">
        <v>43962</v>
      </c>
      <c r="AD133" s="20">
        <v>43971</v>
      </c>
      <c r="AE133" s="20">
        <v>43963</v>
      </c>
      <c r="AF133" s="20">
        <v>43963</v>
      </c>
      <c r="AG133" s="20" t="s">
        <v>335</v>
      </c>
      <c r="AH133" s="32">
        <v>1</v>
      </c>
      <c r="AI133" s="32">
        <v>1</v>
      </c>
      <c r="AJ133" s="32">
        <v>1</v>
      </c>
      <c r="AK133" s="20" t="s">
        <v>165</v>
      </c>
      <c r="AL133" s="16"/>
      <c r="AM133" s="16"/>
      <c r="AN133" s="16"/>
    </row>
    <row r="134" spans="2:40" x14ac:dyDescent="0.25">
      <c r="B134" s="125">
        <f t="shared" si="16"/>
        <v>87</v>
      </c>
      <c r="C134" s="17">
        <v>20200511</v>
      </c>
      <c r="D134" s="16" t="s">
        <v>3</v>
      </c>
      <c r="E134" s="92" t="s">
        <v>656</v>
      </c>
      <c r="F134" s="18" t="s">
        <v>662</v>
      </c>
      <c r="G134" s="57" t="s">
        <v>61</v>
      </c>
      <c r="H134" s="16" t="s">
        <v>221</v>
      </c>
      <c r="I134" s="16" t="s">
        <v>642</v>
      </c>
      <c r="J134" s="16" t="s">
        <v>676</v>
      </c>
      <c r="K134" s="57" t="s">
        <v>61</v>
      </c>
      <c r="L134" s="57" t="s">
        <v>61</v>
      </c>
      <c r="M134" s="57" t="s">
        <v>61</v>
      </c>
      <c r="N134" s="16" t="s">
        <v>678</v>
      </c>
      <c r="O134" s="18" t="s">
        <v>61</v>
      </c>
      <c r="P134" s="18" t="s">
        <v>677</v>
      </c>
      <c r="Q134" s="19"/>
      <c r="R134" s="17" t="s">
        <v>98</v>
      </c>
      <c r="S134" s="16" t="s">
        <v>66</v>
      </c>
      <c r="T134" s="16"/>
      <c r="U134" s="16"/>
      <c r="V134" s="16"/>
      <c r="W134" s="16">
        <f>ROUND(IF(D134=Table!$C$3,Y134*Table!$C$4/8,Y134*Table!$D$4/8),3)</f>
        <v>360</v>
      </c>
      <c r="X134" s="16">
        <f t="shared" si="18"/>
        <v>360</v>
      </c>
      <c r="Y134" s="16">
        <v>6.4</v>
      </c>
      <c r="Z134" s="16">
        <v>4</v>
      </c>
      <c r="AA134" s="16" t="s">
        <v>21</v>
      </c>
      <c r="AB134" s="20">
        <v>43969</v>
      </c>
      <c r="AC134" s="20">
        <v>43962</v>
      </c>
      <c r="AD134" s="20">
        <v>43971</v>
      </c>
      <c r="AE134" s="20">
        <v>43963</v>
      </c>
      <c r="AF134" s="20">
        <v>43963</v>
      </c>
      <c r="AG134" s="20" t="s">
        <v>335</v>
      </c>
      <c r="AH134" s="32">
        <v>1</v>
      </c>
      <c r="AI134" s="32">
        <v>1</v>
      </c>
      <c r="AJ134" s="32">
        <v>0.9</v>
      </c>
      <c r="AK134" s="20" t="s">
        <v>165</v>
      </c>
      <c r="AL134" s="16" t="s">
        <v>698</v>
      </c>
      <c r="AM134" s="16"/>
      <c r="AN134" s="16"/>
    </row>
    <row r="135" spans="2:40" x14ac:dyDescent="0.25">
      <c r="B135" s="125">
        <f t="shared" si="16"/>
        <v>88</v>
      </c>
      <c r="C135" s="17">
        <v>20200511</v>
      </c>
      <c r="D135" s="16" t="s">
        <v>3</v>
      </c>
      <c r="E135" s="92" t="s">
        <v>656</v>
      </c>
      <c r="F135" s="18" t="s">
        <v>662</v>
      </c>
      <c r="G135" s="57" t="s">
        <v>61</v>
      </c>
      <c r="H135" s="16" t="s">
        <v>222</v>
      </c>
      <c r="I135" s="16" t="s">
        <v>643</v>
      </c>
      <c r="J135" s="16" t="s">
        <v>121</v>
      </c>
      <c r="K135" s="57" t="s">
        <v>61</v>
      </c>
      <c r="L135" s="57" t="s">
        <v>61</v>
      </c>
      <c r="M135" s="57" t="s">
        <v>61</v>
      </c>
      <c r="N135" s="16" t="s">
        <v>678</v>
      </c>
      <c r="O135" s="18" t="s">
        <v>61</v>
      </c>
      <c r="P135" s="18" t="s">
        <v>677</v>
      </c>
      <c r="Q135" s="19"/>
      <c r="R135" s="17" t="s">
        <v>97</v>
      </c>
      <c r="S135" s="16" t="s">
        <v>156</v>
      </c>
      <c r="T135" s="16"/>
      <c r="U135" s="16"/>
      <c r="V135" s="16"/>
      <c r="W135" s="16">
        <f>ROUND(IF(D135=Table!$C$3,Y135*Table!$C$4/8,Y135*Table!$D$4/8),3)</f>
        <v>112.5</v>
      </c>
      <c r="X135" s="16">
        <f t="shared" si="18"/>
        <v>112.5</v>
      </c>
      <c r="Y135" s="16">
        <v>2</v>
      </c>
      <c r="Z135" s="16">
        <v>0.5</v>
      </c>
      <c r="AA135" s="16" t="s">
        <v>21</v>
      </c>
      <c r="AB135" s="20">
        <v>43969</v>
      </c>
      <c r="AC135" s="20">
        <v>43962</v>
      </c>
      <c r="AD135" s="20">
        <v>43971</v>
      </c>
      <c r="AE135" s="20">
        <v>43962</v>
      </c>
      <c r="AF135" s="20">
        <v>43962</v>
      </c>
      <c r="AG135" s="20" t="s">
        <v>335</v>
      </c>
      <c r="AH135" s="32">
        <v>1</v>
      </c>
      <c r="AI135" s="32">
        <v>1</v>
      </c>
      <c r="AJ135" s="32">
        <v>1</v>
      </c>
      <c r="AK135" s="20" t="s">
        <v>165</v>
      </c>
      <c r="AL135" s="16"/>
      <c r="AM135" s="16"/>
      <c r="AN135" s="16"/>
    </row>
    <row r="136" spans="2:40" x14ac:dyDescent="0.25">
      <c r="B136" s="125">
        <f t="shared" si="16"/>
        <v>89</v>
      </c>
      <c r="C136" s="17">
        <v>20200511</v>
      </c>
      <c r="D136" s="16" t="s">
        <v>3</v>
      </c>
      <c r="E136" s="92" t="s">
        <v>656</v>
      </c>
      <c r="F136" s="18" t="s">
        <v>662</v>
      </c>
      <c r="G136" s="57" t="s">
        <v>61</v>
      </c>
      <c r="H136" s="16" t="s">
        <v>223</v>
      </c>
      <c r="I136" s="16" t="s">
        <v>644</v>
      </c>
      <c r="J136" s="16" t="s">
        <v>121</v>
      </c>
      <c r="K136" s="57" t="s">
        <v>61</v>
      </c>
      <c r="L136" s="57" t="s">
        <v>61</v>
      </c>
      <c r="M136" s="57" t="s">
        <v>61</v>
      </c>
      <c r="N136" s="16" t="s">
        <v>678</v>
      </c>
      <c r="O136" s="18" t="s">
        <v>61</v>
      </c>
      <c r="P136" s="18" t="s">
        <v>677</v>
      </c>
      <c r="Q136" s="19"/>
      <c r="R136" s="17" t="s">
        <v>97</v>
      </c>
      <c r="S136" s="16" t="s">
        <v>156</v>
      </c>
      <c r="T136" s="16"/>
      <c r="U136" s="16"/>
      <c r="V136" s="16"/>
      <c r="W136" s="16">
        <f>ROUND(IF(D136=Table!$C$3,Y136*Table!$C$4/8,Y136*Table!$D$4/8),3)</f>
        <v>216</v>
      </c>
      <c r="X136" s="16">
        <f t="shared" si="18"/>
        <v>216</v>
      </c>
      <c r="Y136" s="16">
        <v>3.84</v>
      </c>
      <c r="Z136" s="16">
        <v>0.5</v>
      </c>
      <c r="AA136" s="16" t="s">
        <v>21</v>
      </c>
      <c r="AB136" s="20">
        <v>43969</v>
      </c>
      <c r="AC136" s="20">
        <v>43962</v>
      </c>
      <c r="AD136" s="20">
        <v>43971</v>
      </c>
      <c r="AE136" s="20">
        <v>43962</v>
      </c>
      <c r="AF136" s="20">
        <v>43962</v>
      </c>
      <c r="AG136" s="20" t="s">
        <v>335</v>
      </c>
      <c r="AH136" s="32">
        <v>1</v>
      </c>
      <c r="AI136" s="32">
        <v>1</v>
      </c>
      <c r="AJ136" s="32">
        <v>1</v>
      </c>
      <c r="AK136" s="20" t="s">
        <v>165</v>
      </c>
      <c r="AL136" s="16"/>
      <c r="AM136" s="16"/>
      <c r="AN136" s="16"/>
    </row>
    <row r="137" spans="2:40" x14ac:dyDescent="0.25">
      <c r="B137" s="125">
        <f t="shared" si="16"/>
        <v>90</v>
      </c>
      <c r="C137" s="17">
        <v>20200511</v>
      </c>
      <c r="D137" s="16" t="s">
        <v>3</v>
      </c>
      <c r="E137" s="92" t="s">
        <v>656</v>
      </c>
      <c r="F137" s="18" t="s">
        <v>662</v>
      </c>
      <c r="G137" s="57" t="s">
        <v>61</v>
      </c>
      <c r="H137" s="16" t="s">
        <v>224</v>
      </c>
      <c r="I137" s="16" t="s">
        <v>645</v>
      </c>
      <c r="J137" s="16" t="s">
        <v>121</v>
      </c>
      <c r="K137" s="57" t="s">
        <v>61</v>
      </c>
      <c r="L137" s="57" t="s">
        <v>61</v>
      </c>
      <c r="M137" s="57" t="s">
        <v>61</v>
      </c>
      <c r="N137" s="16" t="s">
        <v>678</v>
      </c>
      <c r="O137" s="18" t="s">
        <v>61</v>
      </c>
      <c r="P137" s="18" t="s">
        <v>677</v>
      </c>
      <c r="Q137" s="19"/>
      <c r="R137" s="17" t="s">
        <v>97</v>
      </c>
      <c r="S137" s="16" t="s">
        <v>156</v>
      </c>
      <c r="T137" s="16"/>
      <c r="U137" s="16"/>
      <c r="V137" s="16"/>
      <c r="W137" s="16">
        <f>ROUND(IF(D137=Table!$C$3,Y137*Table!$C$4/8,Y137*Table!$D$4/8),3)</f>
        <v>90</v>
      </c>
      <c r="X137" s="16">
        <f t="shared" si="18"/>
        <v>90</v>
      </c>
      <c r="Y137" s="16">
        <v>1.6</v>
      </c>
      <c r="Z137" s="16">
        <v>0.5</v>
      </c>
      <c r="AA137" s="16" t="s">
        <v>21</v>
      </c>
      <c r="AB137" s="20">
        <v>43969</v>
      </c>
      <c r="AC137" s="20">
        <v>43962</v>
      </c>
      <c r="AD137" s="20">
        <v>43971</v>
      </c>
      <c r="AE137" s="20">
        <v>43962</v>
      </c>
      <c r="AF137" s="20">
        <v>43962</v>
      </c>
      <c r="AG137" s="20" t="s">
        <v>335</v>
      </c>
      <c r="AH137" s="32">
        <v>1</v>
      </c>
      <c r="AI137" s="32">
        <v>1</v>
      </c>
      <c r="AJ137" s="32">
        <v>1</v>
      </c>
      <c r="AK137" s="20" t="s">
        <v>165</v>
      </c>
      <c r="AL137" s="16"/>
      <c r="AM137" s="16"/>
      <c r="AN137" s="16"/>
    </row>
    <row r="138" spans="2:40" x14ac:dyDescent="0.25">
      <c r="B138" s="125">
        <f t="shared" si="16"/>
        <v>91</v>
      </c>
      <c r="C138" s="17">
        <v>20200511</v>
      </c>
      <c r="D138" s="16" t="s">
        <v>3</v>
      </c>
      <c r="E138" s="92" t="s">
        <v>656</v>
      </c>
      <c r="F138" s="18" t="s">
        <v>662</v>
      </c>
      <c r="G138" s="57" t="s">
        <v>61</v>
      </c>
      <c r="H138" s="16" t="s">
        <v>226</v>
      </c>
      <c r="I138" s="16" t="s">
        <v>646</v>
      </c>
      <c r="J138" s="16" t="s">
        <v>121</v>
      </c>
      <c r="K138" s="57" t="s">
        <v>61</v>
      </c>
      <c r="L138" s="57" t="s">
        <v>61</v>
      </c>
      <c r="M138" s="57" t="s">
        <v>61</v>
      </c>
      <c r="N138" s="16" t="s">
        <v>678</v>
      </c>
      <c r="O138" s="18" t="s">
        <v>61</v>
      </c>
      <c r="P138" s="18" t="s">
        <v>677</v>
      </c>
      <c r="Q138" s="19"/>
      <c r="R138" s="17" t="s">
        <v>97</v>
      </c>
      <c r="S138" s="16" t="s">
        <v>156</v>
      </c>
      <c r="T138" s="16"/>
      <c r="U138" s="16"/>
      <c r="V138" s="16"/>
      <c r="W138" s="16">
        <f>ROUND(IF(D138=Table!$C$3,Y138*Table!$C$4/8,Y138*Table!$D$4/8),3)</f>
        <v>67.5</v>
      </c>
      <c r="X138" s="16">
        <f t="shared" si="18"/>
        <v>67.5</v>
      </c>
      <c r="Y138" s="16">
        <v>1.2</v>
      </c>
      <c r="Z138" s="16">
        <v>0.5</v>
      </c>
      <c r="AA138" s="16" t="s">
        <v>21</v>
      </c>
      <c r="AB138" s="20">
        <v>43969</v>
      </c>
      <c r="AC138" s="20">
        <v>43962</v>
      </c>
      <c r="AD138" s="20">
        <v>43971</v>
      </c>
      <c r="AE138" s="20">
        <v>43962</v>
      </c>
      <c r="AF138" s="20">
        <v>43962</v>
      </c>
      <c r="AG138" s="20" t="s">
        <v>335</v>
      </c>
      <c r="AH138" s="32">
        <v>1</v>
      </c>
      <c r="AI138" s="32">
        <v>1</v>
      </c>
      <c r="AJ138" s="32">
        <v>1</v>
      </c>
      <c r="AK138" s="20" t="s">
        <v>165</v>
      </c>
      <c r="AL138" s="16"/>
      <c r="AM138" s="16"/>
      <c r="AN138" s="16"/>
    </row>
    <row r="139" spans="2:40" x14ac:dyDescent="0.25">
      <c r="B139" s="125">
        <f t="shared" si="16"/>
        <v>92</v>
      </c>
      <c r="C139" s="17">
        <v>20200511</v>
      </c>
      <c r="D139" s="16" t="s">
        <v>3</v>
      </c>
      <c r="E139" s="92" t="s">
        <v>656</v>
      </c>
      <c r="F139" s="18" t="s">
        <v>662</v>
      </c>
      <c r="G139" s="57" t="s">
        <v>61</v>
      </c>
      <c r="H139" s="16" t="s">
        <v>231</v>
      </c>
      <c r="I139" s="16" t="s">
        <v>647</v>
      </c>
      <c r="J139" s="16" t="s">
        <v>121</v>
      </c>
      <c r="K139" s="57" t="s">
        <v>61</v>
      </c>
      <c r="L139" s="57" t="s">
        <v>61</v>
      </c>
      <c r="M139" s="57" t="s">
        <v>61</v>
      </c>
      <c r="N139" s="16" t="s">
        <v>678</v>
      </c>
      <c r="O139" s="18" t="s">
        <v>61</v>
      </c>
      <c r="P139" s="18" t="s">
        <v>677</v>
      </c>
      <c r="Q139" s="19"/>
      <c r="R139" s="17" t="s">
        <v>97</v>
      </c>
      <c r="S139" s="16" t="s">
        <v>156</v>
      </c>
      <c r="T139" s="16"/>
      <c r="U139" s="16"/>
      <c r="V139" s="16"/>
      <c r="W139" s="16">
        <f>ROUND(IF(D139=Table!$C$3,Y139*Table!$C$4/8,Y139*Table!$D$4/8),3)</f>
        <v>261</v>
      </c>
      <c r="X139" s="16">
        <f t="shared" si="18"/>
        <v>261</v>
      </c>
      <c r="Y139" s="16">
        <v>4.6399999999999997</v>
      </c>
      <c r="Z139" s="16">
        <v>0.5</v>
      </c>
      <c r="AA139" s="16" t="s">
        <v>21</v>
      </c>
      <c r="AB139" s="20">
        <v>43969</v>
      </c>
      <c r="AC139" s="20">
        <v>43962</v>
      </c>
      <c r="AD139" s="20">
        <v>43971</v>
      </c>
      <c r="AE139" s="20">
        <v>43962</v>
      </c>
      <c r="AF139" s="20">
        <v>43962</v>
      </c>
      <c r="AG139" s="20" t="s">
        <v>335</v>
      </c>
      <c r="AH139" s="32">
        <v>0.99</v>
      </c>
      <c r="AI139" s="32">
        <v>1</v>
      </c>
      <c r="AJ139" s="32">
        <v>1</v>
      </c>
      <c r="AK139" s="20" t="s">
        <v>165</v>
      </c>
      <c r="AL139" s="16" t="s">
        <v>722</v>
      </c>
      <c r="AM139" s="16"/>
      <c r="AN139" s="16"/>
    </row>
    <row r="140" spans="2:40" x14ac:dyDescent="0.25">
      <c r="B140" s="125">
        <f t="shared" si="16"/>
        <v>93</v>
      </c>
      <c r="C140" s="17">
        <v>20200511</v>
      </c>
      <c r="D140" s="16" t="s">
        <v>3</v>
      </c>
      <c r="E140" s="92" t="s">
        <v>656</v>
      </c>
      <c r="F140" s="18" t="s">
        <v>662</v>
      </c>
      <c r="G140" s="57" t="s">
        <v>61</v>
      </c>
      <c r="H140" s="16" t="s">
        <v>232</v>
      </c>
      <c r="I140" s="16" t="s">
        <v>648</v>
      </c>
      <c r="J140" s="16" t="s">
        <v>121</v>
      </c>
      <c r="K140" s="57" t="s">
        <v>61</v>
      </c>
      <c r="L140" s="57" t="s">
        <v>61</v>
      </c>
      <c r="M140" s="57" t="s">
        <v>61</v>
      </c>
      <c r="N140" s="16" t="s">
        <v>678</v>
      </c>
      <c r="O140" s="18" t="s">
        <v>61</v>
      </c>
      <c r="P140" s="18" t="s">
        <v>677</v>
      </c>
      <c r="Q140" s="19"/>
      <c r="R140" s="17" t="s">
        <v>97</v>
      </c>
      <c r="S140" s="16" t="s">
        <v>156</v>
      </c>
      <c r="T140" s="16"/>
      <c r="U140" s="16"/>
      <c r="V140" s="16"/>
      <c r="W140" s="16">
        <f>ROUND(IF(D140=Table!$C$3,Y140*Table!$C$4/8,Y140*Table!$D$4/8),3)</f>
        <v>112.5</v>
      </c>
      <c r="X140" s="16">
        <f t="shared" si="18"/>
        <v>112.5</v>
      </c>
      <c r="Y140" s="16">
        <v>2</v>
      </c>
      <c r="Z140" s="16">
        <v>0.5</v>
      </c>
      <c r="AA140" s="16" t="s">
        <v>21</v>
      </c>
      <c r="AB140" s="20">
        <v>43969</v>
      </c>
      <c r="AC140" s="20">
        <v>43962</v>
      </c>
      <c r="AD140" s="20">
        <v>43971</v>
      </c>
      <c r="AE140" s="20">
        <v>43962</v>
      </c>
      <c r="AF140" s="20">
        <v>43962</v>
      </c>
      <c r="AG140" s="20" t="s">
        <v>335</v>
      </c>
      <c r="AH140" s="32">
        <v>1</v>
      </c>
      <c r="AI140" s="32">
        <v>1</v>
      </c>
      <c r="AJ140" s="32">
        <v>1</v>
      </c>
      <c r="AK140" s="20" t="s">
        <v>165</v>
      </c>
      <c r="AL140" s="16"/>
      <c r="AM140" s="16"/>
      <c r="AN140" s="16"/>
    </row>
    <row r="141" spans="2:40" x14ac:dyDescent="0.25">
      <c r="B141" s="125">
        <f t="shared" si="16"/>
        <v>94</v>
      </c>
      <c r="C141" s="17">
        <v>20200511</v>
      </c>
      <c r="D141" s="16" t="s">
        <v>3</v>
      </c>
      <c r="E141" s="92" t="s">
        <v>656</v>
      </c>
      <c r="F141" s="18" t="s">
        <v>662</v>
      </c>
      <c r="G141" s="57" t="s">
        <v>61</v>
      </c>
      <c r="H141" s="16" t="s">
        <v>233</v>
      </c>
      <c r="I141" s="16" t="s">
        <v>649</v>
      </c>
      <c r="J141" s="16" t="s">
        <v>121</v>
      </c>
      <c r="K141" s="57" t="s">
        <v>61</v>
      </c>
      <c r="L141" s="57" t="s">
        <v>61</v>
      </c>
      <c r="M141" s="57" t="s">
        <v>61</v>
      </c>
      <c r="N141" s="16" t="s">
        <v>678</v>
      </c>
      <c r="O141" s="18" t="s">
        <v>61</v>
      </c>
      <c r="P141" s="18" t="s">
        <v>677</v>
      </c>
      <c r="Q141" s="19"/>
      <c r="R141" s="17" t="s">
        <v>97</v>
      </c>
      <c r="S141" s="16" t="s">
        <v>156</v>
      </c>
      <c r="T141" s="16"/>
      <c r="U141" s="16"/>
      <c r="V141" s="16"/>
      <c r="W141" s="16">
        <f>ROUND(IF(D141=Table!$C$3,Y141*Table!$C$4/8,Y141*Table!$D$4/8),3)</f>
        <v>67.5</v>
      </c>
      <c r="X141" s="16">
        <f t="shared" si="18"/>
        <v>67.5</v>
      </c>
      <c r="Y141" s="16">
        <v>1.2</v>
      </c>
      <c r="Z141" s="16">
        <v>0.5</v>
      </c>
      <c r="AA141" s="16" t="s">
        <v>21</v>
      </c>
      <c r="AB141" s="20">
        <v>43969</v>
      </c>
      <c r="AC141" s="20">
        <v>43962</v>
      </c>
      <c r="AD141" s="20">
        <v>43971</v>
      </c>
      <c r="AE141" s="20">
        <v>43962</v>
      </c>
      <c r="AF141" s="20">
        <v>43962</v>
      </c>
      <c r="AG141" s="20" t="s">
        <v>335</v>
      </c>
      <c r="AH141" s="32">
        <v>1</v>
      </c>
      <c r="AI141" s="32">
        <v>1</v>
      </c>
      <c r="AJ141" s="32">
        <v>1</v>
      </c>
      <c r="AK141" s="20" t="s">
        <v>165</v>
      </c>
      <c r="AL141" s="16"/>
      <c r="AM141" s="16"/>
      <c r="AN141" s="16"/>
    </row>
    <row r="142" spans="2:40" x14ac:dyDescent="0.25">
      <c r="B142" s="125">
        <f t="shared" si="16"/>
        <v>95</v>
      </c>
      <c r="C142" s="17">
        <v>20200511</v>
      </c>
      <c r="D142" s="16" t="s">
        <v>3</v>
      </c>
      <c r="E142" s="92" t="s">
        <v>656</v>
      </c>
      <c r="F142" s="18" t="s">
        <v>662</v>
      </c>
      <c r="G142" s="57" t="s">
        <v>61</v>
      </c>
      <c r="H142" s="16" t="s">
        <v>235</v>
      </c>
      <c r="I142" s="16" t="s">
        <v>650</v>
      </c>
      <c r="J142" s="16" t="s">
        <v>121</v>
      </c>
      <c r="K142" s="57" t="s">
        <v>61</v>
      </c>
      <c r="L142" s="57" t="s">
        <v>61</v>
      </c>
      <c r="M142" s="57" t="s">
        <v>61</v>
      </c>
      <c r="N142" s="16" t="s">
        <v>678</v>
      </c>
      <c r="O142" s="18" t="s">
        <v>61</v>
      </c>
      <c r="P142" s="18" t="s">
        <v>677</v>
      </c>
      <c r="Q142" s="19"/>
      <c r="R142" s="17" t="s">
        <v>97</v>
      </c>
      <c r="S142" s="16" t="s">
        <v>156</v>
      </c>
      <c r="T142" s="16"/>
      <c r="U142" s="16"/>
      <c r="V142" s="16"/>
      <c r="W142" s="16">
        <f>ROUND(IF(D142=Table!$C$3,Y142*Table!$C$4/8,Y142*Table!$D$4/8),3)</f>
        <v>72</v>
      </c>
      <c r="X142" s="16">
        <f t="shared" si="18"/>
        <v>72</v>
      </c>
      <c r="Y142" s="16">
        <v>1.28</v>
      </c>
      <c r="Z142" s="16">
        <v>0</v>
      </c>
      <c r="AA142" s="16" t="s">
        <v>21</v>
      </c>
      <c r="AB142" s="20">
        <v>43969</v>
      </c>
      <c r="AC142" s="20">
        <v>43962</v>
      </c>
      <c r="AD142" s="20">
        <v>43971</v>
      </c>
      <c r="AE142" s="20">
        <v>43962</v>
      </c>
      <c r="AF142" s="20">
        <v>43962</v>
      </c>
      <c r="AG142" s="20" t="s">
        <v>335</v>
      </c>
      <c r="AH142" s="91" t="s">
        <v>61</v>
      </c>
      <c r="AI142" s="91" t="s">
        <v>61</v>
      </c>
      <c r="AJ142" s="91" t="s">
        <v>61</v>
      </c>
      <c r="AK142" s="20" t="s">
        <v>165</v>
      </c>
      <c r="AL142" s="16"/>
      <c r="AM142" s="16"/>
      <c r="AN142" s="16" t="s">
        <v>723</v>
      </c>
    </row>
    <row r="143" spans="2:40" x14ac:dyDescent="0.25">
      <c r="B143" s="125">
        <f t="shared" si="16"/>
        <v>96</v>
      </c>
      <c r="C143" s="17">
        <v>20200511</v>
      </c>
      <c r="D143" s="16" t="s">
        <v>3</v>
      </c>
      <c r="E143" s="92" t="s">
        <v>656</v>
      </c>
      <c r="F143" s="18" t="s">
        <v>662</v>
      </c>
      <c r="G143" s="57" t="s">
        <v>61</v>
      </c>
      <c r="H143" s="16" t="s">
        <v>243</v>
      </c>
      <c r="I143" s="16" t="s">
        <v>651</v>
      </c>
      <c r="J143" s="16" t="s">
        <v>676</v>
      </c>
      <c r="K143" s="57" t="s">
        <v>61</v>
      </c>
      <c r="L143" s="57" t="s">
        <v>61</v>
      </c>
      <c r="M143" s="57" t="s">
        <v>61</v>
      </c>
      <c r="N143" s="16" t="s">
        <v>678</v>
      </c>
      <c r="O143" s="18" t="s">
        <v>61</v>
      </c>
      <c r="P143" s="18" t="s">
        <v>677</v>
      </c>
      <c r="Q143" s="19"/>
      <c r="R143" s="17" t="s">
        <v>97</v>
      </c>
      <c r="S143" s="16" t="s">
        <v>156</v>
      </c>
      <c r="T143" s="16"/>
      <c r="U143" s="16"/>
      <c r="V143" s="16"/>
      <c r="W143" s="16">
        <f>ROUND(IF(D143=Table!$C$3,Y143*Table!$C$4/8,Y143*Table!$D$4/8),3)</f>
        <v>607.5</v>
      </c>
      <c r="X143" s="16">
        <f t="shared" si="18"/>
        <v>607.5</v>
      </c>
      <c r="Y143" s="16">
        <v>10.8</v>
      </c>
      <c r="Z143" s="16">
        <v>4</v>
      </c>
      <c r="AA143" s="16" t="s">
        <v>21</v>
      </c>
      <c r="AB143" s="20">
        <v>43969</v>
      </c>
      <c r="AC143" s="20">
        <v>43962</v>
      </c>
      <c r="AD143" s="20">
        <v>43971</v>
      </c>
      <c r="AE143" s="20">
        <v>43963</v>
      </c>
      <c r="AF143" s="20">
        <v>43963</v>
      </c>
      <c r="AG143" s="20" t="s">
        <v>335</v>
      </c>
      <c r="AH143" s="32">
        <v>0.98</v>
      </c>
      <c r="AI143" s="32">
        <v>0.94</v>
      </c>
      <c r="AJ143" s="32">
        <v>1</v>
      </c>
      <c r="AK143" s="20" t="s">
        <v>165</v>
      </c>
      <c r="AL143" s="16" t="s">
        <v>721</v>
      </c>
      <c r="AM143" s="16"/>
      <c r="AN143" s="16"/>
    </row>
    <row r="144" spans="2:40" x14ac:dyDescent="0.25">
      <c r="B144" s="125">
        <f t="shared" si="16"/>
        <v>97</v>
      </c>
      <c r="C144" s="17">
        <v>20200511</v>
      </c>
      <c r="D144" s="16" t="s">
        <v>3</v>
      </c>
      <c r="E144" s="92" t="s">
        <v>656</v>
      </c>
      <c r="F144" s="18" t="s">
        <v>662</v>
      </c>
      <c r="G144" s="57" t="s">
        <v>61</v>
      </c>
      <c r="H144" s="16" t="s">
        <v>247</v>
      </c>
      <c r="I144" s="16" t="s">
        <v>652</v>
      </c>
      <c r="J144" s="16" t="s">
        <v>121</v>
      </c>
      <c r="K144" s="57" t="s">
        <v>61</v>
      </c>
      <c r="L144" s="57" t="s">
        <v>61</v>
      </c>
      <c r="M144" s="57" t="s">
        <v>61</v>
      </c>
      <c r="N144" s="16" t="s">
        <v>678</v>
      </c>
      <c r="O144" s="18" t="s">
        <v>61</v>
      </c>
      <c r="P144" s="18" t="s">
        <v>677</v>
      </c>
      <c r="Q144" s="19"/>
      <c r="R144" s="17" t="s">
        <v>97</v>
      </c>
      <c r="S144" s="16" t="s">
        <v>156</v>
      </c>
      <c r="T144" s="16"/>
      <c r="U144" s="16"/>
      <c r="V144" s="16"/>
      <c r="W144" s="16">
        <f>ROUND(IF(D144=Table!$C$3,Y144*Table!$C$4/8,Y144*Table!$D$4/8),3)</f>
        <v>247.5</v>
      </c>
      <c r="X144" s="16">
        <f t="shared" si="18"/>
        <v>247.5</v>
      </c>
      <c r="Y144" s="16">
        <v>4.4000000000000004</v>
      </c>
      <c r="Z144" s="16">
        <v>1</v>
      </c>
      <c r="AA144" s="16" t="s">
        <v>21</v>
      </c>
      <c r="AB144" s="20">
        <v>43969</v>
      </c>
      <c r="AC144" s="20">
        <v>43962</v>
      </c>
      <c r="AD144" s="20">
        <v>43971</v>
      </c>
      <c r="AE144" s="20">
        <v>43963</v>
      </c>
      <c r="AF144" s="20">
        <v>43963</v>
      </c>
      <c r="AG144" s="20" t="s">
        <v>335</v>
      </c>
      <c r="AH144" s="32">
        <v>1</v>
      </c>
      <c r="AI144" s="32">
        <v>1</v>
      </c>
      <c r="AJ144" s="32">
        <v>1</v>
      </c>
      <c r="AK144" s="20" t="s">
        <v>165</v>
      </c>
      <c r="AL144" s="16"/>
      <c r="AM144" s="16"/>
      <c r="AN144" s="16"/>
    </row>
    <row r="145" spans="2:40" x14ac:dyDescent="0.25">
      <c r="B145" s="125">
        <f t="shared" si="16"/>
        <v>98</v>
      </c>
      <c r="C145" s="17">
        <v>20200511</v>
      </c>
      <c r="D145" s="16" t="s">
        <v>3</v>
      </c>
      <c r="E145" s="92" t="s">
        <v>656</v>
      </c>
      <c r="F145" s="18" t="s">
        <v>515</v>
      </c>
      <c r="G145" s="57" t="s">
        <v>61</v>
      </c>
      <c r="H145" s="16" t="s">
        <v>202</v>
      </c>
      <c r="I145" s="16" t="s">
        <v>653</v>
      </c>
      <c r="J145" s="16" t="s">
        <v>198</v>
      </c>
      <c r="K145" s="57" t="s">
        <v>61</v>
      </c>
      <c r="L145" s="57" t="s">
        <v>61</v>
      </c>
      <c r="M145" s="57" t="s">
        <v>61</v>
      </c>
      <c r="N145" s="16" t="s">
        <v>678</v>
      </c>
      <c r="O145" s="18" t="s">
        <v>61</v>
      </c>
      <c r="P145" s="18" t="s">
        <v>677</v>
      </c>
      <c r="Q145" s="19"/>
      <c r="R145" s="17" t="s">
        <v>97</v>
      </c>
      <c r="S145" s="16" t="s">
        <v>156</v>
      </c>
      <c r="T145" s="16"/>
      <c r="U145" s="16"/>
      <c r="V145" s="16"/>
      <c r="W145" s="16">
        <f>ROUND(IF(D145=Table!$C$3,Y145*Table!$C$4/8,Y145*Table!$D$4/8),3)</f>
        <v>67.5</v>
      </c>
      <c r="X145" s="16">
        <f t="shared" si="18"/>
        <v>67.5</v>
      </c>
      <c r="Y145" s="16">
        <v>1.2</v>
      </c>
      <c r="Z145" s="16">
        <v>1</v>
      </c>
      <c r="AA145" s="16" t="s">
        <v>21</v>
      </c>
      <c r="AB145" s="20">
        <v>43969</v>
      </c>
      <c r="AC145" s="20">
        <v>43962</v>
      </c>
      <c r="AD145" s="20">
        <v>43971</v>
      </c>
      <c r="AE145" s="20">
        <v>43963</v>
      </c>
      <c r="AF145" s="20">
        <v>43963</v>
      </c>
      <c r="AG145" s="20" t="s">
        <v>335</v>
      </c>
      <c r="AH145" s="32">
        <v>1</v>
      </c>
      <c r="AI145" s="32">
        <v>1</v>
      </c>
      <c r="AJ145" s="32">
        <v>1</v>
      </c>
      <c r="AK145" s="20" t="s">
        <v>165</v>
      </c>
      <c r="AL145" s="16"/>
      <c r="AM145" s="16"/>
      <c r="AN145" s="16"/>
    </row>
    <row r="146" spans="2:40" x14ac:dyDescent="0.25">
      <c r="B146" s="125">
        <f t="shared" ref="B146:B157" si="19">B145+1</f>
        <v>99</v>
      </c>
      <c r="C146" s="150">
        <v>20200511</v>
      </c>
      <c r="D146" s="16" t="s">
        <v>2</v>
      </c>
      <c r="E146" s="92" t="s">
        <v>656</v>
      </c>
      <c r="F146" s="18" t="s">
        <v>977</v>
      </c>
      <c r="G146" s="57" t="s">
        <v>61</v>
      </c>
      <c r="H146" s="16" t="s">
        <v>989</v>
      </c>
      <c r="I146" s="16" t="s">
        <v>965</v>
      </c>
      <c r="J146" s="16" t="s">
        <v>198</v>
      </c>
      <c r="K146" s="57" t="s">
        <v>61</v>
      </c>
      <c r="L146" s="57" t="s">
        <v>61</v>
      </c>
      <c r="M146" s="57" t="s">
        <v>61</v>
      </c>
      <c r="N146" s="16" t="s">
        <v>728</v>
      </c>
      <c r="O146" s="18" t="s">
        <v>982</v>
      </c>
      <c r="P146" s="18" t="s">
        <v>677</v>
      </c>
      <c r="Q146" s="19"/>
      <c r="R146" s="161" t="s">
        <v>98</v>
      </c>
      <c r="S146" s="16" t="s">
        <v>66</v>
      </c>
      <c r="T146" s="16"/>
      <c r="U146" s="16"/>
      <c r="V146" s="16">
        <v>165</v>
      </c>
      <c r="W146" s="16">
        <f>ROUND(IF(D146=Table!$C$3,Y146*Table!$C$4/8,Y146*Table!$D$4/8),3)</f>
        <v>127.4</v>
      </c>
      <c r="X146" s="16">
        <f>W146</f>
        <v>127.4</v>
      </c>
      <c r="Y146" s="16">
        <v>7.84</v>
      </c>
      <c r="Z146" s="16">
        <v>8</v>
      </c>
      <c r="AA146" s="16" t="s">
        <v>18</v>
      </c>
      <c r="AB146" s="20"/>
      <c r="AC146" s="20">
        <v>43970</v>
      </c>
      <c r="AD146" s="20">
        <v>43977</v>
      </c>
      <c r="AE146" s="20">
        <v>43971</v>
      </c>
      <c r="AF146" s="20">
        <v>43971</v>
      </c>
      <c r="AG146" s="20" t="s">
        <v>335</v>
      </c>
      <c r="AH146" s="181">
        <v>97.6</v>
      </c>
      <c r="AI146" s="181">
        <v>97.7</v>
      </c>
      <c r="AJ146" s="181">
        <v>100</v>
      </c>
      <c r="AK146" s="102" t="s">
        <v>165</v>
      </c>
      <c r="AL146" s="182" t="s">
        <v>1133</v>
      </c>
      <c r="AM146" s="16"/>
      <c r="AN146" s="16"/>
    </row>
    <row r="147" spans="2:40" x14ac:dyDescent="0.25">
      <c r="B147" s="125">
        <f t="shared" si="19"/>
        <v>100</v>
      </c>
      <c r="C147" s="150">
        <v>20200511</v>
      </c>
      <c r="D147" s="16" t="s">
        <v>2</v>
      </c>
      <c r="E147" s="92" t="s">
        <v>656</v>
      </c>
      <c r="F147" s="18" t="s">
        <v>256</v>
      </c>
      <c r="G147" s="57" t="s">
        <v>61</v>
      </c>
      <c r="H147" s="16" t="s">
        <v>990</v>
      </c>
      <c r="I147" s="16" t="s">
        <v>966</v>
      </c>
      <c r="J147" s="16" t="s">
        <v>676</v>
      </c>
      <c r="K147" s="57" t="s">
        <v>61</v>
      </c>
      <c r="L147" s="57" t="s">
        <v>61</v>
      </c>
      <c r="M147" s="57" t="s">
        <v>61</v>
      </c>
      <c r="N147" s="16" t="s">
        <v>728</v>
      </c>
      <c r="O147" s="18" t="s">
        <v>983</v>
      </c>
      <c r="P147" s="18" t="s">
        <v>677</v>
      </c>
      <c r="Q147" s="19"/>
      <c r="R147" s="161" t="s">
        <v>97</v>
      </c>
      <c r="S147" s="16" t="s">
        <v>156</v>
      </c>
      <c r="T147" s="16"/>
      <c r="U147" s="16"/>
      <c r="V147" s="16">
        <v>418</v>
      </c>
      <c r="W147" s="16">
        <f>ROUND(IF(D147=Table!$C$3,Y147*Table!$C$4/8,Y147*Table!$D$4/8),3)</f>
        <v>364</v>
      </c>
      <c r="X147" s="16"/>
      <c r="Y147" s="16">
        <v>22.4</v>
      </c>
      <c r="Z147" s="16"/>
      <c r="AA147" s="16"/>
      <c r="AB147" s="20"/>
      <c r="AC147" s="20">
        <v>43970</v>
      </c>
      <c r="AD147" s="20">
        <v>43977</v>
      </c>
      <c r="AE147" s="20"/>
      <c r="AF147" s="20"/>
      <c r="AG147" s="20"/>
      <c r="AH147" s="32"/>
      <c r="AI147" s="32"/>
      <c r="AJ147" s="32"/>
      <c r="AK147" s="20"/>
      <c r="AL147" s="16"/>
      <c r="AM147" s="16"/>
      <c r="AN147" s="16"/>
    </row>
    <row r="148" spans="2:40" x14ac:dyDescent="0.25">
      <c r="B148" s="125">
        <f t="shared" si="19"/>
        <v>101</v>
      </c>
      <c r="C148" s="150">
        <v>20200511</v>
      </c>
      <c r="D148" s="16" t="s">
        <v>3</v>
      </c>
      <c r="E148" s="92" t="s">
        <v>656</v>
      </c>
      <c r="F148" s="18" t="s">
        <v>978</v>
      </c>
      <c r="G148" s="57" t="s">
        <v>61</v>
      </c>
      <c r="H148" s="16" t="s">
        <v>991</v>
      </c>
      <c r="I148" s="16" t="s">
        <v>967</v>
      </c>
      <c r="J148" s="16" t="s">
        <v>988</v>
      </c>
      <c r="K148" s="57" t="s">
        <v>61</v>
      </c>
      <c r="L148" s="57" t="s">
        <v>61</v>
      </c>
      <c r="M148" s="57" t="s">
        <v>61</v>
      </c>
      <c r="N148" s="16" t="s">
        <v>678</v>
      </c>
      <c r="O148" s="18" t="s">
        <v>61</v>
      </c>
      <c r="P148" s="18" t="s">
        <v>677</v>
      </c>
      <c r="Q148" s="19"/>
      <c r="R148" s="161" t="s">
        <v>97</v>
      </c>
      <c r="S148" s="16" t="s">
        <v>156</v>
      </c>
      <c r="T148" s="16"/>
      <c r="U148" s="16"/>
      <c r="V148" s="16">
        <v>90</v>
      </c>
      <c r="W148" s="16">
        <f>ROUND(IF(D148=Table!$C$3,Y148*Table!$C$4/8,Y148*Table!$D$4/8),3)</f>
        <v>90</v>
      </c>
      <c r="X148" s="16">
        <f t="shared" ref="X148:X157" si="20">W148</f>
        <v>90</v>
      </c>
      <c r="Y148" s="16">
        <v>1.6</v>
      </c>
      <c r="Z148" s="16">
        <v>0.5</v>
      </c>
      <c r="AA148" s="16" t="s">
        <v>18</v>
      </c>
      <c r="AB148" s="20"/>
      <c r="AC148" s="20">
        <v>43970</v>
      </c>
      <c r="AD148" s="20">
        <v>43977</v>
      </c>
      <c r="AE148" s="20">
        <v>43971</v>
      </c>
      <c r="AF148" s="20">
        <v>43971</v>
      </c>
      <c r="AG148" s="20" t="s">
        <v>335</v>
      </c>
      <c r="AH148" s="32">
        <v>1</v>
      </c>
      <c r="AI148" s="32">
        <v>1</v>
      </c>
      <c r="AJ148" s="32">
        <v>1</v>
      </c>
      <c r="AK148" s="20" t="s">
        <v>165</v>
      </c>
      <c r="AL148" s="16"/>
      <c r="AM148" s="16"/>
      <c r="AN148" s="16"/>
    </row>
    <row r="149" spans="2:40" x14ac:dyDescent="0.25">
      <c r="B149" s="125">
        <f t="shared" si="19"/>
        <v>102</v>
      </c>
      <c r="C149" s="150">
        <v>20200511</v>
      </c>
      <c r="D149" s="16" t="s">
        <v>2</v>
      </c>
      <c r="E149" s="92" t="s">
        <v>656</v>
      </c>
      <c r="F149" s="18" t="s">
        <v>979</v>
      </c>
      <c r="G149" s="57" t="s">
        <v>61</v>
      </c>
      <c r="H149" s="16" t="s">
        <v>992</v>
      </c>
      <c r="I149" s="16" t="s">
        <v>968</v>
      </c>
      <c r="J149" s="16" t="s">
        <v>121</v>
      </c>
      <c r="K149" s="57" t="s">
        <v>61</v>
      </c>
      <c r="L149" s="57" t="s">
        <v>61</v>
      </c>
      <c r="M149" s="57" t="s">
        <v>61</v>
      </c>
      <c r="N149" s="16" t="s">
        <v>728</v>
      </c>
      <c r="O149" s="18" t="s">
        <v>984</v>
      </c>
      <c r="P149" s="18" t="s">
        <v>677</v>
      </c>
      <c r="Q149" s="19"/>
      <c r="R149" s="161" t="s">
        <v>98</v>
      </c>
      <c r="S149" s="16" t="s">
        <v>66</v>
      </c>
      <c r="T149" s="16"/>
      <c r="U149" s="16"/>
      <c r="V149" s="16">
        <v>92</v>
      </c>
      <c r="W149" s="16">
        <f>ROUND(IF(D149=Table!$C$3,Y149*Table!$C$4/8,Y149*Table!$D$4/8),3)</f>
        <v>52</v>
      </c>
      <c r="X149" s="16">
        <f t="shared" si="20"/>
        <v>52</v>
      </c>
      <c r="Y149" s="16">
        <v>3.2</v>
      </c>
      <c r="Z149" s="16">
        <v>3</v>
      </c>
      <c r="AA149" s="16" t="s">
        <v>18</v>
      </c>
      <c r="AB149" s="20"/>
      <c r="AC149" s="20">
        <v>43970</v>
      </c>
      <c r="AD149" s="20">
        <v>43977</v>
      </c>
      <c r="AE149" s="20">
        <v>43970</v>
      </c>
      <c r="AF149" s="20">
        <v>43970</v>
      </c>
      <c r="AG149" s="20" t="s">
        <v>335</v>
      </c>
      <c r="AH149" s="32" t="s">
        <v>412</v>
      </c>
      <c r="AI149" s="32" t="s">
        <v>412</v>
      </c>
      <c r="AJ149" s="32" t="s">
        <v>412</v>
      </c>
      <c r="AK149" s="20" t="s">
        <v>165</v>
      </c>
      <c r="AL149" s="16" t="s">
        <v>610</v>
      </c>
      <c r="AM149" s="16"/>
      <c r="AN149" s="16"/>
    </row>
    <row r="150" spans="2:40" x14ac:dyDescent="0.25">
      <c r="B150" s="125">
        <f t="shared" si="19"/>
        <v>103</v>
      </c>
      <c r="C150" s="150">
        <v>20200511</v>
      </c>
      <c r="D150" s="16" t="s">
        <v>2</v>
      </c>
      <c r="E150" s="92" t="s">
        <v>656</v>
      </c>
      <c r="F150" s="18" t="s">
        <v>979</v>
      </c>
      <c r="G150" s="57" t="s">
        <v>61</v>
      </c>
      <c r="H150" s="16" t="s">
        <v>993</v>
      </c>
      <c r="I150" s="16" t="s">
        <v>969</v>
      </c>
      <c r="J150" s="16" t="s">
        <v>121</v>
      </c>
      <c r="K150" s="57" t="s">
        <v>61</v>
      </c>
      <c r="L150" s="57" t="s">
        <v>61</v>
      </c>
      <c r="M150" s="57" t="s">
        <v>61</v>
      </c>
      <c r="N150" s="16" t="s">
        <v>728</v>
      </c>
      <c r="O150" s="18" t="s">
        <v>985</v>
      </c>
      <c r="P150" s="18" t="s">
        <v>677</v>
      </c>
      <c r="Q150" s="19"/>
      <c r="R150" s="161" t="s">
        <v>98</v>
      </c>
      <c r="S150" s="16" t="s">
        <v>66</v>
      </c>
      <c r="T150" s="16"/>
      <c r="U150" s="16"/>
      <c r="V150" s="16">
        <v>35</v>
      </c>
      <c r="W150" s="16">
        <f>ROUND(IF(D150=Table!$C$3,Y150*Table!$C$4/8,Y150*Table!$D$4/8),3)</f>
        <v>26</v>
      </c>
      <c r="X150" s="16">
        <f t="shared" si="20"/>
        <v>26</v>
      </c>
      <c r="Y150" s="16">
        <v>1.6</v>
      </c>
      <c r="Z150" s="16">
        <v>2</v>
      </c>
      <c r="AA150" s="16" t="s">
        <v>18</v>
      </c>
      <c r="AB150" s="20"/>
      <c r="AC150" s="20">
        <v>43970</v>
      </c>
      <c r="AD150" s="20">
        <v>43977</v>
      </c>
      <c r="AE150" s="20">
        <v>43970</v>
      </c>
      <c r="AF150" s="20">
        <v>43970</v>
      </c>
      <c r="AG150" s="20" t="s">
        <v>335</v>
      </c>
      <c r="AH150" s="32">
        <v>1</v>
      </c>
      <c r="AI150" s="32">
        <v>1</v>
      </c>
      <c r="AJ150" s="32" t="s">
        <v>412</v>
      </c>
      <c r="AK150" s="20" t="s">
        <v>165</v>
      </c>
      <c r="AL150" s="16"/>
      <c r="AM150" s="16"/>
      <c r="AN150" s="16"/>
    </row>
    <row r="151" spans="2:40" x14ac:dyDescent="0.25">
      <c r="B151" s="125">
        <f t="shared" si="19"/>
        <v>104</v>
      </c>
      <c r="C151" s="150">
        <v>20200511</v>
      </c>
      <c r="D151" s="16" t="s">
        <v>2</v>
      </c>
      <c r="E151" s="92" t="s">
        <v>656</v>
      </c>
      <c r="F151" s="18" t="s">
        <v>979</v>
      </c>
      <c r="G151" s="57" t="s">
        <v>61</v>
      </c>
      <c r="H151" s="16" t="s">
        <v>994</v>
      </c>
      <c r="I151" s="16" t="s">
        <v>970</v>
      </c>
      <c r="J151" s="16" t="s">
        <v>121</v>
      </c>
      <c r="K151" s="57" t="s">
        <v>61</v>
      </c>
      <c r="L151" s="57" t="s">
        <v>61</v>
      </c>
      <c r="M151" s="57" t="s">
        <v>61</v>
      </c>
      <c r="N151" s="16" t="s">
        <v>728</v>
      </c>
      <c r="O151" s="18" t="s">
        <v>986</v>
      </c>
      <c r="P151" s="18" t="s">
        <v>677</v>
      </c>
      <c r="Q151" s="19"/>
      <c r="R151" s="161" t="s">
        <v>98</v>
      </c>
      <c r="S151" s="16" t="s">
        <v>66</v>
      </c>
      <c r="T151" s="16"/>
      <c r="U151" s="16"/>
      <c r="V151" s="16">
        <v>17</v>
      </c>
      <c r="W151" s="16">
        <f>ROUND(IF(D151=Table!$C$3,Y151*Table!$C$4/8,Y151*Table!$D$4/8),3)</f>
        <v>26</v>
      </c>
      <c r="X151" s="16">
        <f t="shared" si="20"/>
        <v>26</v>
      </c>
      <c r="Y151" s="16">
        <v>1.6</v>
      </c>
      <c r="Z151" s="16">
        <v>2</v>
      </c>
      <c r="AA151" s="16" t="s">
        <v>18</v>
      </c>
      <c r="AB151" s="20"/>
      <c r="AC151" s="20">
        <v>43970</v>
      </c>
      <c r="AD151" s="20">
        <v>43977</v>
      </c>
      <c r="AE151" s="20">
        <v>43970</v>
      </c>
      <c r="AF151" s="20">
        <v>43970</v>
      </c>
      <c r="AG151" s="20" t="s">
        <v>335</v>
      </c>
      <c r="AH151" s="32">
        <v>1</v>
      </c>
      <c r="AI151" s="32">
        <v>1</v>
      </c>
      <c r="AJ151" s="32" t="s">
        <v>412</v>
      </c>
      <c r="AK151" s="20" t="s">
        <v>165</v>
      </c>
      <c r="AL151" s="16"/>
      <c r="AM151" s="16"/>
      <c r="AN151" s="16"/>
    </row>
    <row r="152" spans="2:40" x14ac:dyDescent="0.25">
      <c r="B152" s="125">
        <f t="shared" si="19"/>
        <v>105</v>
      </c>
      <c r="C152" s="150">
        <v>20200511</v>
      </c>
      <c r="D152" s="16" t="s">
        <v>2</v>
      </c>
      <c r="E152" s="92" t="s">
        <v>656</v>
      </c>
      <c r="F152" s="18" t="s">
        <v>979</v>
      </c>
      <c r="G152" s="57" t="s">
        <v>61</v>
      </c>
      <c r="H152" s="16" t="s">
        <v>995</v>
      </c>
      <c r="I152" s="16" t="s">
        <v>971</v>
      </c>
      <c r="J152" s="16" t="s">
        <v>121</v>
      </c>
      <c r="K152" s="57" t="s">
        <v>61</v>
      </c>
      <c r="L152" s="57" t="s">
        <v>61</v>
      </c>
      <c r="M152" s="57" t="s">
        <v>61</v>
      </c>
      <c r="N152" s="16" t="s">
        <v>728</v>
      </c>
      <c r="O152" s="18" t="s">
        <v>987</v>
      </c>
      <c r="P152" s="18" t="s">
        <v>677</v>
      </c>
      <c r="Q152" s="19"/>
      <c r="R152" s="161" t="s">
        <v>98</v>
      </c>
      <c r="S152" s="16" t="s">
        <v>66</v>
      </c>
      <c r="T152" s="16"/>
      <c r="U152" s="16"/>
      <c r="V152" s="16">
        <v>1358</v>
      </c>
      <c r="W152" s="16">
        <f>ROUND(IF(D152=Table!$C$3,Y152*Table!$C$4/8,Y152*Table!$D$4/8),3)</f>
        <v>305.5</v>
      </c>
      <c r="X152" s="16">
        <f t="shared" si="20"/>
        <v>305.5</v>
      </c>
      <c r="Y152" s="16">
        <v>18.8</v>
      </c>
      <c r="Z152" s="16">
        <v>8</v>
      </c>
      <c r="AA152" s="16" t="s">
        <v>18</v>
      </c>
      <c r="AB152" s="20"/>
      <c r="AC152" s="20">
        <v>43970</v>
      </c>
      <c r="AD152" s="20">
        <v>43977</v>
      </c>
      <c r="AE152" s="20">
        <v>43971</v>
      </c>
      <c r="AF152" s="20">
        <v>43971</v>
      </c>
      <c r="AG152" s="20" t="s">
        <v>335</v>
      </c>
      <c r="AH152" s="32">
        <v>0.99</v>
      </c>
      <c r="AI152" s="32">
        <v>0.99</v>
      </c>
      <c r="AJ152" s="32">
        <v>0.99</v>
      </c>
      <c r="AK152" s="20" t="s">
        <v>165</v>
      </c>
      <c r="AL152" s="16"/>
      <c r="AM152" s="16"/>
      <c r="AN152" s="16"/>
    </row>
    <row r="153" spans="2:40" x14ac:dyDescent="0.25">
      <c r="B153" s="125">
        <f t="shared" si="19"/>
        <v>106</v>
      </c>
      <c r="C153" s="150">
        <v>20200511</v>
      </c>
      <c r="D153" s="16" t="s">
        <v>3</v>
      </c>
      <c r="E153" s="92" t="s">
        <v>656</v>
      </c>
      <c r="F153" s="18" t="s">
        <v>980</v>
      </c>
      <c r="G153" s="57" t="s">
        <v>61</v>
      </c>
      <c r="H153" s="16" t="s">
        <v>996</v>
      </c>
      <c r="I153" s="16" t="s">
        <v>972</v>
      </c>
      <c r="J153" s="16" t="s">
        <v>988</v>
      </c>
      <c r="K153" s="57" t="s">
        <v>61</v>
      </c>
      <c r="L153" s="57" t="s">
        <v>61</v>
      </c>
      <c r="M153" s="57" t="s">
        <v>61</v>
      </c>
      <c r="N153" s="16" t="s">
        <v>678</v>
      </c>
      <c r="O153" s="18" t="s">
        <v>61</v>
      </c>
      <c r="P153" s="18" t="s">
        <v>677</v>
      </c>
      <c r="Q153" s="19"/>
      <c r="R153" s="161" t="s">
        <v>97</v>
      </c>
      <c r="S153" s="16" t="s">
        <v>156</v>
      </c>
      <c r="T153" s="16"/>
      <c r="U153" s="16"/>
      <c r="V153" s="16">
        <v>67</v>
      </c>
      <c r="W153" s="16">
        <f>ROUND(IF(D153=Table!$C$3,Y153*Table!$C$4/8,Y153*Table!$D$4/8),3)</f>
        <v>90</v>
      </c>
      <c r="X153" s="16">
        <f t="shared" si="20"/>
        <v>90</v>
      </c>
      <c r="Y153" s="16">
        <v>1.6</v>
      </c>
      <c r="Z153" s="16">
        <v>0.5</v>
      </c>
      <c r="AA153" s="16" t="s">
        <v>18</v>
      </c>
      <c r="AB153" s="20"/>
      <c r="AC153" s="20">
        <v>43970</v>
      </c>
      <c r="AD153" s="20">
        <v>43977</v>
      </c>
      <c r="AE153" s="20">
        <v>43971</v>
      </c>
      <c r="AF153" s="20">
        <v>43971</v>
      </c>
      <c r="AG153" s="20" t="s">
        <v>335</v>
      </c>
      <c r="AH153" s="32">
        <v>1</v>
      </c>
      <c r="AI153" s="32">
        <v>1</v>
      </c>
      <c r="AJ153" s="32">
        <v>1</v>
      </c>
      <c r="AK153" s="20" t="s">
        <v>165</v>
      </c>
      <c r="AL153" s="16"/>
      <c r="AM153" s="16"/>
      <c r="AN153" s="16"/>
    </row>
    <row r="154" spans="2:40" x14ac:dyDescent="0.25">
      <c r="B154" s="125">
        <f t="shared" si="19"/>
        <v>107</v>
      </c>
      <c r="C154" s="150">
        <v>20200511</v>
      </c>
      <c r="D154" s="16" t="s">
        <v>3</v>
      </c>
      <c r="E154" s="92" t="s">
        <v>656</v>
      </c>
      <c r="F154" s="18" t="s">
        <v>660</v>
      </c>
      <c r="G154" s="57" t="s">
        <v>61</v>
      </c>
      <c r="H154" s="16" t="s">
        <v>997</v>
      </c>
      <c r="I154" s="16" t="s">
        <v>973</v>
      </c>
      <c r="J154" s="16" t="s">
        <v>988</v>
      </c>
      <c r="K154" s="57" t="s">
        <v>61</v>
      </c>
      <c r="L154" s="57" t="s">
        <v>61</v>
      </c>
      <c r="M154" s="57" t="s">
        <v>61</v>
      </c>
      <c r="N154" s="16" t="s">
        <v>678</v>
      </c>
      <c r="O154" s="18" t="s">
        <v>61</v>
      </c>
      <c r="P154" s="18" t="s">
        <v>677</v>
      </c>
      <c r="Q154" s="19"/>
      <c r="R154" s="161" t="s">
        <v>97</v>
      </c>
      <c r="S154" s="16" t="s">
        <v>156</v>
      </c>
      <c r="T154" s="16"/>
      <c r="U154" s="16"/>
      <c r="V154" s="16">
        <v>64</v>
      </c>
      <c r="W154" s="16">
        <f>ROUND(IF(D154=Table!$C$3,Y154*Table!$C$4/8,Y154*Table!$D$4/8),3)</f>
        <v>90</v>
      </c>
      <c r="X154" s="16">
        <f t="shared" si="20"/>
        <v>90</v>
      </c>
      <c r="Y154" s="16">
        <v>1.6</v>
      </c>
      <c r="Z154" s="16">
        <v>1</v>
      </c>
      <c r="AA154" s="16" t="s">
        <v>18</v>
      </c>
      <c r="AB154" s="20"/>
      <c r="AC154" s="20">
        <v>43970</v>
      </c>
      <c r="AD154" s="20">
        <v>43977</v>
      </c>
      <c r="AE154" s="20">
        <v>43971</v>
      </c>
      <c r="AF154" s="20">
        <v>43971</v>
      </c>
      <c r="AG154" s="20" t="s">
        <v>335</v>
      </c>
      <c r="AH154" s="32">
        <v>1</v>
      </c>
      <c r="AI154" s="32">
        <v>0.87</v>
      </c>
      <c r="AJ154" s="32">
        <v>0.5</v>
      </c>
      <c r="AK154" s="20" t="s">
        <v>165</v>
      </c>
      <c r="AL154" s="16" t="s">
        <v>1048</v>
      </c>
      <c r="AM154" s="16"/>
      <c r="AN154" s="16"/>
    </row>
    <row r="155" spans="2:40" x14ac:dyDescent="0.25">
      <c r="B155" s="125">
        <f t="shared" si="19"/>
        <v>108</v>
      </c>
      <c r="C155" s="150">
        <v>20200511</v>
      </c>
      <c r="D155" s="16" t="s">
        <v>3</v>
      </c>
      <c r="E155" s="92" t="s">
        <v>656</v>
      </c>
      <c r="F155" s="18" t="s">
        <v>660</v>
      </c>
      <c r="G155" s="57" t="s">
        <v>61</v>
      </c>
      <c r="H155" s="16" t="s">
        <v>998</v>
      </c>
      <c r="I155" s="16" t="s">
        <v>974</v>
      </c>
      <c r="J155" s="16" t="s">
        <v>988</v>
      </c>
      <c r="K155" s="57" t="s">
        <v>61</v>
      </c>
      <c r="L155" s="57" t="s">
        <v>61</v>
      </c>
      <c r="M155" s="57" t="s">
        <v>61</v>
      </c>
      <c r="N155" s="16" t="s">
        <v>678</v>
      </c>
      <c r="O155" s="18" t="s">
        <v>61</v>
      </c>
      <c r="P155" s="18" t="s">
        <v>677</v>
      </c>
      <c r="Q155" s="19"/>
      <c r="R155" s="161" t="s">
        <v>97</v>
      </c>
      <c r="S155" s="16" t="s">
        <v>156</v>
      </c>
      <c r="T155" s="16"/>
      <c r="U155" s="16"/>
      <c r="V155" s="16">
        <v>317</v>
      </c>
      <c r="W155" s="16">
        <f>ROUND(IF(D155=Table!$C$3,Y155*Table!$C$4/8,Y155*Table!$D$4/8),3)</f>
        <v>324</v>
      </c>
      <c r="X155" s="16">
        <f t="shared" si="20"/>
        <v>324</v>
      </c>
      <c r="Y155" s="16">
        <v>5.76</v>
      </c>
      <c r="Z155" s="16">
        <v>2</v>
      </c>
      <c r="AA155" s="16" t="s">
        <v>18</v>
      </c>
      <c r="AB155" s="20"/>
      <c r="AC155" s="20">
        <v>43970</v>
      </c>
      <c r="AD155" s="20">
        <v>43977</v>
      </c>
      <c r="AE155" s="20">
        <v>43972</v>
      </c>
      <c r="AF155" s="20">
        <v>43972</v>
      </c>
      <c r="AG155" s="20" t="s">
        <v>335</v>
      </c>
      <c r="AH155" s="32">
        <v>1</v>
      </c>
      <c r="AI155" s="32">
        <v>1</v>
      </c>
      <c r="AJ155" s="32">
        <v>1</v>
      </c>
      <c r="AK155" s="20" t="s">
        <v>165</v>
      </c>
      <c r="AL155" s="16"/>
      <c r="AM155" s="16"/>
      <c r="AN155" s="16"/>
    </row>
    <row r="156" spans="2:40" x14ac:dyDescent="0.25">
      <c r="B156" s="125">
        <f t="shared" si="19"/>
        <v>109</v>
      </c>
      <c r="C156" s="150">
        <v>20200511</v>
      </c>
      <c r="D156" s="16" t="s">
        <v>3</v>
      </c>
      <c r="E156" s="92" t="s">
        <v>656</v>
      </c>
      <c r="F156" s="18" t="s">
        <v>660</v>
      </c>
      <c r="G156" s="57" t="s">
        <v>61</v>
      </c>
      <c r="H156" s="16" t="s">
        <v>206</v>
      </c>
      <c r="I156" s="16" t="s">
        <v>975</v>
      </c>
      <c r="J156" s="16" t="s">
        <v>988</v>
      </c>
      <c r="K156" s="57" t="s">
        <v>61</v>
      </c>
      <c r="L156" s="57" t="s">
        <v>61</v>
      </c>
      <c r="M156" s="57" t="s">
        <v>61</v>
      </c>
      <c r="N156" s="16" t="s">
        <v>678</v>
      </c>
      <c r="O156" s="18" t="s">
        <v>61</v>
      </c>
      <c r="P156" s="18" t="s">
        <v>677</v>
      </c>
      <c r="Q156" s="19"/>
      <c r="R156" s="161" t="s">
        <v>97</v>
      </c>
      <c r="S156" s="16" t="s">
        <v>156</v>
      </c>
      <c r="T156" s="16"/>
      <c r="U156" s="16"/>
      <c r="V156" s="16">
        <v>81</v>
      </c>
      <c r="W156" s="16">
        <f>ROUND(IF(D156=Table!$C$3,Y156*Table!$C$4/8,Y156*Table!$D$4/8),3)</f>
        <v>90</v>
      </c>
      <c r="X156" s="16">
        <f t="shared" si="20"/>
        <v>90</v>
      </c>
      <c r="Y156" s="16">
        <v>1.6</v>
      </c>
      <c r="Z156" s="16">
        <v>0.5</v>
      </c>
      <c r="AA156" s="16" t="s">
        <v>18</v>
      </c>
      <c r="AB156" s="20"/>
      <c r="AC156" s="20">
        <v>43970</v>
      </c>
      <c r="AD156" s="20">
        <v>43977</v>
      </c>
      <c r="AE156" s="20">
        <v>43972</v>
      </c>
      <c r="AF156" s="20">
        <v>43972</v>
      </c>
      <c r="AG156" s="20" t="s">
        <v>335</v>
      </c>
      <c r="AH156" s="32">
        <v>1</v>
      </c>
      <c r="AI156" s="32">
        <v>1</v>
      </c>
      <c r="AJ156" s="32">
        <v>1</v>
      </c>
      <c r="AK156" s="20" t="s">
        <v>165</v>
      </c>
      <c r="AL156" s="16"/>
      <c r="AM156" s="16"/>
      <c r="AN156" s="16"/>
    </row>
    <row r="157" spans="2:40" x14ac:dyDescent="0.25">
      <c r="B157" s="125">
        <f t="shared" si="19"/>
        <v>110</v>
      </c>
      <c r="C157" s="150">
        <v>20200511</v>
      </c>
      <c r="D157" s="16" t="s">
        <v>2</v>
      </c>
      <c r="E157" s="92" t="s">
        <v>656</v>
      </c>
      <c r="F157" s="18" t="s">
        <v>981</v>
      </c>
      <c r="G157" s="57" t="s">
        <v>61</v>
      </c>
      <c r="H157" s="16" t="s">
        <v>999</v>
      </c>
      <c r="I157" s="16" t="s">
        <v>976</v>
      </c>
      <c r="J157" s="16" t="s">
        <v>121</v>
      </c>
      <c r="K157" s="57" t="s">
        <v>61</v>
      </c>
      <c r="L157" s="57" t="s">
        <v>61</v>
      </c>
      <c r="M157" s="57" t="s">
        <v>61</v>
      </c>
      <c r="N157" s="16" t="s">
        <v>728</v>
      </c>
      <c r="O157" s="18" t="s">
        <v>143</v>
      </c>
      <c r="P157" s="18" t="s">
        <v>677</v>
      </c>
      <c r="Q157" s="19"/>
      <c r="R157" s="161" t="s">
        <v>98</v>
      </c>
      <c r="S157" s="16" t="s">
        <v>66</v>
      </c>
      <c r="T157" s="16"/>
      <c r="U157" s="16"/>
      <c r="V157" s="16">
        <v>12</v>
      </c>
      <c r="W157" s="16">
        <f>ROUND(IF(D157=Table!$C$3,Y157*Table!$C$4/8,Y157*Table!$D$4/8),3)</f>
        <v>26</v>
      </c>
      <c r="X157" s="16">
        <f t="shared" si="20"/>
        <v>26</v>
      </c>
      <c r="Y157" s="16">
        <v>1.6</v>
      </c>
      <c r="Z157" s="16">
        <v>1</v>
      </c>
      <c r="AA157" s="16" t="s">
        <v>18</v>
      </c>
      <c r="AB157" s="20"/>
      <c r="AC157" s="20">
        <v>43970</v>
      </c>
      <c r="AD157" s="20">
        <v>43977</v>
      </c>
      <c r="AE157" s="20">
        <v>43970</v>
      </c>
      <c r="AF157" s="20">
        <v>43970</v>
      </c>
      <c r="AG157" s="20" t="s">
        <v>335</v>
      </c>
      <c r="AH157" s="32" t="s">
        <v>412</v>
      </c>
      <c r="AI157" s="32" t="s">
        <v>412</v>
      </c>
      <c r="AJ157" s="32" t="s">
        <v>412</v>
      </c>
      <c r="AK157" s="20" t="s">
        <v>165</v>
      </c>
      <c r="AL157" s="16" t="s">
        <v>610</v>
      </c>
      <c r="AM157" s="16"/>
      <c r="AN157" s="16"/>
    </row>
    <row r="158" spans="2:40" x14ac:dyDescent="0.25">
      <c r="B158" s="21"/>
      <c r="C158" s="17"/>
      <c r="D158" s="16"/>
      <c r="E158" s="16"/>
      <c r="F158" s="18"/>
      <c r="G158" s="57" t="s">
        <v>61</v>
      </c>
      <c r="H158" s="16"/>
      <c r="I158" s="16"/>
      <c r="J158" s="16"/>
      <c r="K158" s="57" t="s">
        <v>61</v>
      </c>
      <c r="L158" s="57" t="s">
        <v>61</v>
      </c>
      <c r="M158" s="57" t="s">
        <v>61</v>
      </c>
      <c r="N158" s="16"/>
      <c r="O158" s="18"/>
      <c r="P158" s="18"/>
      <c r="Q158" s="19"/>
      <c r="R158" s="17"/>
      <c r="S158" s="16"/>
      <c r="T158" s="16"/>
      <c r="U158" s="16"/>
      <c r="V158" s="16"/>
      <c r="W158" s="16"/>
      <c r="X158" s="16"/>
      <c r="Y158" s="16"/>
      <c r="Z158" s="16"/>
      <c r="AA158" s="16"/>
      <c r="AB158" s="20"/>
      <c r="AC158" s="20"/>
      <c r="AD158" s="20"/>
      <c r="AE158" s="20"/>
      <c r="AF158" s="20"/>
      <c r="AG158" s="20"/>
      <c r="AH158" s="32"/>
      <c r="AI158" s="32"/>
      <c r="AJ158" s="32"/>
      <c r="AK158" s="20"/>
      <c r="AL158" s="16"/>
      <c r="AM158" s="16"/>
      <c r="AN158" s="16"/>
    </row>
    <row r="159" spans="2:40" x14ac:dyDescent="0.25">
      <c r="B159" s="21"/>
      <c r="C159" s="17"/>
      <c r="D159" s="16"/>
      <c r="E159" s="16"/>
      <c r="F159" s="18"/>
      <c r="G159" s="57" t="s">
        <v>61</v>
      </c>
      <c r="H159" s="16"/>
      <c r="I159" s="16"/>
      <c r="J159" s="16"/>
      <c r="K159" s="57" t="s">
        <v>61</v>
      </c>
      <c r="L159" s="57" t="s">
        <v>61</v>
      </c>
      <c r="M159" s="57" t="s">
        <v>61</v>
      </c>
      <c r="N159" s="16"/>
      <c r="O159" s="18"/>
      <c r="P159" s="18"/>
      <c r="Q159" s="19"/>
      <c r="R159" s="17"/>
      <c r="S159" s="16"/>
      <c r="T159" s="16"/>
      <c r="U159" s="16"/>
      <c r="V159" s="16"/>
      <c r="W159" s="16"/>
      <c r="X159" s="16"/>
      <c r="Y159" s="16"/>
      <c r="Z159" s="16"/>
      <c r="AA159" s="16"/>
      <c r="AB159" s="20"/>
      <c r="AC159" s="20"/>
      <c r="AD159" s="20"/>
      <c r="AE159" s="20"/>
      <c r="AF159" s="20"/>
      <c r="AG159" s="20"/>
      <c r="AH159" s="32"/>
      <c r="AI159" s="32"/>
      <c r="AJ159" s="32"/>
      <c r="AK159" s="20"/>
      <c r="AL159" s="16"/>
      <c r="AM159" s="16"/>
      <c r="AN159" s="16"/>
    </row>
    <row r="160" spans="2:40" x14ac:dyDescent="0.25">
      <c r="B160" s="21"/>
      <c r="C160" s="17"/>
      <c r="D160" s="16"/>
      <c r="E160" s="16"/>
      <c r="F160" s="18"/>
      <c r="G160" s="57" t="s">
        <v>61</v>
      </c>
      <c r="H160" s="16"/>
      <c r="I160" s="16"/>
      <c r="J160" s="16"/>
      <c r="K160" s="57" t="s">
        <v>61</v>
      </c>
      <c r="L160" s="57" t="s">
        <v>61</v>
      </c>
      <c r="M160" s="57" t="s">
        <v>61</v>
      </c>
      <c r="N160" s="16"/>
      <c r="O160" s="18"/>
      <c r="P160" s="18"/>
      <c r="Q160" s="19"/>
      <c r="R160" s="17"/>
      <c r="S160" s="16"/>
      <c r="T160" s="16"/>
      <c r="U160" s="16"/>
      <c r="V160" s="16"/>
      <c r="W160" s="16"/>
      <c r="X160" s="16"/>
      <c r="Y160" s="16"/>
      <c r="Z160" s="16"/>
      <c r="AA160" s="16"/>
      <c r="AB160" s="20"/>
      <c r="AC160" s="20"/>
      <c r="AD160" s="20"/>
      <c r="AE160" s="20"/>
      <c r="AF160" s="20"/>
      <c r="AG160" s="20"/>
      <c r="AH160" s="32"/>
      <c r="AI160" s="32"/>
      <c r="AJ160" s="32"/>
      <c r="AK160" s="20"/>
      <c r="AL160" s="16"/>
      <c r="AM160" s="16"/>
      <c r="AN160" s="16"/>
    </row>
    <row r="161" spans="2:40" x14ac:dyDescent="0.25">
      <c r="B161" s="21"/>
      <c r="C161" s="17"/>
      <c r="D161" s="16"/>
      <c r="E161" s="16"/>
      <c r="F161" s="18"/>
      <c r="G161" s="57" t="s">
        <v>61</v>
      </c>
      <c r="H161" s="16"/>
      <c r="I161" s="16"/>
      <c r="J161" s="16"/>
      <c r="K161" s="57" t="s">
        <v>61</v>
      </c>
      <c r="L161" s="57" t="s">
        <v>61</v>
      </c>
      <c r="M161" s="57" t="s">
        <v>61</v>
      </c>
      <c r="N161" s="16"/>
      <c r="O161" s="18"/>
      <c r="P161" s="18"/>
      <c r="Q161" s="19"/>
      <c r="R161" s="17"/>
      <c r="S161" s="16"/>
      <c r="T161" s="16"/>
      <c r="U161" s="16"/>
      <c r="V161" s="16"/>
      <c r="W161" s="16"/>
      <c r="X161" s="16"/>
      <c r="Y161" s="16"/>
      <c r="Z161" s="16"/>
      <c r="AA161" s="16"/>
      <c r="AB161" s="20"/>
      <c r="AC161" s="20"/>
      <c r="AD161" s="20"/>
      <c r="AE161" s="20"/>
      <c r="AF161" s="20"/>
      <c r="AG161" s="20"/>
      <c r="AH161" s="32"/>
      <c r="AI161" s="32"/>
      <c r="AJ161" s="32"/>
      <c r="AK161" s="20"/>
      <c r="AL161" s="16"/>
      <c r="AM161" s="16"/>
      <c r="AN161" s="16"/>
    </row>
    <row r="162" spans="2:40" x14ac:dyDescent="0.25">
      <c r="B162" s="21"/>
      <c r="C162" s="17"/>
      <c r="D162" s="16"/>
      <c r="E162" s="16"/>
      <c r="F162" s="18"/>
      <c r="G162" s="57" t="s">
        <v>61</v>
      </c>
      <c r="H162" s="16"/>
      <c r="I162" s="16"/>
      <c r="J162" s="16"/>
      <c r="K162" s="57" t="s">
        <v>61</v>
      </c>
      <c r="L162" s="57" t="s">
        <v>61</v>
      </c>
      <c r="M162" s="57" t="s">
        <v>61</v>
      </c>
      <c r="N162" s="16"/>
      <c r="O162" s="18"/>
      <c r="P162" s="18"/>
      <c r="Q162" s="19"/>
      <c r="R162" s="17"/>
      <c r="S162" s="16"/>
      <c r="T162" s="16"/>
      <c r="U162" s="16"/>
      <c r="V162" s="16"/>
      <c r="W162" s="16"/>
      <c r="X162" s="16"/>
      <c r="Y162" s="16"/>
      <c r="Z162" s="16"/>
      <c r="AA162" s="16"/>
      <c r="AB162" s="20"/>
      <c r="AC162" s="20"/>
      <c r="AD162" s="20"/>
      <c r="AE162" s="20"/>
      <c r="AF162" s="20"/>
      <c r="AG162" s="20"/>
      <c r="AH162" s="32"/>
      <c r="AI162" s="32"/>
      <c r="AJ162" s="32"/>
      <c r="AK162" s="20"/>
      <c r="AL162" s="16"/>
      <c r="AM162" s="16"/>
      <c r="AN162" s="16"/>
    </row>
    <row r="163" spans="2:40" x14ac:dyDescent="0.25">
      <c r="B163" s="21"/>
      <c r="C163" s="17"/>
      <c r="D163" s="16"/>
      <c r="E163" s="16"/>
      <c r="F163" s="18"/>
      <c r="G163" s="57" t="s">
        <v>61</v>
      </c>
      <c r="H163" s="16"/>
      <c r="I163" s="16"/>
      <c r="J163" s="16"/>
      <c r="K163" s="57" t="s">
        <v>61</v>
      </c>
      <c r="L163" s="57" t="s">
        <v>61</v>
      </c>
      <c r="M163" s="57" t="s">
        <v>61</v>
      </c>
      <c r="N163" s="16"/>
      <c r="O163" s="18"/>
      <c r="P163" s="18"/>
      <c r="Q163" s="19"/>
      <c r="R163" s="17"/>
      <c r="S163" s="16"/>
      <c r="T163" s="16"/>
      <c r="U163" s="16"/>
      <c r="V163" s="16"/>
      <c r="W163" s="16"/>
      <c r="X163" s="16"/>
      <c r="Y163" s="16"/>
      <c r="Z163" s="16"/>
      <c r="AA163" s="16"/>
      <c r="AB163" s="20"/>
      <c r="AC163" s="20"/>
      <c r="AD163" s="20"/>
      <c r="AE163" s="20"/>
      <c r="AF163" s="20"/>
      <c r="AG163" s="20"/>
      <c r="AH163" s="32"/>
      <c r="AI163" s="32"/>
      <c r="AJ163" s="32"/>
      <c r="AK163" s="20"/>
      <c r="AL163" s="16"/>
      <c r="AM163" s="16"/>
      <c r="AN163" s="16"/>
    </row>
    <row r="164" spans="2:40" x14ac:dyDescent="0.25">
      <c r="B164" s="21"/>
      <c r="C164" s="17"/>
      <c r="D164" s="16"/>
      <c r="E164" s="16"/>
      <c r="F164" s="18"/>
      <c r="G164" s="57" t="s">
        <v>61</v>
      </c>
      <c r="H164" s="16"/>
      <c r="I164" s="16"/>
      <c r="J164" s="16"/>
      <c r="K164" s="57" t="s">
        <v>61</v>
      </c>
      <c r="L164" s="57" t="s">
        <v>61</v>
      </c>
      <c r="M164" s="57" t="s">
        <v>61</v>
      </c>
      <c r="N164" s="16"/>
      <c r="O164" s="18"/>
      <c r="P164" s="18"/>
      <c r="Q164" s="19"/>
      <c r="R164" s="17"/>
      <c r="S164" s="16"/>
      <c r="T164" s="16"/>
      <c r="U164" s="16"/>
      <c r="V164" s="16"/>
      <c r="W164" s="16"/>
      <c r="X164" s="16"/>
      <c r="Y164" s="16"/>
      <c r="Z164" s="16"/>
      <c r="AA164" s="16"/>
      <c r="AB164" s="20"/>
      <c r="AC164" s="20"/>
      <c r="AD164" s="20"/>
      <c r="AE164" s="20"/>
      <c r="AF164" s="20"/>
      <c r="AG164" s="20"/>
      <c r="AH164" s="32"/>
      <c r="AI164" s="32"/>
      <c r="AJ164" s="32"/>
      <c r="AK164" s="20"/>
      <c r="AL164" s="16"/>
      <c r="AM164" s="16"/>
      <c r="AN164" s="16"/>
    </row>
    <row r="165" spans="2:40" x14ac:dyDescent="0.25">
      <c r="B165" s="21"/>
      <c r="C165" s="17"/>
      <c r="D165" s="16"/>
      <c r="E165" s="16"/>
      <c r="F165" s="18"/>
      <c r="G165" s="57" t="s">
        <v>61</v>
      </c>
      <c r="H165" s="16"/>
      <c r="I165" s="16"/>
      <c r="J165" s="16"/>
      <c r="K165" s="57" t="s">
        <v>61</v>
      </c>
      <c r="L165" s="57" t="s">
        <v>61</v>
      </c>
      <c r="M165" s="57" t="s">
        <v>61</v>
      </c>
      <c r="N165" s="16"/>
      <c r="O165" s="18"/>
      <c r="P165" s="18"/>
      <c r="Q165" s="19"/>
      <c r="R165" s="17"/>
      <c r="S165" s="16"/>
      <c r="T165" s="16"/>
      <c r="U165" s="16"/>
      <c r="V165" s="16"/>
      <c r="W165" s="16"/>
      <c r="X165" s="16"/>
      <c r="Y165" s="16"/>
      <c r="Z165" s="16"/>
      <c r="AA165" s="16"/>
      <c r="AB165" s="20"/>
      <c r="AC165" s="20"/>
      <c r="AD165" s="20"/>
      <c r="AE165" s="20"/>
      <c r="AF165" s="20"/>
      <c r="AG165" s="20"/>
      <c r="AH165" s="32"/>
      <c r="AI165" s="32"/>
      <c r="AJ165" s="32"/>
      <c r="AK165" s="20"/>
      <c r="AL165" s="16"/>
      <c r="AM165" s="16"/>
      <c r="AN165" s="16"/>
    </row>
    <row r="166" spans="2:40" x14ac:dyDescent="0.25">
      <c r="B166" s="21"/>
      <c r="C166" s="17"/>
      <c r="D166" s="16"/>
      <c r="E166" s="16"/>
      <c r="F166" s="18"/>
      <c r="G166" s="57" t="s">
        <v>61</v>
      </c>
      <c r="H166" s="16"/>
      <c r="I166" s="16"/>
      <c r="J166" s="16"/>
      <c r="K166" s="57" t="s">
        <v>61</v>
      </c>
      <c r="L166" s="57" t="s">
        <v>61</v>
      </c>
      <c r="M166" s="57" t="s">
        <v>61</v>
      </c>
      <c r="N166" s="16"/>
      <c r="O166" s="18"/>
      <c r="P166" s="18"/>
      <c r="Q166" s="19"/>
      <c r="R166" s="17"/>
      <c r="S166" s="16"/>
      <c r="T166" s="16"/>
      <c r="U166" s="16"/>
      <c r="V166" s="16"/>
      <c r="W166" s="16"/>
      <c r="X166" s="16"/>
      <c r="Y166" s="16"/>
      <c r="Z166" s="16"/>
      <c r="AA166" s="16"/>
      <c r="AB166" s="20"/>
      <c r="AC166" s="20"/>
      <c r="AD166" s="20"/>
      <c r="AE166" s="20"/>
      <c r="AF166" s="20"/>
      <c r="AG166" s="20"/>
      <c r="AH166" s="32"/>
      <c r="AI166" s="32"/>
      <c r="AJ166" s="32"/>
      <c r="AK166" s="20"/>
      <c r="AL166" s="16"/>
      <c r="AM166" s="16"/>
      <c r="AN166" s="16"/>
    </row>
    <row r="167" spans="2:40" x14ac:dyDescent="0.25">
      <c r="B167" s="21"/>
      <c r="C167" s="17"/>
      <c r="D167" s="16"/>
      <c r="E167" s="16"/>
      <c r="F167" s="18"/>
      <c r="G167" s="57" t="s">
        <v>61</v>
      </c>
      <c r="H167" s="16"/>
      <c r="I167" s="16"/>
      <c r="J167" s="16"/>
      <c r="K167" s="57" t="s">
        <v>61</v>
      </c>
      <c r="L167" s="57" t="s">
        <v>61</v>
      </c>
      <c r="M167" s="57" t="s">
        <v>61</v>
      </c>
      <c r="N167" s="16"/>
      <c r="O167" s="18"/>
      <c r="P167" s="18"/>
      <c r="Q167" s="19"/>
      <c r="R167" s="17"/>
      <c r="S167" s="16"/>
      <c r="T167" s="16"/>
      <c r="U167" s="16"/>
      <c r="V167" s="16"/>
      <c r="W167" s="16"/>
      <c r="X167" s="16"/>
      <c r="Y167" s="16"/>
      <c r="Z167" s="16"/>
      <c r="AA167" s="16"/>
      <c r="AB167" s="20"/>
      <c r="AC167" s="20"/>
      <c r="AD167" s="20"/>
      <c r="AE167" s="20"/>
      <c r="AF167" s="20"/>
      <c r="AG167" s="20"/>
      <c r="AH167" s="32"/>
      <c r="AI167" s="32"/>
      <c r="AJ167" s="32"/>
      <c r="AK167" s="20"/>
      <c r="AL167" s="16"/>
      <c r="AM167" s="16"/>
      <c r="AN167" s="16"/>
    </row>
    <row r="168" spans="2:40" x14ac:dyDescent="0.25">
      <c r="B168" s="21"/>
      <c r="C168" s="17"/>
      <c r="D168" s="16"/>
      <c r="E168" s="16"/>
      <c r="F168" s="18"/>
      <c r="G168" s="57" t="s">
        <v>61</v>
      </c>
      <c r="H168" s="16"/>
      <c r="I168" s="16"/>
      <c r="J168" s="16"/>
      <c r="K168" s="57" t="s">
        <v>61</v>
      </c>
      <c r="L168" s="57" t="s">
        <v>61</v>
      </c>
      <c r="M168" s="57" t="s">
        <v>61</v>
      </c>
      <c r="N168" s="16"/>
      <c r="O168" s="18"/>
      <c r="P168" s="18"/>
      <c r="Q168" s="19"/>
      <c r="R168" s="17"/>
      <c r="S168" s="16"/>
      <c r="T168" s="16"/>
      <c r="U168" s="16"/>
      <c r="V168" s="16"/>
      <c r="W168" s="16"/>
      <c r="X168" s="16"/>
      <c r="Y168" s="16"/>
      <c r="Z168" s="16"/>
      <c r="AA168" s="16"/>
      <c r="AB168" s="20"/>
      <c r="AC168" s="20"/>
      <c r="AD168" s="20"/>
      <c r="AE168" s="20"/>
      <c r="AF168" s="20"/>
      <c r="AG168" s="20"/>
      <c r="AH168" s="32"/>
      <c r="AI168" s="32"/>
      <c r="AJ168" s="32"/>
      <c r="AK168" s="20"/>
      <c r="AL168" s="16"/>
      <c r="AM168" s="16"/>
      <c r="AN168" s="16"/>
    </row>
    <row r="169" spans="2:40" x14ac:dyDescent="0.25">
      <c r="B169" s="21"/>
      <c r="C169" s="17"/>
      <c r="D169" s="16"/>
      <c r="E169" s="16"/>
      <c r="F169" s="18"/>
      <c r="G169" s="57" t="s">
        <v>61</v>
      </c>
      <c r="H169" s="16"/>
      <c r="I169" s="16"/>
      <c r="J169" s="16"/>
      <c r="K169" s="57" t="s">
        <v>61</v>
      </c>
      <c r="L169" s="57" t="s">
        <v>61</v>
      </c>
      <c r="M169" s="57" t="s">
        <v>61</v>
      </c>
      <c r="N169" s="16"/>
      <c r="O169" s="18"/>
      <c r="P169" s="18"/>
      <c r="Q169" s="19"/>
      <c r="R169" s="17"/>
      <c r="S169" s="16"/>
      <c r="T169" s="16"/>
      <c r="U169" s="16"/>
      <c r="V169" s="16"/>
      <c r="W169" s="16"/>
      <c r="X169" s="16"/>
      <c r="Y169" s="16"/>
      <c r="Z169" s="16"/>
      <c r="AA169" s="16"/>
      <c r="AB169" s="20"/>
      <c r="AC169" s="20"/>
      <c r="AD169" s="20"/>
      <c r="AE169" s="20"/>
      <c r="AF169" s="20"/>
      <c r="AG169" s="20"/>
      <c r="AH169" s="32"/>
      <c r="AI169" s="32"/>
      <c r="AJ169" s="32"/>
      <c r="AK169" s="20"/>
      <c r="AL169" s="16"/>
      <c r="AM169" s="16"/>
      <c r="AN169" s="16"/>
    </row>
    <row r="170" spans="2:40" x14ac:dyDescent="0.25">
      <c r="B170" s="21"/>
      <c r="C170" s="17"/>
      <c r="D170" s="16"/>
      <c r="E170" s="16"/>
      <c r="F170" s="18"/>
      <c r="G170" s="57" t="s">
        <v>61</v>
      </c>
      <c r="H170" s="16"/>
      <c r="I170" s="16"/>
      <c r="J170" s="16"/>
      <c r="K170" s="57" t="s">
        <v>61</v>
      </c>
      <c r="L170" s="57" t="s">
        <v>61</v>
      </c>
      <c r="M170" s="57" t="s">
        <v>61</v>
      </c>
      <c r="N170" s="16"/>
      <c r="O170" s="18"/>
      <c r="P170" s="18"/>
      <c r="Q170" s="19"/>
      <c r="R170" s="17"/>
      <c r="S170" s="16"/>
      <c r="T170" s="16"/>
      <c r="U170" s="16"/>
      <c r="V170" s="16"/>
      <c r="W170" s="16"/>
      <c r="X170" s="16"/>
      <c r="Y170" s="16"/>
      <c r="Z170" s="16"/>
      <c r="AA170" s="16"/>
      <c r="AB170" s="20"/>
      <c r="AC170" s="20"/>
      <c r="AD170" s="20"/>
      <c r="AE170" s="20"/>
      <c r="AF170" s="20"/>
      <c r="AG170" s="20"/>
      <c r="AH170" s="32"/>
      <c r="AI170" s="32"/>
      <c r="AJ170" s="32"/>
      <c r="AK170" s="20"/>
      <c r="AL170" s="16"/>
      <c r="AM170" s="16"/>
      <c r="AN170" s="16"/>
    </row>
    <row r="171" spans="2:40" x14ac:dyDescent="0.25">
      <c r="B171" s="21"/>
      <c r="C171" s="17"/>
      <c r="D171" s="16"/>
      <c r="E171" s="16"/>
      <c r="F171" s="18"/>
      <c r="G171" s="57" t="s">
        <v>61</v>
      </c>
      <c r="H171" s="16"/>
      <c r="I171" s="16"/>
      <c r="J171" s="16"/>
      <c r="K171" s="57" t="s">
        <v>61</v>
      </c>
      <c r="L171" s="57" t="s">
        <v>61</v>
      </c>
      <c r="M171" s="57" t="s">
        <v>61</v>
      </c>
      <c r="N171" s="16"/>
      <c r="O171" s="18"/>
      <c r="P171" s="18"/>
      <c r="Q171" s="19"/>
      <c r="R171" s="17"/>
      <c r="S171" s="16"/>
      <c r="T171" s="16"/>
      <c r="U171" s="16"/>
      <c r="V171" s="16"/>
      <c r="W171" s="16"/>
      <c r="X171" s="16"/>
      <c r="Y171" s="16"/>
      <c r="Z171" s="16"/>
      <c r="AA171" s="16"/>
      <c r="AB171" s="20"/>
      <c r="AC171" s="20"/>
      <c r="AD171" s="20"/>
      <c r="AE171" s="20"/>
      <c r="AF171" s="20"/>
      <c r="AG171" s="20"/>
      <c r="AH171" s="32"/>
      <c r="AI171" s="32"/>
      <c r="AJ171" s="32"/>
      <c r="AK171" s="20"/>
      <c r="AL171" s="16"/>
      <c r="AM171" s="16"/>
      <c r="AN171" s="16"/>
    </row>
    <row r="172" spans="2:40" x14ac:dyDescent="0.25">
      <c r="B172" s="21"/>
      <c r="C172" s="17"/>
      <c r="D172" s="16"/>
      <c r="E172" s="16"/>
      <c r="F172" s="18"/>
      <c r="G172" s="57" t="s">
        <v>61</v>
      </c>
      <c r="H172" s="16"/>
      <c r="I172" s="16"/>
      <c r="J172" s="16"/>
      <c r="K172" s="57" t="s">
        <v>61</v>
      </c>
      <c r="L172" s="57" t="s">
        <v>61</v>
      </c>
      <c r="M172" s="57" t="s">
        <v>61</v>
      </c>
      <c r="N172" s="16"/>
      <c r="O172" s="18"/>
      <c r="P172" s="18"/>
      <c r="Q172" s="19"/>
      <c r="R172" s="17"/>
      <c r="S172" s="16"/>
      <c r="T172" s="16"/>
      <c r="U172" s="16"/>
      <c r="V172" s="16"/>
      <c r="W172" s="16"/>
      <c r="X172" s="16"/>
      <c r="Y172" s="16"/>
      <c r="Z172" s="16"/>
      <c r="AA172" s="16"/>
      <c r="AB172" s="20"/>
      <c r="AC172" s="20"/>
      <c r="AD172" s="20"/>
      <c r="AE172" s="20"/>
      <c r="AF172" s="20"/>
      <c r="AG172" s="20"/>
      <c r="AH172" s="32"/>
      <c r="AI172" s="32"/>
      <c r="AJ172" s="32"/>
      <c r="AK172" s="20"/>
      <c r="AL172" s="16"/>
      <c r="AM172" s="16"/>
      <c r="AN172" s="16"/>
    </row>
    <row r="173" spans="2:40" x14ac:dyDescent="0.25">
      <c r="B173" s="21"/>
      <c r="C173" s="17"/>
      <c r="D173" s="16"/>
      <c r="E173" s="16"/>
      <c r="F173" s="18"/>
      <c r="G173" s="57" t="s">
        <v>61</v>
      </c>
      <c r="H173" s="16"/>
      <c r="I173" s="16"/>
      <c r="J173" s="16"/>
      <c r="K173" s="57" t="s">
        <v>61</v>
      </c>
      <c r="L173" s="57" t="s">
        <v>61</v>
      </c>
      <c r="M173" s="57" t="s">
        <v>61</v>
      </c>
      <c r="N173" s="16"/>
      <c r="O173" s="18"/>
      <c r="P173" s="18"/>
      <c r="Q173" s="19"/>
      <c r="R173" s="17"/>
      <c r="S173" s="16"/>
      <c r="T173" s="16"/>
      <c r="U173" s="16"/>
      <c r="V173" s="16"/>
      <c r="W173" s="16"/>
      <c r="X173" s="16"/>
      <c r="Y173" s="16"/>
      <c r="Z173" s="16"/>
      <c r="AA173" s="16"/>
      <c r="AB173" s="20"/>
      <c r="AC173" s="20"/>
      <c r="AD173" s="20"/>
      <c r="AE173" s="20"/>
      <c r="AF173" s="20"/>
      <c r="AG173" s="20"/>
      <c r="AH173" s="32"/>
      <c r="AI173" s="32"/>
      <c r="AJ173" s="32"/>
      <c r="AK173" s="20"/>
      <c r="AL173" s="16"/>
      <c r="AM173" s="16"/>
      <c r="AN173" s="16"/>
    </row>
    <row r="174" spans="2:40" x14ac:dyDescent="0.25">
      <c r="B174" s="21"/>
      <c r="C174" s="17"/>
      <c r="D174" s="16"/>
      <c r="E174" s="16"/>
      <c r="F174" s="18"/>
      <c r="G174" s="57" t="s">
        <v>61</v>
      </c>
      <c r="H174" s="16"/>
      <c r="I174" s="16"/>
      <c r="J174" s="16"/>
      <c r="K174" s="57" t="s">
        <v>61</v>
      </c>
      <c r="L174" s="57" t="s">
        <v>61</v>
      </c>
      <c r="M174" s="57" t="s">
        <v>61</v>
      </c>
      <c r="N174" s="16"/>
      <c r="O174" s="18"/>
      <c r="P174" s="18"/>
      <c r="Q174" s="19"/>
      <c r="R174" s="17"/>
      <c r="S174" s="16"/>
      <c r="T174" s="16"/>
      <c r="U174" s="16"/>
      <c r="V174" s="16"/>
      <c r="W174" s="16"/>
      <c r="X174" s="16"/>
      <c r="Y174" s="16"/>
      <c r="Z174" s="16"/>
      <c r="AA174" s="16"/>
      <c r="AB174" s="20"/>
      <c r="AC174" s="20"/>
      <c r="AD174" s="20"/>
      <c r="AE174" s="20"/>
      <c r="AF174" s="20"/>
      <c r="AG174" s="20"/>
      <c r="AH174" s="32"/>
      <c r="AI174" s="32"/>
      <c r="AJ174" s="32"/>
      <c r="AK174" s="20"/>
      <c r="AL174" s="16"/>
      <c r="AM174" s="16"/>
      <c r="AN174" s="16"/>
    </row>
    <row r="175" spans="2:40" x14ac:dyDescent="0.25">
      <c r="B175" s="21"/>
      <c r="C175" s="17"/>
      <c r="D175" s="16"/>
      <c r="E175" s="16"/>
      <c r="F175" s="18"/>
      <c r="G175" s="57" t="s">
        <v>61</v>
      </c>
      <c r="H175" s="16"/>
      <c r="I175" s="16"/>
      <c r="J175" s="16"/>
      <c r="K175" s="57" t="s">
        <v>61</v>
      </c>
      <c r="L175" s="57" t="s">
        <v>61</v>
      </c>
      <c r="M175" s="57" t="s">
        <v>61</v>
      </c>
      <c r="N175" s="16"/>
      <c r="O175" s="18"/>
      <c r="P175" s="18"/>
      <c r="Q175" s="19"/>
      <c r="R175" s="17"/>
      <c r="S175" s="16"/>
      <c r="T175" s="16"/>
      <c r="U175" s="16"/>
      <c r="V175" s="16"/>
      <c r="W175" s="16"/>
      <c r="X175" s="16"/>
      <c r="Y175" s="16"/>
      <c r="Z175" s="16"/>
      <c r="AA175" s="16"/>
      <c r="AB175" s="20"/>
      <c r="AC175" s="20"/>
      <c r="AD175" s="20"/>
      <c r="AE175" s="20"/>
      <c r="AF175" s="20"/>
      <c r="AG175" s="20"/>
      <c r="AH175" s="32"/>
      <c r="AI175" s="32"/>
      <c r="AJ175" s="32"/>
      <c r="AK175" s="20"/>
      <c r="AL175" s="16"/>
      <c r="AM175" s="16"/>
      <c r="AN175" s="16"/>
    </row>
    <row r="176" spans="2:40" x14ac:dyDescent="0.25">
      <c r="B176" s="21"/>
      <c r="C176" s="17"/>
      <c r="D176" s="16"/>
      <c r="E176" s="16"/>
      <c r="F176" s="18"/>
      <c r="G176" s="57" t="s">
        <v>61</v>
      </c>
      <c r="H176" s="16"/>
      <c r="I176" s="16"/>
      <c r="J176" s="16"/>
      <c r="K176" s="57" t="s">
        <v>61</v>
      </c>
      <c r="L176" s="57" t="s">
        <v>61</v>
      </c>
      <c r="M176" s="57" t="s">
        <v>61</v>
      </c>
      <c r="N176" s="16"/>
      <c r="O176" s="18"/>
      <c r="P176" s="18"/>
      <c r="Q176" s="19"/>
      <c r="R176" s="17"/>
      <c r="S176" s="16"/>
      <c r="T176" s="16"/>
      <c r="U176" s="16"/>
      <c r="V176" s="16"/>
      <c r="W176" s="16"/>
      <c r="X176" s="16"/>
      <c r="Y176" s="16"/>
      <c r="Z176" s="16"/>
      <c r="AA176" s="16"/>
      <c r="AB176" s="20"/>
      <c r="AC176" s="20"/>
      <c r="AD176" s="20"/>
      <c r="AE176" s="20"/>
      <c r="AF176" s="20"/>
      <c r="AG176" s="20"/>
      <c r="AH176" s="32"/>
      <c r="AI176" s="32"/>
      <c r="AJ176" s="32"/>
      <c r="AK176" s="20"/>
      <c r="AL176" s="16"/>
      <c r="AM176" s="16"/>
      <c r="AN176" s="16"/>
    </row>
    <row r="177" spans="2:40" x14ac:dyDescent="0.25">
      <c r="B177" s="21"/>
      <c r="C177" s="17"/>
      <c r="D177" s="16"/>
      <c r="E177" s="16"/>
      <c r="F177" s="18"/>
      <c r="G177" s="57" t="s">
        <v>61</v>
      </c>
      <c r="H177" s="16"/>
      <c r="I177" s="16"/>
      <c r="J177" s="16"/>
      <c r="K177" s="57" t="s">
        <v>61</v>
      </c>
      <c r="L177" s="57" t="s">
        <v>61</v>
      </c>
      <c r="M177" s="57" t="s">
        <v>61</v>
      </c>
      <c r="N177" s="16"/>
      <c r="O177" s="18"/>
      <c r="P177" s="18"/>
      <c r="Q177" s="19"/>
      <c r="R177" s="17"/>
      <c r="S177" s="16"/>
      <c r="T177" s="16"/>
      <c r="U177" s="16"/>
      <c r="V177" s="16"/>
      <c r="W177" s="16"/>
      <c r="X177" s="16"/>
      <c r="Y177" s="16"/>
      <c r="Z177" s="16"/>
      <c r="AA177" s="16"/>
      <c r="AB177" s="20"/>
      <c r="AC177" s="20"/>
      <c r="AD177" s="20"/>
      <c r="AE177" s="20"/>
      <c r="AF177" s="20"/>
      <c r="AG177" s="20"/>
      <c r="AH177" s="32"/>
      <c r="AI177" s="32"/>
      <c r="AJ177" s="32"/>
      <c r="AK177" s="20"/>
      <c r="AL177" s="16"/>
      <c r="AM177" s="16"/>
      <c r="AN177" s="16"/>
    </row>
    <row r="178" spans="2:40" x14ac:dyDescent="0.25">
      <c r="B178" s="21"/>
      <c r="C178" s="17"/>
      <c r="D178" s="16"/>
      <c r="E178" s="16"/>
      <c r="F178" s="18"/>
      <c r="G178" s="57" t="s">
        <v>61</v>
      </c>
      <c r="H178" s="16"/>
      <c r="I178" s="16"/>
      <c r="J178" s="16"/>
      <c r="K178" s="57" t="s">
        <v>61</v>
      </c>
      <c r="L178" s="57" t="s">
        <v>61</v>
      </c>
      <c r="M178" s="57" t="s">
        <v>61</v>
      </c>
      <c r="N178" s="16"/>
      <c r="O178" s="18"/>
      <c r="P178" s="18"/>
      <c r="Q178" s="19"/>
      <c r="R178" s="17"/>
      <c r="S178" s="16"/>
      <c r="T178" s="16"/>
      <c r="U178" s="16"/>
      <c r="V178" s="16"/>
      <c r="W178" s="16"/>
      <c r="X178" s="16"/>
      <c r="Y178" s="16"/>
      <c r="Z178" s="16"/>
      <c r="AA178" s="16"/>
      <c r="AB178" s="20"/>
      <c r="AC178" s="20"/>
      <c r="AD178" s="20"/>
      <c r="AE178" s="20"/>
      <c r="AF178" s="20"/>
      <c r="AG178" s="20"/>
      <c r="AH178" s="32"/>
      <c r="AI178" s="32"/>
      <c r="AJ178" s="32"/>
      <c r="AK178" s="20"/>
      <c r="AL178" s="16"/>
      <c r="AM178" s="16"/>
      <c r="AN178" s="16"/>
    </row>
    <row r="179" spans="2:40" x14ac:dyDescent="0.25">
      <c r="B179" s="21"/>
      <c r="C179" s="17"/>
      <c r="D179" s="16"/>
      <c r="E179" s="16"/>
      <c r="F179" s="18"/>
      <c r="G179" s="57" t="s">
        <v>61</v>
      </c>
      <c r="H179" s="16"/>
      <c r="I179" s="16"/>
      <c r="J179" s="16"/>
      <c r="K179" s="57" t="s">
        <v>61</v>
      </c>
      <c r="L179" s="57" t="s">
        <v>61</v>
      </c>
      <c r="M179" s="57" t="s">
        <v>61</v>
      </c>
      <c r="N179" s="16"/>
      <c r="O179" s="18"/>
      <c r="P179" s="18"/>
      <c r="Q179" s="19"/>
      <c r="R179" s="17"/>
      <c r="S179" s="16"/>
      <c r="T179" s="16"/>
      <c r="U179" s="16"/>
      <c r="V179" s="16"/>
      <c r="W179" s="16"/>
      <c r="X179" s="16"/>
      <c r="Y179" s="16"/>
      <c r="Z179" s="16"/>
      <c r="AA179" s="16"/>
      <c r="AB179" s="20"/>
      <c r="AC179" s="20"/>
      <c r="AD179" s="20"/>
      <c r="AE179" s="20"/>
      <c r="AF179" s="20"/>
      <c r="AG179" s="20"/>
      <c r="AH179" s="32"/>
      <c r="AI179" s="32"/>
      <c r="AJ179" s="32"/>
      <c r="AK179" s="20"/>
      <c r="AL179" s="16"/>
      <c r="AM179" s="16"/>
      <c r="AN179" s="16"/>
    </row>
    <row r="180" spans="2:40" x14ac:dyDescent="0.25">
      <c r="B180" s="21"/>
      <c r="C180" s="17"/>
      <c r="D180" s="16"/>
      <c r="E180" s="16"/>
      <c r="F180" s="18"/>
      <c r="G180" s="57" t="s">
        <v>61</v>
      </c>
      <c r="H180" s="16"/>
      <c r="I180" s="16"/>
      <c r="J180" s="16"/>
      <c r="K180" s="57" t="s">
        <v>61</v>
      </c>
      <c r="L180" s="57" t="s">
        <v>61</v>
      </c>
      <c r="M180" s="57" t="s">
        <v>61</v>
      </c>
      <c r="N180" s="16"/>
      <c r="O180" s="18"/>
      <c r="P180" s="18"/>
      <c r="Q180" s="19"/>
      <c r="R180" s="17"/>
      <c r="S180" s="16"/>
      <c r="T180" s="16"/>
      <c r="U180" s="16"/>
      <c r="V180" s="16"/>
      <c r="W180" s="16"/>
      <c r="X180" s="16"/>
      <c r="Y180" s="16"/>
      <c r="Z180" s="16"/>
      <c r="AA180" s="16"/>
      <c r="AB180" s="20"/>
      <c r="AC180" s="20"/>
      <c r="AD180" s="20"/>
      <c r="AE180" s="20"/>
      <c r="AF180" s="20"/>
      <c r="AG180" s="20"/>
      <c r="AH180" s="32"/>
      <c r="AI180" s="32"/>
      <c r="AJ180" s="32"/>
      <c r="AK180" s="20"/>
      <c r="AL180" s="16"/>
      <c r="AM180" s="16"/>
      <c r="AN180" s="16"/>
    </row>
    <row r="181" spans="2:40" x14ac:dyDescent="0.25">
      <c r="B181" s="21"/>
      <c r="C181" s="17"/>
      <c r="D181" s="16"/>
      <c r="E181" s="16"/>
      <c r="F181" s="18"/>
      <c r="G181" s="57" t="s">
        <v>61</v>
      </c>
      <c r="H181" s="16"/>
      <c r="I181" s="16"/>
      <c r="J181" s="16"/>
      <c r="K181" s="57" t="s">
        <v>61</v>
      </c>
      <c r="L181" s="57" t="s">
        <v>61</v>
      </c>
      <c r="M181" s="57" t="s">
        <v>61</v>
      </c>
      <c r="N181" s="16"/>
      <c r="O181" s="18"/>
      <c r="P181" s="18"/>
      <c r="Q181" s="19"/>
      <c r="R181" s="17"/>
      <c r="S181" s="16"/>
      <c r="T181" s="16"/>
      <c r="U181" s="16"/>
      <c r="V181" s="16"/>
      <c r="W181" s="16"/>
      <c r="X181" s="16"/>
      <c r="Y181" s="16"/>
      <c r="Z181" s="16"/>
      <c r="AA181" s="16"/>
      <c r="AB181" s="20"/>
      <c r="AC181" s="20"/>
      <c r="AD181" s="20"/>
      <c r="AE181" s="20"/>
      <c r="AF181" s="20"/>
      <c r="AG181" s="20"/>
      <c r="AH181" s="32"/>
      <c r="AI181" s="32"/>
      <c r="AJ181" s="32"/>
      <c r="AK181" s="20"/>
      <c r="AL181" s="16"/>
      <c r="AM181" s="16"/>
      <c r="AN181" s="16"/>
    </row>
    <row r="182" spans="2:40" x14ac:dyDescent="0.25">
      <c r="B182" s="21"/>
      <c r="C182" s="17"/>
      <c r="D182" s="16"/>
      <c r="E182" s="16"/>
      <c r="F182" s="18"/>
      <c r="G182" s="57" t="s">
        <v>61</v>
      </c>
      <c r="H182" s="16"/>
      <c r="I182" s="16"/>
      <c r="J182" s="16"/>
      <c r="K182" s="57" t="s">
        <v>61</v>
      </c>
      <c r="L182" s="57" t="s">
        <v>61</v>
      </c>
      <c r="M182" s="57" t="s">
        <v>61</v>
      </c>
      <c r="N182" s="16"/>
      <c r="O182" s="18"/>
      <c r="P182" s="18"/>
      <c r="Q182" s="19"/>
      <c r="R182" s="17"/>
      <c r="S182" s="16"/>
      <c r="T182" s="16"/>
      <c r="U182" s="16"/>
      <c r="V182" s="16"/>
      <c r="W182" s="16"/>
      <c r="X182" s="16"/>
      <c r="Y182" s="16"/>
      <c r="Z182" s="16"/>
      <c r="AA182" s="16"/>
      <c r="AB182" s="20"/>
      <c r="AC182" s="20"/>
      <c r="AD182" s="20"/>
      <c r="AE182" s="20"/>
      <c r="AF182" s="20"/>
      <c r="AG182" s="20"/>
      <c r="AH182" s="32"/>
      <c r="AI182" s="32"/>
      <c r="AJ182" s="32"/>
      <c r="AK182" s="20"/>
      <c r="AL182" s="16"/>
      <c r="AM182" s="16"/>
      <c r="AN182" s="16"/>
    </row>
    <row r="183" spans="2:40" x14ac:dyDescent="0.25">
      <c r="B183" s="21"/>
      <c r="C183" s="17"/>
      <c r="D183" s="16"/>
      <c r="E183" s="16"/>
      <c r="F183" s="18"/>
      <c r="G183" s="57" t="s">
        <v>61</v>
      </c>
      <c r="H183" s="16"/>
      <c r="I183" s="16"/>
      <c r="J183" s="16"/>
      <c r="K183" s="57" t="s">
        <v>61</v>
      </c>
      <c r="L183" s="57" t="s">
        <v>61</v>
      </c>
      <c r="M183" s="57" t="s">
        <v>61</v>
      </c>
      <c r="N183" s="16"/>
      <c r="O183" s="18"/>
      <c r="P183" s="18"/>
      <c r="Q183" s="19"/>
      <c r="R183" s="17"/>
      <c r="S183" s="16"/>
      <c r="T183" s="16"/>
      <c r="U183" s="16"/>
      <c r="V183" s="16"/>
      <c r="W183" s="16"/>
      <c r="X183" s="16"/>
      <c r="Y183" s="16"/>
      <c r="Z183" s="16"/>
      <c r="AA183" s="16"/>
      <c r="AB183" s="20"/>
      <c r="AC183" s="20"/>
      <c r="AD183" s="20"/>
      <c r="AE183" s="20"/>
      <c r="AF183" s="20"/>
      <c r="AG183" s="20"/>
      <c r="AH183" s="32"/>
      <c r="AI183" s="32"/>
      <c r="AJ183" s="32"/>
      <c r="AK183" s="20"/>
      <c r="AL183" s="16"/>
      <c r="AM183" s="16"/>
      <c r="AN183" s="16"/>
    </row>
    <row r="184" spans="2:40" x14ac:dyDescent="0.25">
      <c r="B184" s="21"/>
      <c r="C184" s="17"/>
      <c r="D184" s="16"/>
      <c r="E184" s="16"/>
      <c r="F184" s="18"/>
      <c r="G184" s="57" t="s">
        <v>61</v>
      </c>
      <c r="H184" s="16"/>
      <c r="I184" s="16"/>
      <c r="J184" s="16"/>
      <c r="K184" s="57" t="s">
        <v>61</v>
      </c>
      <c r="L184" s="57" t="s">
        <v>61</v>
      </c>
      <c r="M184" s="57" t="s">
        <v>61</v>
      </c>
      <c r="N184" s="16"/>
      <c r="O184" s="18"/>
      <c r="P184" s="18"/>
      <c r="Q184" s="19"/>
      <c r="R184" s="17"/>
      <c r="S184" s="16"/>
      <c r="T184" s="16"/>
      <c r="U184" s="16"/>
      <c r="V184" s="16"/>
      <c r="W184" s="16"/>
      <c r="X184" s="16"/>
      <c r="Y184" s="16"/>
      <c r="Z184" s="16"/>
      <c r="AA184" s="16"/>
      <c r="AB184" s="20"/>
      <c r="AC184" s="20"/>
      <c r="AD184" s="20"/>
      <c r="AE184" s="20"/>
      <c r="AF184" s="20"/>
      <c r="AG184" s="20"/>
      <c r="AH184" s="32"/>
      <c r="AI184" s="32"/>
      <c r="AJ184" s="32"/>
      <c r="AK184" s="20"/>
      <c r="AL184" s="16"/>
      <c r="AM184" s="16"/>
      <c r="AN184" s="16"/>
    </row>
    <row r="185" spans="2:40" x14ac:dyDescent="0.25">
      <c r="B185" s="21"/>
      <c r="C185" s="17"/>
      <c r="D185" s="16"/>
      <c r="E185" s="16"/>
      <c r="F185" s="18"/>
      <c r="G185" s="57" t="s">
        <v>61</v>
      </c>
      <c r="H185" s="16"/>
      <c r="I185" s="16"/>
      <c r="J185" s="16"/>
      <c r="K185" s="57" t="s">
        <v>61</v>
      </c>
      <c r="L185" s="57" t="s">
        <v>61</v>
      </c>
      <c r="M185" s="57" t="s">
        <v>61</v>
      </c>
      <c r="N185" s="16"/>
      <c r="O185" s="18"/>
      <c r="P185" s="18"/>
      <c r="Q185" s="19"/>
      <c r="R185" s="17"/>
      <c r="S185" s="16"/>
      <c r="T185" s="16"/>
      <c r="U185" s="16"/>
      <c r="V185" s="16"/>
      <c r="W185" s="16"/>
      <c r="X185" s="16"/>
      <c r="Y185" s="16"/>
      <c r="Z185" s="16"/>
      <c r="AA185" s="16"/>
      <c r="AB185" s="20"/>
      <c r="AC185" s="20"/>
      <c r="AD185" s="20"/>
      <c r="AE185" s="20"/>
      <c r="AF185" s="20"/>
      <c r="AG185" s="20"/>
      <c r="AH185" s="32"/>
      <c r="AI185" s="32"/>
      <c r="AJ185" s="32"/>
      <c r="AK185" s="20"/>
      <c r="AL185" s="16"/>
      <c r="AM185" s="16"/>
      <c r="AN185" s="16"/>
    </row>
    <row r="186" spans="2:40" x14ac:dyDescent="0.25">
      <c r="B186" s="21"/>
      <c r="C186" s="17"/>
      <c r="D186" s="16"/>
      <c r="E186" s="16"/>
      <c r="F186" s="18"/>
      <c r="G186" s="57" t="s">
        <v>61</v>
      </c>
      <c r="H186" s="16"/>
      <c r="I186" s="16"/>
      <c r="J186" s="16"/>
      <c r="K186" s="57" t="s">
        <v>61</v>
      </c>
      <c r="L186" s="57" t="s">
        <v>61</v>
      </c>
      <c r="M186" s="57" t="s">
        <v>61</v>
      </c>
      <c r="N186" s="16"/>
      <c r="O186" s="18"/>
      <c r="P186" s="18"/>
      <c r="Q186" s="19"/>
      <c r="R186" s="17"/>
      <c r="S186" s="16"/>
      <c r="T186" s="16"/>
      <c r="U186" s="16"/>
      <c r="V186" s="16"/>
      <c r="W186" s="16"/>
      <c r="X186" s="16"/>
      <c r="Y186" s="16"/>
      <c r="Z186" s="16"/>
      <c r="AA186" s="16"/>
      <c r="AB186" s="20"/>
      <c r="AC186" s="20"/>
      <c r="AD186" s="20"/>
      <c r="AE186" s="20"/>
      <c r="AF186" s="20"/>
      <c r="AG186" s="20"/>
      <c r="AH186" s="32"/>
      <c r="AI186" s="32"/>
      <c r="AJ186" s="32"/>
      <c r="AK186" s="20"/>
      <c r="AL186" s="16"/>
      <c r="AM186" s="16"/>
      <c r="AN186" s="16"/>
    </row>
    <row r="187" spans="2:40" x14ac:dyDescent="0.25">
      <c r="B187" s="21"/>
      <c r="C187" s="17"/>
      <c r="D187" s="16"/>
      <c r="E187" s="16"/>
      <c r="F187" s="18"/>
      <c r="G187" s="57" t="s">
        <v>61</v>
      </c>
      <c r="H187" s="16"/>
      <c r="I187" s="16"/>
      <c r="J187" s="16"/>
      <c r="K187" s="57" t="s">
        <v>61</v>
      </c>
      <c r="L187" s="57" t="s">
        <v>61</v>
      </c>
      <c r="M187" s="57" t="s">
        <v>61</v>
      </c>
      <c r="N187" s="16"/>
      <c r="O187" s="18"/>
      <c r="P187" s="18"/>
      <c r="Q187" s="19"/>
      <c r="R187" s="17"/>
      <c r="S187" s="16"/>
      <c r="T187" s="16"/>
      <c r="U187" s="16"/>
      <c r="V187" s="16"/>
      <c r="W187" s="16"/>
      <c r="X187" s="16"/>
      <c r="Y187" s="16"/>
      <c r="Z187" s="16"/>
      <c r="AA187" s="16"/>
      <c r="AB187" s="20"/>
      <c r="AC187" s="20"/>
      <c r="AD187" s="20"/>
      <c r="AE187" s="20"/>
      <c r="AF187" s="20"/>
      <c r="AG187" s="20"/>
      <c r="AH187" s="32"/>
      <c r="AI187" s="32"/>
      <c r="AJ187" s="32"/>
      <c r="AK187" s="20"/>
      <c r="AL187" s="16"/>
      <c r="AM187" s="16"/>
      <c r="AN187" s="16"/>
    </row>
  </sheetData>
  <autoFilter ref="B47:AN187"/>
  <customSheetViews>
    <customSheetView guid="{250915DF-0B97-45D7-B29D-7EED4C89C1C1}" scale="70" showAutoFilter="1" topLeftCell="B1">
      <selection activeCell="I121" sqref="I121"/>
      <pageMargins left="0.7" right="0.7" top="0.75" bottom="0.75" header="0.3" footer="0.3"/>
      <pageSetup paperSize="9" orientation="portrait" r:id="rId1"/>
      <autoFilter ref="B47:AN187"/>
    </customSheetView>
    <customSheetView guid="{7E0EA425-A420-4443-B9E0-CDF0AA9E5D09}" scale="85" filter="1" showAutoFilter="1">
      <selection activeCell="I24" sqref="I24"/>
      <pageMargins left="0.7" right="0.7" top="0.75" bottom="0.75" header="0.3" footer="0.3"/>
      <pageSetup orientation="portrait" horizontalDpi="300" verticalDpi="0" r:id="rId2"/>
      <autoFilter ref="B47:AN187">
        <filterColumn colId="17">
          <filters>
            <filter val="dac.luu-cong"/>
          </filters>
        </filterColumn>
      </autoFilter>
    </customSheetView>
    <customSheetView guid="{3B3E6719-EACB-4D2C-89C1-05FFAB6020FD}" scale="70">
      <selection activeCell="H18" sqref="H18"/>
      <pageMargins left="0.7" right="0.7" top="0.75" bottom="0.75" header="0.3" footer="0.3"/>
    </customSheetView>
    <customSheetView guid="{72A6EB0A-84D5-4B8A-AC51-54CCD061630B}" scale="85">
      <selection activeCell="A147" sqref="A147:XFD147"/>
      <pageMargins left="0.7" right="0.7" top="0.75" bottom="0.75" header="0.3" footer="0.3"/>
    </customSheetView>
    <customSheetView guid="{4E06BDBF-2CED-473B-850B-2A6C7311FF41}">
      <selection activeCell="A147" sqref="A147:XFD147"/>
      <pageMargins left="0.7" right="0.7" top="0.75" bottom="0.75" header="0.3" footer="0.3"/>
    </customSheetView>
    <customSheetView guid="{7ECC2B8E-6A82-42F5-8AB0-4A51C54EA5EC}" topLeftCell="A16">
      <selection activeCell="Y52" sqref="Y52"/>
      <pageMargins left="0.7" right="0.7" top="0.75" bottom="0.75" header="0.3" footer="0.3"/>
    </customSheetView>
    <customSheetView guid="{A2C66332-A809-458E-971B-FDB6D62C74C3}" scale="70" showAutoFilter="1">
      <selection activeCell="Q51" sqref="Q51:AH55"/>
      <pageMargins left="0.7" right="0.7" top="0.75" bottom="0.75" header="0.3" footer="0.3"/>
      <autoFilter ref="B47:AN187"/>
    </customSheetView>
    <customSheetView guid="{60D2C030-4E31-4E07-8E1C-44D2EE84B177}" topLeftCell="A79">
      <selection activeCell="M20" sqref="M20"/>
      <pageMargins left="0.7" right="0.7" top="0.75" bottom="0.75" header="0.3" footer="0.3"/>
    </customSheetView>
    <customSheetView guid="{D33AC7AF-C8AB-4CE9-94C7-9237011A5FC3}" scale="70" filter="1" showAutoFilter="1" topLeftCell="J38">
      <selection activeCell="D103" sqref="D103"/>
      <pageMargins left="0.7" right="0.7" top="0.75" bottom="0.75" header="0.3" footer="0.3"/>
      <autoFilter ref="B47:AN187">
        <filterColumn colId="17">
          <filters>
            <filter val="huy.do-anh"/>
          </filters>
        </filterColumn>
      </autoFilter>
    </customSheetView>
    <customSheetView guid="{336B6883-2145-4B58-921E-CEC7185A847E}" filter="1" showAutoFilter="1">
      <selection activeCell="AL152" sqref="AL152"/>
      <pageMargins left="0.7" right="0.7" top="0.75" bottom="0.75" header="0.3" footer="0.3"/>
      <autoFilter ref="B47:AN187">
        <filterColumn colId="17">
          <filters>
            <filter val="dac.luu-cong"/>
          </filters>
        </filterColumn>
      </autoFilter>
    </customSheetView>
  </customSheetViews>
  <conditionalFormatting sqref="H4:H13 H19:H29">
    <cfRule type="cellIs" dxfId="68" priority="51" operator="equal">
      <formula>1</formula>
    </cfRule>
    <cfRule type="cellIs" dxfId="67" priority="52" operator="lessThan">
      <formula>1</formula>
    </cfRule>
  </conditionalFormatting>
  <conditionalFormatting sqref="AG103:AG187 AK109:AK145 AK147:AK187 AL146">
    <cfRule type="cellIs" dxfId="66" priority="49" operator="equal">
      <formula>"OK"</formula>
    </cfRule>
    <cfRule type="cellIs" dxfId="65" priority="50" operator="equal">
      <formula>"NG"</formula>
    </cfRule>
  </conditionalFormatting>
  <conditionalFormatting sqref="O109:P187">
    <cfRule type="cellIs" dxfId="64" priority="48" operator="equal">
      <formula>"PUT_VERSION"</formula>
    </cfRule>
  </conditionalFormatting>
  <conditionalFormatting sqref="D14">
    <cfRule type="expression" dxfId="63" priority="47">
      <formula>$D$14=SUM($D$4:$D$13)</formula>
    </cfRule>
  </conditionalFormatting>
  <conditionalFormatting sqref="E14">
    <cfRule type="expression" dxfId="62" priority="46">
      <formula>$E$14=SUM($E$4:$E$13)</formula>
    </cfRule>
  </conditionalFormatting>
  <conditionalFormatting sqref="F14">
    <cfRule type="expression" dxfId="61" priority="45">
      <formula>$F$14=SUM($F$4:$F$13)</formula>
    </cfRule>
  </conditionalFormatting>
  <conditionalFormatting sqref="D29">
    <cfRule type="expression" dxfId="60" priority="44">
      <formula>$D$29=SUM($D$19:$D$28)</formula>
    </cfRule>
  </conditionalFormatting>
  <conditionalFormatting sqref="E29">
    <cfRule type="expression" dxfId="59" priority="43">
      <formula>$E$29=SUM($E$19:$E$28)</formula>
    </cfRule>
  </conditionalFormatting>
  <conditionalFormatting sqref="H34">
    <cfRule type="cellIs" dxfId="58" priority="33" operator="equal">
      <formula>1</formula>
    </cfRule>
    <cfRule type="cellIs" dxfId="57" priority="34" operator="lessThan">
      <formula>1</formula>
    </cfRule>
  </conditionalFormatting>
  <conditionalFormatting sqref="H35:H43">
    <cfRule type="cellIs" dxfId="56" priority="31" operator="equal">
      <formula>1</formula>
    </cfRule>
    <cfRule type="cellIs" dxfId="55" priority="32" operator="lessThan">
      <formula>1</formula>
    </cfRule>
  </conditionalFormatting>
  <conditionalFormatting sqref="H44">
    <cfRule type="cellIs" dxfId="54" priority="29" operator="equal">
      <formula>1</formula>
    </cfRule>
    <cfRule type="cellIs" dxfId="53" priority="30" operator="lessThan">
      <formula>1</formula>
    </cfRule>
  </conditionalFormatting>
  <conditionalFormatting sqref="F29">
    <cfRule type="expression" dxfId="52" priority="57">
      <formula>$F$29=SUM($F$19:$F$28)</formula>
    </cfRule>
  </conditionalFormatting>
  <conditionalFormatting sqref="AG48:AG187">
    <cfRule type="cellIs" dxfId="51" priority="27" operator="equal">
      <formula>"OK"</formula>
    </cfRule>
    <cfRule type="cellIs" dxfId="50" priority="28" operator="equal">
      <formula>"NG"</formula>
    </cfRule>
  </conditionalFormatting>
  <conditionalFormatting sqref="AG49">
    <cfRule type="cellIs" dxfId="49" priority="24" operator="equal">
      <formula>"OK"</formula>
    </cfRule>
    <cfRule type="cellIs" dxfId="48" priority="25" operator="equal">
      <formula>"NG"</formula>
    </cfRule>
  </conditionalFormatting>
  <conditionalFormatting sqref="AG50">
    <cfRule type="cellIs" dxfId="47" priority="21" operator="equal">
      <formula>"OK"</formula>
    </cfRule>
    <cfRule type="cellIs" dxfId="46" priority="22" operator="equal">
      <formula>"NG"</formula>
    </cfRule>
  </conditionalFormatting>
  <conditionalFormatting sqref="AG51">
    <cfRule type="cellIs" dxfId="45" priority="18" operator="equal">
      <formula>"OK"</formula>
    </cfRule>
    <cfRule type="cellIs" dxfId="44" priority="19" operator="equal">
      <formula>"NG"</formula>
    </cfRule>
  </conditionalFormatting>
  <conditionalFormatting sqref="AG102">
    <cfRule type="cellIs" dxfId="43" priority="15" operator="equal">
      <formula>"OK"</formula>
    </cfRule>
    <cfRule type="cellIs" dxfId="42" priority="16" operator="equal">
      <formula>"NG"</formula>
    </cfRule>
  </conditionalFormatting>
  <dataValidations count="2">
    <dataValidation type="list" allowBlank="1" showInputMessage="1" showErrorMessage="1" sqref="K48:K108">
      <formula1>"Auto,Manual"</formula1>
    </dataValidation>
    <dataValidation type="list" allowBlank="1" showInputMessage="1" showErrorMessage="1" sqref="U109:U187">
      <formula1>"Yes,No"</formula1>
    </dataValidation>
  </dataValidations>
  <pageMargins left="0.7" right="0.7" top="0.75" bottom="0.75" header="0.3" footer="0.3"/>
  <pageSetup paperSize="9" orientation="portrait" r:id="rId3"/>
  <legacyDrawing r:id="rId4"/>
  <extLst>
    <ext xmlns:x14="http://schemas.microsoft.com/office/spreadsheetml/2009/9/main" uri="{78C0D931-6437-407d-A8EE-F0AAD7539E65}">
      <x14:conditionalFormattings>
        <x14:conditionalFormatting xmlns:xm="http://schemas.microsoft.com/office/excel/2006/main">
          <x14:cfRule type="cellIs" priority="53" operator="greaterThanOrEqual" id="{0E75E3B3-EDB5-45F5-833F-9302836CD5B4}">
            <xm:f>Table!$C$4</xm:f>
            <x14:dxf>
              <font>
                <color rgb="FF006100"/>
              </font>
              <fill>
                <patternFill>
                  <bgColor rgb="FFC6EFCE"/>
                </patternFill>
              </fill>
            </x14:dxf>
          </x14:cfRule>
          <x14:cfRule type="cellIs" priority="54" operator="lessThan" id="{5EDCB94B-7F83-46C9-97C1-081A0B02B98A}">
            <xm:f>Table!$C$4</xm:f>
            <x14:dxf>
              <font>
                <color rgb="FF9C0006"/>
              </font>
              <fill>
                <patternFill>
                  <bgColor rgb="FFFFC7CE"/>
                </patternFill>
              </fill>
            </x14:dxf>
          </x14:cfRule>
          <xm:sqref>G19:G29</xm:sqref>
        </x14:conditionalFormatting>
        <x14:conditionalFormatting xmlns:xm="http://schemas.microsoft.com/office/excel/2006/main">
          <x14:cfRule type="cellIs" priority="55" operator="greaterThanOrEqual" id="{A9231A75-2EB5-402E-97C4-323D56C068D8}">
            <xm:f>Table!$D$4</xm:f>
            <x14:dxf>
              <font>
                <color rgb="FF006100"/>
              </font>
              <fill>
                <patternFill>
                  <bgColor rgb="FFC6EFCE"/>
                </patternFill>
              </fill>
            </x14:dxf>
          </x14:cfRule>
          <x14:cfRule type="cellIs" priority="56" operator="lessThan" id="{A35A63F4-C373-4CDB-9228-9F67841E418C}">
            <xm:f>Table!$D$4</xm:f>
            <x14:dxf>
              <font>
                <color rgb="FF9C0006"/>
              </font>
              <fill>
                <patternFill>
                  <bgColor rgb="FFFFC7CE"/>
                </patternFill>
              </fill>
            </x14:dxf>
          </x14:cfRule>
          <xm:sqref>G4:G13</xm:sqref>
        </x14:conditionalFormatting>
        <x14:conditionalFormatting xmlns:xm="http://schemas.microsoft.com/office/excel/2006/main">
          <x14:cfRule type="cellIs" priority="41" operator="greaterThanOrEqual" id="{8F20301B-8681-44B2-92CC-21C4975A5416}">
            <xm:f>Table!$D$4</xm:f>
            <x14:dxf>
              <font>
                <color rgb="FF006100"/>
              </font>
              <fill>
                <patternFill>
                  <bgColor rgb="FFC6EFCE"/>
                </patternFill>
              </fill>
            </x14:dxf>
          </x14:cfRule>
          <x14:cfRule type="cellIs" priority="42" operator="lessThan" id="{2C7E4EDD-E31B-41EE-A2B8-F67241C142BF}">
            <xm:f>Table!$D$4</xm:f>
            <x14:dxf>
              <font>
                <color rgb="FF9C0006"/>
              </font>
              <fill>
                <patternFill>
                  <bgColor rgb="FFFFC7CE"/>
                </patternFill>
              </fill>
            </x14:dxf>
          </x14:cfRule>
          <xm:sqref>G14</xm:sqref>
        </x14:conditionalFormatting>
        <x14:conditionalFormatting xmlns:xm="http://schemas.microsoft.com/office/excel/2006/main">
          <x14:cfRule type="cellIs" priority="39" operator="greaterThanOrEqual" id="{204839CC-E17E-4053-9244-2AE05B7C201E}">
            <xm:f>Table!$D$4</xm:f>
            <x14:dxf>
              <font>
                <color rgb="FF006100"/>
              </font>
              <fill>
                <patternFill>
                  <bgColor rgb="FFC6EFCE"/>
                </patternFill>
              </fill>
            </x14:dxf>
          </x14:cfRule>
          <x14:cfRule type="cellIs" priority="40" operator="lessThan" id="{73361177-A4E2-41C7-AA2E-23A98DE24BE9}">
            <xm:f>Table!$D$4</xm:f>
            <x14:dxf>
              <font>
                <color rgb="FF9C0006"/>
              </font>
              <fill>
                <patternFill>
                  <bgColor rgb="FFFFC7CE"/>
                </patternFill>
              </fill>
            </x14:dxf>
          </x14:cfRule>
          <xm:sqref>G44</xm:sqref>
        </x14:conditionalFormatting>
        <x14:conditionalFormatting xmlns:xm="http://schemas.microsoft.com/office/excel/2006/main">
          <x14:cfRule type="cellIs" priority="37" operator="greaterThanOrEqual" id="{5955973F-691E-4017-996D-C9584C4AAF3E}">
            <xm:f>Table!$D$4</xm:f>
            <x14:dxf>
              <font>
                <color rgb="FF006100"/>
              </font>
              <fill>
                <patternFill>
                  <bgColor rgb="FFC6EFCE"/>
                </patternFill>
              </fill>
            </x14:dxf>
          </x14:cfRule>
          <x14:cfRule type="cellIs" priority="38" operator="lessThan" id="{AA433256-96E5-4BC8-B426-6A146C35C3CB}">
            <xm:f>Table!$D$4</xm:f>
            <x14:dxf>
              <font>
                <color rgb="FF9C0006"/>
              </font>
              <fill>
                <patternFill>
                  <bgColor rgb="FFFFC7CE"/>
                </patternFill>
              </fill>
            </x14:dxf>
          </x14:cfRule>
          <xm:sqref>G34</xm:sqref>
        </x14:conditionalFormatting>
        <x14:conditionalFormatting xmlns:xm="http://schemas.microsoft.com/office/excel/2006/main">
          <x14:cfRule type="cellIs" priority="35" operator="greaterThanOrEqual" id="{9428B70D-F52A-41BF-B3CE-DB3CFC9C4AB0}">
            <xm:f>Table!$D$4</xm:f>
            <x14:dxf>
              <font>
                <color rgb="FF006100"/>
              </font>
              <fill>
                <patternFill>
                  <bgColor rgb="FFC6EFCE"/>
                </patternFill>
              </fill>
            </x14:dxf>
          </x14:cfRule>
          <x14:cfRule type="cellIs" priority="36" operator="lessThan" id="{F9FD8B01-16E0-4854-844B-16232675D977}">
            <xm:f>Table!$D$4</xm:f>
            <x14:dxf>
              <font>
                <color rgb="FF9C0006"/>
              </font>
              <fill>
                <patternFill>
                  <bgColor rgb="FFFFC7CE"/>
                </patternFill>
              </fill>
            </x14:dxf>
          </x14:cfRule>
          <xm:sqref>G35:G43</xm:sqref>
        </x14:conditionalFormatting>
        <x14:conditionalFormatting xmlns:xm="http://schemas.microsoft.com/office/excel/2006/main">
          <x14:cfRule type="expression" priority="26" id="{8014DC86-9045-4B22-9DB2-C6E76B610B95}">
            <xm:f>OR(AK49=Table!$C$36,AK49=Table!$C$37)</xm:f>
            <x14:dxf>
              <font>
                <color rgb="FF9C0006"/>
              </font>
              <fill>
                <patternFill>
                  <bgColor rgb="FFFFC7CE"/>
                </patternFill>
              </fill>
            </x14:dxf>
          </x14:cfRule>
          <xm:sqref>AK49:AK62 AL63 AK64:AK66 AL67 AK68:AK71 AL72 AK73:AK76 AL77 AK78:AK145 AK147:AK187 AL146</xm:sqref>
        </x14:conditionalFormatting>
        <x14:conditionalFormatting xmlns:xm="http://schemas.microsoft.com/office/excel/2006/main">
          <x14:cfRule type="expression" priority="23" id="{CBE0B9FF-9960-4C29-8944-EAA7FBFEC0E9}">
            <xm:f>OR(AK49=Table!$C$36,AK49=Table!$C$37)</xm:f>
            <x14:dxf>
              <font>
                <color rgb="FF9C0006"/>
              </font>
              <fill>
                <patternFill>
                  <bgColor rgb="FFFFC7CE"/>
                </patternFill>
              </fill>
            </x14:dxf>
          </x14:cfRule>
          <xm:sqref>AK49</xm:sqref>
        </x14:conditionalFormatting>
        <x14:conditionalFormatting xmlns:xm="http://schemas.microsoft.com/office/excel/2006/main">
          <x14:cfRule type="expression" priority="20" id="{D52019BA-1FD8-4EC3-BF5F-9E6AA062F321}">
            <xm:f>OR(AK50=Table!$C$36,AK50=Table!$C$37)</xm:f>
            <x14:dxf>
              <font>
                <color rgb="FF9C0006"/>
              </font>
              <fill>
                <patternFill>
                  <bgColor rgb="FFFFC7CE"/>
                </patternFill>
              </fill>
            </x14:dxf>
          </x14:cfRule>
          <xm:sqref>AK50</xm:sqref>
        </x14:conditionalFormatting>
        <x14:conditionalFormatting xmlns:xm="http://schemas.microsoft.com/office/excel/2006/main">
          <x14:cfRule type="expression" priority="17" id="{65785BBE-F975-4ED2-B541-13D1D62F0F36}">
            <xm:f>OR(AK51=Table!$C$36,AK51=Table!$C$37)</xm:f>
            <x14:dxf>
              <font>
                <color rgb="FF9C0006"/>
              </font>
              <fill>
                <patternFill>
                  <bgColor rgb="FFFFC7CE"/>
                </patternFill>
              </fill>
            </x14:dxf>
          </x14:cfRule>
          <xm:sqref>AK51</xm:sqref>
        </x14:conditionalFormatting>
        <x14:conditionalFormatting xmlns:xm="http://schemas.microsoft.com/office/excel/2006/main">
          <x14:cfRule type="cellIs" priority="9" operator="equal" id="{296642FA-6D3A-4A47-ACE3-1778B1509867}">
            <xm:f>Table!$C$37</xm:f>
            <x14:dxf>
              <font>
                <b/>
                <i val="0"/>
              </font>
              <fill>
                <patternFill>
                  <bgColor rgb="FFFF0000"/>
                </patternFill>
              </fill>
            </x14:dxf>
          </x14:cfRule>
          <x14:cfRule type="cellIs" priority="10" operator="equal" id="{4A05983B-21FF-403B-8177-5A583EF45781}">
            <xm:f>Table!$C$36</xm:f>
            <x14:dxf>
              <font>
                <b/>
                <i val="0"/>
              </font>
              <fill>
                <patternFill>
                  <bgColor rgb="FFFFFF00"/>
                </patternFill>
              </fill>
            </x14:dxf>
          </x14:cfRule>
          <xm:sqref>AK48:AK116</xm:sqref>
        </x14:conditionalFormatting>
        <x14:conditionalFormatting xmlns:xm="http://schemas.microsoft.com/office/excel/2006/main">
          <x14:cfRule type="cellIs" priority="7" operator="equal" id="{D1110BDD-EA15-45DB-9794-2A404543C7D4}">
            <xm:f>Table!$C$37</xm:f>
            <x14:dxf>
              <font>
                <b/>
                <i val="0"/>
              </font>
              <fill>
                <patternFill>
                  <bgColor rgb="FFFF0000"/>
                </patternFill>
              </fill>
            </x14:dxf>
          </x14:cfRule>
          <x14:cfRule type="cellIs" priority="8" operator="equal" id="{FA1EEA63-6553-42E7-82D9-6B423525ECB9}">
            <xm:f>Table!$C$36</xm:f>
            <x14:dxf>
              <font>
                <b/>
                <i val="0"/>
              </font>
              <fill>
                <patternFill>
                  <bgColor rgb="FFFFFF00"/>
                </patternFill>
              </fill>
            </x14:dxf>
          </x14:cfRule>
          <xm:sqref>AK125:AK145</xm:sqref>
        </x14:conditionalFormatting>
        <x14:conditionalFormatting xmlns:xm="http://schemas.microsoft.com/office/excel/2006/main">
          <x14:cfRule type="cellIs" priority="5" operator="equal" id="{ADDC4DDA-5440-4D4C-8617-D143AC21CCE0}">
            <xm:f>Table!$C$3</xm:f>
            <x14:dxf>
              <fill>
                <patternFill>
                  <bgColor rgb="FF0066FF"/>
                </patternFill>
              </fill>
            </x14:dxf>
          </x14:cfRule>
          <x14:cfRule type="cellIs" priority="6" operator="equal" id="{D4667330-B974-40CE-84A6-3B1F1298C5FC}">
            <xm:f>Table!$D$3</xm:f>
            <x14:dxf>
              <fill>
                <patternFill>
                  <bgColor rgb="FF92D050"/>
                </patternFill>
              </fill>
            </x14:dxf>
          </x14:cfRule>
          <xm:sqref>D157 D149:D152 D146:D147 D111:D126 D48:D53</xm:sqref>
        </x14:conditionalFormatting>
        <x14:conditionalFormatting xmlns:xm="http://schemas.microsoft.com/office/excel/2006/main">
          <x14:cfRule type="cellIs" priority="3" operator="equal" id="{C6F49BF7-0192-404C-B968-36A3108C58FD}">
            <xm:f>Table!$C$3</xm:f>
            <x14:dxf>
              <fill>
                <patternFill>
                  <bgColor rgb="FF0066FF"/>
                </patternFill>
              </fill>
            </x14:dxf>
          </x14:cfRule>
          <x14:cfRule type="cellIs" priority="4" operator="equal" id="{46887FF5-A2FD-4D95-B6F6-E22F884B30B7}">
            <xm:f>Table!$D$3</xm:f>
            <x14:dxf>
              <fill>
                <patternFill>
                  <bgColor rgb="FF92D050"/>
                </patternFill>
              </fill>
            </x14:dxf>
          </x14:cfRule>
          <xm:sqref>D153:D156 D148 D127:D145 D54:D110</xm:sqref>
        </x14:conditionalFormatting>
        <x14:conditionalFormatting xmlns:xm="http://schemas.microsoft.com/office/excel/2006/main">
          <x14:cfRule type="cellIs" priority="1" operator="equal" id="{D87C0B92-18A2-42CB-98A2-EE83117ED610}">
            <xm:f>Table!$C$3</xm:f>
            <x14:dxf>
              <fill>
                <patternFill>
                  <bgColor rgb="FF0066FF"/>
                </patternFill>
              </fill>
            </x14:dxf>
          </x14:cfRule>
          <x14:cfRule type="cellIs" priority="2" operator="equal" id="{F73D0F9E-8ECA-4FBC-9B9D-6C81DADED951}">
            <xm:f>Table!$D$3</xm:f>
            <x14:dxf>
              <fill>
                <patternFill>
                  <bgColor rgb="FF92D050"/>
                </patternFill>
              </fill>
            </x14:dxf>
          </x14:cfRule>
          <xm:sqref>D158:D187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Table!$C$26:$C$32</xm:f>
          </x14:formula1>
          <xm:sqref>AA48:AA187</xm:sqref>
        </x14:dataValidation>
        <x14:dataValidation type="list" allowBlank="1" showInputMessage="1" showErrorMessage="1">
          <x14:formula1>
            <xm:f>Table!$C$13:$C$22</xm:f>
          </x14:formula1>
          <xm:sqref>S48:S108 S109:T187</xm:sqref>
        </x14:dataValidation>
        <x14:dataValidation type="list" allowBlank="1" showInputMessage="1" showErrorMessage="1">
          <x14:formula1>
            <xm:f>Table!$C$8:$C$9</xm:f>
          </x14:formula1>
          <xm:sqref>D48:D187</xm:sqref>
        </x14:dataValidation>
        <x14:dataValidation type="list" allowBlank="1" showInputMessage="1" showErrorMessage="1">
          <x14:formula1>
            <xm:f>Table!$C$42:$C$43</xm:f>
          </x14:formula1>
          <xm:sqref>AG48:AG187</xm:sqref>
        </x14:dataValidation>
        <x14:dataValidation type="list" allowBlank="1" showInputMessage="1" showErrorMessage="1">
          <x14:formula1>
            <xm:f>Table!$C$36:$C$38</xm:f>
          </x14:formula1>
          <xm:sqref>AK72:AL72 AK63:AL63 AK67:AL67 AK77:AL77 AK48:AK62 AK64:AK66 AK68:AK71 AK73:AK76 AL146 AK78:AK145 AK147:AK187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J38" sqref="J38"/>
    </sheetView>
  </sheetViews>
  <sheetFormatPr defaultRowHeight="15" x14ac:dyDescent="0.25"/>
  <sheetData/>
  <customSheetViews>
    <customSheetView guid="{250915DF-0B97-45D7-B29D-7EED4C89C1C1}">
      <selection activeCell="J38" sqref="J38"/>
      <pageMargins left="0.7" right="0.7" top="0.75" bottom="0.75" header="0.3" footer="0.3"/>
    </customSheetView>
    <customSheetView guid="{7E0EA425-A420-4443-B9E0-CDF0AA9E5D09}">
      <selection activeCell="J38" sqref="J38"/>
      <pageMargins left="0.7" right="0.7" top="0.75" bottom="0.75" header="0.3" footer="0.3"/>
    </customSheetView>
    <customSheetView guid="{3B3E6719-EACB-4D2C-89C1-05FFAB6020FD}">
      <selection activeCell="J38" sqref="J38"/>
      <pageMargins left="0.7" right="0.7" top="0.75" bottom="0.75" header="0.3" footer="0.3"/>
    </customSheetView>
    <customSheetView guid="{72A6EB0A-84D5-4B8A-AC51-54CCD061630B}">
      <selection activeCell="J38" sqref="J38"/>
      <pageMargins left="0.7" right="0.7" top="0.75" bottom="0.75" header="0.3" footer="0.3"/>
    </customSheetView>
    <customSheetView guid="{4E06BDBF-2CED-473B-850B-2A6C7311FF41}">
      <selection activeCell="C39" sqref="C39"/>
      <pageMargins left="0.7" right="0.7" top="0.75" bottom="0.75" header="0.3" footer="0.3"/>
    </customSheetView>
    <customSheetView guid="{7ECC2B8E-6A82-42F5-8AB0-4A51C54EA5EC}">
      <selection activeCell="J38" sqref="J38"/>
      <pageMargins left="0.7" right="0.7" top="0.75" bottom="0.75" header="0.3" footer="0.3"/>
    </customSheetView>
    <customSheetView guid="{A2C66332-A809-458E-971B-FDB6D62C74C3}">
      <selection activeCell="J38" sqref="J38"/>
      <pageMargins left="0.7" right="0.7" top="0.75" bottom="0.75" header="0.3" footer="0.3"/>
    </customSheetView>
    <customSheetView guid="{60D2C030-4E31-4E07-8E1C-44D2EE84B177}">
      <selection activeCell="C39" sqref="C39"/>
      <pageMargins left="0.7" right="0.7" top="0.75" bottom="0.75" header="0.3" footer="0.3"/>
    </customSheetView>
    <customSheetView guid="{D33AC7AF-C8AB-4CE9-94C7-9237011A5FC3}">
      <selection activeCell="J38" sqref="J38"/>
      <pageMargins left="0.7" right="0.7" top="0.75" bottom="0.75" header="0.3" footer="0.3"/>
    </customSheetView>
    <customSheetView guid="{336B6883-2145-4B58-921E-CEC7185A847E}">
      <selection activeCell="C39" sqref="C39"/>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X169"/>
  <sheetViews>
    <sheetView topLeftCell="A142" zoomScale="85" zoomScaleNormal="85" workbookViewId="0">
      <selection activeCell="I172" sqref="I172"/>
    </sheetView>
  </sheetViews>
  <sheetFormatPr defaultRowHeight="15" x14ac:dyDescent="0.25"/>
  <cols>
    <col min="2" max="2" width="16.28515625" bestFit="1" customWidth="1"/>
    <col min="3" max="3" width="17.28515625" bestFit="1" customWidth="1"/>
    <col min="4" max="4" width="9.7109375" bestFit="1" customWidth="1"/>
    <col min="5" max="5" width="10" bestFit="1" customWidth="1"/>
    <col min="6" max="6" width="10.85546875" bestFit="1" customWidth="1"/>
    <col min="7" max="7" width="9" bestFit="1" customWidth="1"/>
    <col min="8" max="8" width="12" bestFit="1" customWidth="1"/>
    <col min="9" max="9" width="21.5703125" bestFit="1" customWidth="1"/>
  </cols>
  <sheetData>
    <row r="2" spans="1:24" x14ac:dyDescent="0.25">
      <c r="A2" s="47">
        <v>1</v>
      </c>
      <c r="B2" s="47" t="s">
        <v>56</v>
      </c>
      <c r="C2" s="47">
        <v>20200428</v>
      </c>
      <c r="N2" s="47"/>
      <c r="O2" s="47" t="s">
        <v>56</v>
      </c>
      <c r="P2" s="1" t="s">
        <v>1000</v>
      </c>
    </row>
    <row r="3" spans="1:24" x14ac:dyDescent="0.25">
      <c r="B3" s="47" t="s">
        <v>123</v>
      </c>
      <c r="C3">
        <f>SUM(G9:G10)</f>
        <v>9.1087499999999988</v>
      </c>
      <c r="D3" t="s">
        <v>124</v>
      </c>
      <c r="O3" s="47" t="s">
        <v>123</v>
      </c>
      <c r="P3">
        <f>SUM(T9:T10)</f>
        <v>2.0950000000000002</v>
      </c>
      <c r="Q3" t="s">
        <v>124</v>
      </c>
    </row>
    <row r="4" spans="1:24" x14ac:dyDescent="0.25">
      <c r="B4" s="47" t="s">
        <v>133</v>
      </c>
      <c r="C4">
        <f>SUM(INT((WEEKDAY(F4-{2,3,4,5,6})+H4-F4)/7))-2</f>
        <v>4</v>
      </c>
      <c r="D4" t="s">
        <v>124</v>
      </c>
      <c r="E4" t="s">
        <v>166</v>
      </c>
      <c r="F4" s="6">
        <v>43949</v>
      </c>
      <c r="G4" s="6" t="s">
        <v>122</v>
      </c>
      <c r="H4" s="6">
        <v>43956</v>
      </c>
      <c r="O4" s="47" t="s">
        <v>133</v>
      </c>
      <c r="P4">
        <f>SUM(INT((WEEKDAY(S4-{2,3,4,5,6})+U4-S4)/7))</f>
        <v>4</v>
      </c>
      <c r="Q4" t="s">
        <v>124</v>
      </c>
      <c r="R4" t="s">
        <v>166</v>
      </c>
      <c r="S4" s="6">
        <v>43935</v>
      </c>
      <c r="T4" s="6" t="s">
        <v>122</v>
      </c>
      <c r="U4" s="6">
        <v>43938</v>
      </c>
    </row>
    <row r="5" spans="1:24" x14ac:dyDescent="0.25">
      <c r="B5" s="47" t="s">
        <v>134</v>
      </c>
      <c r="C5">
        <f>SUM(INT((WEEKDAY(F5-{2,3,4,5,6})+H5-F5)/7))-2</f>
        <v>4</v>
      </c>
      <c r="D5" t="s">
        <v>124</v>
      </c>
      <c r="E5" t="s">
        <v>144</v>
      </c>
      <c r="F5" s="6">
        <v>43949</v>
      </c>
      <c r="G5" s="6" t="s">
        <v>122</v>
      </c>
      <c r="H5" s="6">
        <v>43956</v>
      </c>
      <c r="O5" s="47" t="s">
        <v>134</v>
      </c>
      <c r="P5">
        <f>SUM(INT((WEEKDAY(S5-{2,3,4,5,6})+U5-S5)/7))</f>
        <v>4</v>
      </c>
      <c r="Q5" t="s">
        <v>124</v>
      </c>
      <c r="R5" t="s">
        <v>132</v>
      </c>
      <c r="S5" s="6">
        <v>43935</v>
      </c>
      <c r="T5" s="6" t="s">
        <v>122</v>
      </c>
      <c r="U5" s="6">
        <v>43938</v>
      </c>
    </row>
    <row r="6" spans="1:24" x14ac:dyDescent="0.25">
      <c r="B6" s="47" t="s">
        <v>17</v>
      </c>
      <c r="C6" t="str">
        <f>IF(SUM(H9:H10)&gt;SUM(G9:G10),"Delayed",IF(SUM(H9:H10)&lt;SUM(G9:G10),"InAdvanced","Ontime"))</f>
        <v>InAdvanced</v>
      </c>
      <c r="F6" s="6"/>
      <c r="G6" s="6"/>
      <c r="H6" s="6"/>
      <c r="O6" s="47" t="s">
        <v>17</v>
      </c>
      <c r="S6" s="6"/>
      <c r="T6" s="6"/>
      <c r="U6" s="6"/>
    </row>
    <row r="8" spans="1:24" ht="75" x14ac:dyDescent="0.25">
      <c r="C8" s="48" t="s">
        <v>25</v>
      </c>
      <c r="D8" s="48" t="s">
        <v>26</v>
      </c>
      <c r="E8" s="49" t="s">
        <v>125</v>
      </c>
      <c r="F8" s="49" t="s">
        <v>126</v>
      </c>
      <c r="G8" s="49" t="s">
        <v>127</v>
      </c>
      <c r="H8" s="49" t="s">
        <v>128</v>
      </c>
      <c r="I8" s="49" t="s">
        <v>29</v>
      </c>
      <c r="J8" s="195" t="str">
        <f>Table!$C$36</f>
        <v>OPL</v>
      </c>
      <c r="K8" s="195" t="str">
        <f>Table!$C$37</f>
        <v>Defect</v>
      </c>
      <c r="P8" s="48" t="s">
        <v>25</v>
      </c>
      <c r="Q8" s="48" t="s">
        <v>26</v>
      </c>
      <c r="R8" s="49" t="s">
        <v>125</v>
      </c>
      <c r="S8" s="49" t="s">
        <v>126</v>
      </c>
      <c r="T8" s="49" t="s">
        <v>127</v>
      </c>
      <c r="U8" s="49" t="s">
        <v>128</v>
      </c>
      <c r="V8" s="49" t="s">
        <v>29</v>
      </c>
      <c r="W8" s="195" t="str">
        <f>Table!$C$36</f>
        <v>OPL</v>
      </c>
      <c r="X8" s="195" t="str">
        <f>Table!$C$37</f>
        <v>Defect</v>
      </c>
    </row>
    <row r="9" spans="1:24" x14ac:dyDescent="0.25">
      <c r="C9" s="50">
        <v>1</v>
      </c>
      <c r="D9" s="41" t="str">
        <f>Table!$D$3</f>
        <v>PSW</v>
      </c>
      <c r="E9" s="41">
        <f>SUMIFS(Merged_COEM!$W$48:$W$422,Merged_COEM!$D$48:$D$422,D9, Merged_COEM!$C$48:$C$422,C2)</f>
        <v>4103</v>
      </c>
      <c r="F9" s="41">
        <f>SUMIFS(Merged_COEM!$X$48:$X$422,Merged_COEM!$D$48:$D$422,D9, Merged_COEM!$C$48:$C$422,C2)-SUM(SUMIFS(Merged_COEM!$X$48:$X$422,Merged_COEM!$D$48:$D$422,Table!$D$3,Merged_COEM!$AA$48:$AA$422,{"Ongoing","N/A",""},Merged_COEM!$C$48:$C$422,C2))</f>
        <v>4103</v>
      </c>
      <c r="G9" s="41">
        <f>1/8*(SUMIFS(Merged_COEM!$Y$48:$Y$422,Merged_COEM!$D$48:$D$422,D9, Merged_COEM!$C$48:$C$422,C2))</f>
        <v>9.1087499999999988</v>
      </c>
      <c r="H9" s="64">
        <f>1/8*(SUMIFS(Merged_COEM!$Z$48:$Z$422,Merged_COEM!$D$48:$D$422,D9, Merged_COEM!$C$48:$C$422,C2)-SUM(SUMIFS(Merged_COEM!$Z$48:$Z$422,Merged_COEM!$D$48:$D$422,D9,Merged_COEM!$AA$48:$AA$422,{"Ongoing","N/A",""},Merged_COEM!$C$48:$C$422,C2)))</f>
        <v>2.96875</v>
      </c>
      <c r="I9" s="42">
        <f>IFERROR(F9/E9,"N/A")</f>
        <v>1</v>
      </c>
      <c r="J9" s="3">
        <f>COUNTIFS(Merged_COEM!$AK$48:$AK$422,J8,Merged_COEM!$D$48:$D$422,D9,Merged_COEM!$C$48:$C$422,C2)</f>
        <v>3</v>
      </c>
      <c r="K9" s="3">
        <f>COUNTIFS(Merged_COEM!$AK$48:$AK$422,K8,Merged_COEM!$D$48:$D$422,D9,Merged_COEM!$C$48:$C$422,C2)</f>
        <v>0</v>
      </c>
      <c r="P9" s="50">
        <v>1</v>
      </c>
      <c r="Q9" s="41" t="str">
        <f>Table!$D$3</f>
        <v>PSW</v>
      </c>
      <c r="R9" s="41">
        <f>SUMIFS(Merged_COEM!$W$48:$W$422,Merged_COEM!$D$48:$D$422,Q9, Merged_COEM!$E$48:$E$422,P2)</f>
        <v>945</v>
      </c>
      <c r="S9" s="41">
        <f>SUMIFS(Merged_COEM!$X$48:$X$422,Merged_COEM!$D$48:$D$422,Q9, Merged_COEM!$E$48:$E$422,P2)-SUM(SUMIFS(Merged_COEM!$X$48:$X$422,Merged_COEM!$D$48:$D$422,Table!$D$3,Merged_COEM!$AA$48:$AA$422,{"Ongoing","N/A",""},Merged_COEM!$E$48:$E$422,P2))</f>
        <v>466</v>
      </c>
      <c r="T9" s="41">
        <f>1/8*(SUMIFS(Merged_COEM!$Y$48:$Y$422,Merged_COEM!$D$48:$D$422,Q9, Merged_COEM!$E$48:$E$422,P2))</f>
        <v>2.0950000000000002</v>
      </c>
      <c r="U9" s="64">
        <f>1/8*(SUMIFS(Merged_COEM!$Z$48:$Z$422,Merged_COEM!$D$48:$D$422,Q9, Merged_COEM!$E$48:$E$422,P2)-SUM(SUMIFS(Merged_COEM!$Z$48:$Z$422,Merged_COEM!$D$48:$D$422,Q9,Merged_COEM!$AA$48:$AA$422,{"Ongoing","N/A",""},Merged_COEM!$E$48:$E$422,P2)))</f>
        <v>0.83750000000000002</v>
      </c>
      <c r="V9" s="42">
        <f>IFERROR(S9/R9,"N/A")</f>
        <v>0.49312169312169313</v>
      </c>
      <c r="W9" s="3">
        <f>COUNTIFS(Merged_COEM!$AK$48:$AK$422,W8,Merged_COEM!$D$48:$D$422,Q9,Merged_COEM!$E$48:$E$422,P2)</f>
        <v>4</v>
      </c>
      <c r="X9" s="3">
        <f>COUNTIFS(Merged_COEM!$AK$48:$AK$422,X8,Merged_COEM!$D$48:$D$422,Q9,Merged_COEM!$E$48:$E$422,P2)</f>
        <v>0</v>
      </c>
    </row>
    <row r="10" spans="1:24" x14ac:dyDescent="0.25">
      <c r="C10" s="50">
        <v>2</v>
      </c>
      <c r="D10" s="41" t="str">
        <f>Table!$C$3</f>
        <v>ASW</v>
      </c>
      <c r="E10" s="41">
        <f>SUMIFS(Merged_COEM!$W$48:$W$422,Merged_COEM!$D$48:$D$422,D10, Merged_COEM!$C$48:$C$422,C2)</f>
        <v>0</v>
      </c>
      <c r="F10" s="41">
        <f>SUMIFS(Merged_COEM!$X$48:$X$422,Merged_COEM!$D$48:$D$422,D10, Merged_COEM!$C$48:$C$422,C2)-SUM(SUMIFS(Merged_COEM!$X$48:$X$422,Merged_COEM!$D$48:$D$422,D10,Merged_COEM!$AA$48:$AA$422,{"Ongoing","N/A",""},Merged_COEM!$C$48:$C$422,C2))</f>
        <v>0</v>
      </c>
      <c r="G10" s="41">
        <f>1/8*(SUMIFS(Merged_COEM!$Y$48:$Y$422,Merged_COEM!$D$48:$D$422,D10, Merged_COEM!$C$48:$C$422,C2))</f>
        <v>0</v>
      </c>
      <c r="H10" s="64">
        <f>1/8*(SUMIFS(Merged_COEM!$Z$48:$Z$422,Merged_COEM!$D$48:$D$422,D10, Merged_COEM!$C$48:$C$422,C2)-SUM(SUMIFS(Merged_COEM!$Z$48:$Z$422,Merged_COEM!$D$48:$D$422,D10,Merged_COEM!$AA$48:$AA$422,{"Ongoing","N/A",""},Merged_COEM!$C$48:$C$422,C2)))</f>
        <v>0</v>
      </c>
      <c r="I10" s="42" t="str">
        <f>IFERROR(F10/E10,"N/A")</f>
        <v>N/A</v>
      </c>
      <c r="J10" s="3">
        <f>COUNTIFS(Merged_COEM!$AK$48:$AK$422,J8,Merged_COEM!$D$48:$D$422,D10,Merged_COEM!$C$48:$C$422,C2)</f>
        <v>0</v>
      </c>
      <c r="K10" s="3">
        <f>COUNTIFS(Merged_COEM!$AK$48:$AK$422,K8,Merged_COEM!$D$48:$D$422,D10,Merged_COEM!$C$48:$C$422,C2)</f>
        <v>0</v>
      </c>
      <c r="P10" s="50">
        <v>2</v>
      </c>
      <c r="Q10" s="41" t="str">
        <f>Table!$C$3</f>
        <v>ASW</v>
      </c>
      <c r="R10" s="41">
        <f>SUMIFS(Merged_COEM!$W$48:$W$422,Merged_COEM!$D$48:$D$422,Q10, Merged_COEM!$E$48:$E$422,P2)</f>
        <v>0</v>
      </c>
      <c r="S10" s="41">
        <f>SUMIFS(Merged_COEM!$X$48:$X$422,Merged_COEM!$D$48:$D$422,Q10, Merged_COEM!$E$48:$E$422,P2)-SUM(SUMIFS(Merged_COEM!$X$48:$X$422,Merged_COEM!$D$48:$D$422,Table!$D$3,Merged_COEM!$AA$48:$AA$422,{"Ongoing","N/A",""},Merged_COEM!$E$48:$E$422,P2))</f>
        <v>0</v>
      </c>
      <c r="T10" s="41">
        <f>1/8*(SUMIFS(Merged_COEM!$Y$48:$Y$422,Merged_COEM!$D$48:$D$422,Q10, Merged_COEM!$E$48:$E$422,P2))</f>
        <v>0</v>
      </c>
      <c r="U10" s="64">
        <f>1/8*(SUMIFS(Merged_COEM!$Z$48:$Z$422,Merged_COEM!$D$48:$D$422,Q10, Merged_COEM!$E$48:$E$422,P2)-SUM(SUMIFS(Merged_COEM!$Z$48:$Z$422,Merged_COEM!$D$48:$D$422,Q10,Merged_COEM!$AA$48:$AA$422,{"Ongoing","N/A",""},Merged_COEM!$E$48:$E$422,P2)))</f>
        <v>0</v>
      </c>
      <c r="V10" s="42" t="str">
        <f>IFERROR(S10/R10,"N/A")</f>
        <v>N/A</v>
      </c>
      <c r="W10" s="3">
        <f>COUNTIFS(Merged_COEM!$AK$48:$AK$422,W8,Merged_COEM!$D$48:$D$422,Q10,Merged_COEM!$E$48:$E$422,P2)</f>
        <v>0</v>
      </c>
      <c r="X10" s="3">
        <f>COUNTIFS(Merged_COEM!$AK$48:$AK$422,X8,Merged_COEM!$D$48:$D$422,Q10,Merged_COEM!$E$48:$E$422,P2)</f>
        <v>0</v>
      </c>
    </row>
    <row r="12" spans="1:24" x14ac:dyDescent="0.25">
      <c r="C12" t="s">
        <v>130</v>
      </c>
      <c r="P12" t="s">
        <v>130</v>
      </c>
    </row>
    <row r="13" spans="1:24" x14ac:dyDescent="0.25">
      <c r="D13" s="37" t="s">
        <v>135</v>
      </c>
    </row>
    <row r="15" spans="1:24" x14ac:dyDescent="0.25">
      <c r="A15" s="47">
        <v>2</v>
      </c>
      <c r="B15" s="47" t="s">
        <v>56</v>
      </c>
      <c r="C15" s="47">
        <v>20200429</v>
      </c>
    </row>
    <row r="16" spans="1:24" x14ac:dyDescent="0.25">
      <c r="B16" s="47" t="s">
        <v>123</v>
      </c>
      <c r="C16">
        <f>SUM(G22:G23)</f>
        <v>21.532500000000006</v>
      </c>
      <c r="D16" t="s">
        <v>124</v>
      </c>
    </row>
    <row r="17" spans="1:11" x14ac:dyDescent="0.25">
      <c r="B17" s="47" t="s">
        <v>133</v>
      </c>
      <c r="C17">
        <f>SUM(INT((WEEKDAY(F17-{2,3,4,5,6})+H17-F17)/7))-2</f>
        <v>11</v>
      </c>
      <c r="D17" t="s">
        <v>124</v>
      </c>
      <c r="E17" t="s">
        <v>166</v>
      </c>
      <c r="F17" s="6">
        <v>43950</v>
      </c>
      <c r="G17" s="6" t="s">
        <v>122</v>
      </c>
      <c r="H17" s="6">
        <v>43966</v>
      </c>
    </row>
    <row r="18" spans="1:11" x14ac:dyDescent="0.25">
      <c r="B18" s="47" t="s">
        <v>134</v>
      </c>
      <c r="C18">
        <f>SUM(INT((WEEKDAY(F18-{2,3,4,5,6})+H18-F18)/7))-2</f>
        <v>3</v>
      </c>
      <c r="D18" t="s">
        <v>124</v>
      </c>
      <c r="E18" t="s">
        <v>144</v>
      </c>
      <c r="F18" s="6">
        <v>43955</v>
      </c>
      <c r="G18" s="6" t="s">
        <v>122</v>
      </c>
      <c r="H18" s="6">
        <v>43959</v>
      </c>
    </row>
    <row r="19" spans="1:11" x14ac:dyDescent="0.25">
      <c r="B19" s="47" t="s">
        <v>17</v>
      </c>
      <c r="C19" t="str">
        <f>IF(SUM(H22:H23)&gt;SUM(G22:G23),"Delayed",IF(SUM(H22:H23)&lt;SUM(G22:G23),"InAdvanced","Ontime"))</f>
        <v>InAdvanced</v>
      </c>
      <c r="F19" s="6"/>
      <c r="G19" s="6"/>
      <c r="H19" s="6"/>
    </row>
    <row r="21" spans="1:11" ht="45" x14ac:dyDescent="0.25">
      <c r="C21" s="48" t="s">
        <v>25</v>
      </c>
      <c r="D21" s="48" t="s">
        <v>26</v>
      </c>
      <c r="E21" s="49" t="s">
        <v>125</v>
      </c>
      <c r="F21" s="49" t="s">
        <v>126</v>
      </c>
      <c r="G21" s="49" t="s">
        <v>127</v>
      </c>
      <c r="H21" s="49" t="s">
        <v>128</v>
      </c>
      <c r="I21" s="49" t="s">
        <v>29</v>
      </c>
      <c r="J21" s="195" t="str">
        <f>Table!$C$36</f>
        <v>OPL</v>
      </c>
      <c r="K21" s="195" t="str">
        <f>Table!$C$37</f>
        <v>Defect</v>
      </c>
    </row>
    <row r="22" spans="1:11" x14ac:dyDescent="0.25">
      <c r="C22" s="50">
        <v>1</v>
      </c>
      <c r="D22" s="41" t="str">
        <f>Table!$D$3</f>
        <v>PSW</v>
      </c>
      <c r="E22" s="41">
        <f>SUMIFS(Merged_COEM!$W$48:$W$422,Merged_COEM!$D$48:$D$422,D22, Merged_COEM!$C$48:$C$422,C15)</f>
        <v>8573</v>
      </c>
      <c r="F22" s="41">
        <f>SUMIFS(Merged_COEM!$X$48:$X$422,Merged_COEM!$D$48:$D$422,D22, Merged_COEM!$C$48:$C$422,C15)-SUM(SUMIFS(Merged_COEM!$X$48:$X$422,Merged_COEM!$D$48:$D$422,Table!$D$3,Merged_COEM!$AA$48:$AA$422,{"Ongoing","N/A",""},Merged_COEM!$C$48:$C$422,C15))</f>
        <v>8573</v>
      </c>
      <c r="G22" s="41">
        <f>1/8*(SUMIFS(Merged_COEM!$Y$48:$Y$422,Merged_COEM!$D$48:$D$422,D22, Merged_COEM!$C$48:$C$422,C15))</f>
        <v>19.028750000000006</v>
      </c>
      <c r="H22" s="64">
        <f>1/8*(SUMIFS(Merged_COEM!$Z$48:$Z$422,Merged_COEM!$D$48:$D$422,D22, Merged_COEM!$C$48:$C$422,C15)-SUM(SUMIFS(Merged_COEM!$Z$48:$Z$422,Merged_COEM!$D$48:$D$422,D22,Merged_COEM!$AA$48:$AA$422,{"Ongoing","N/A",""},Merged_COEM!$C$48:$C$422,C15)))</f>
        <v>10.112500000000001</v>
      </c>
      <c r="I22" s="42">
        <f>IFERROR(F22/E22,"N/A")</f>
        <v>1</v>
      </c>
      <c r="J22" s="3">
        <f>COUNTIFS(Merged_COEM!$AK$48:$AK$422,J21,Merged_COEM!$D$48:$D$422,D22,Merged_COEM!$C$48:$C$422,C15)</f>
        <v>10</v>
      </c>
      <c r="K22" s="3">
        <f>COUNTIFS(Merged_COEM!$AK$48:$AK$422,K21,Merged_COEM!$D$48:$D$422,D22,Merged_COEM!$C$48:$C$422,C15)</f>
        <v>1</v>
      </c>
    </row>
    <row r="23" spans="1:11" x14ac:dyDescent="0.25">
      <c r="C23" s="50">
        <v>2</v>
      </c>
      <c r="D23" s="41" t="str">
        <f>Table!$C$3</f>
        <v>ASW</v>
      </c>
      <c r="E23" s="41">
        <f>SUMIFS(Merged_COEM!$W$48:$W$422,Merged_COEM!$D$48:$D$422,D23, Merged_COEM!$C$48:$C$422,C15)</f>
        <v>326</v>
      </c>
      <c r="F23" s="41">
        <f>SUMIFS(Merged_COEM!$X$48:$X$422,Merged_COEM!$D$48:$D$422,D23, Merged_COEM!$C$48:$C$422,C15)-SUM(SUMIFS(Merged_COEM!$X$48:$X$422,Merged_COEM!$D$48:$D$422,D23,Merged_COEM!$AA$48:$AA$422,{"Ongoing","N/A",""},Merged_COEM!$C$48:$C$422,C15))</f>
        <v>326</v>
      </c>
      <c r="G23" s="41">
        <f>1/8*(SUMIFS(Merged_COEM!$Y$48:$Y$422,Merged_COEM!$D$48:$D$422,D23, Merged_COEM!$C$48:$C$422,C15))</f>
        <v>2.5037499999999997</v>
      </c>
      <c r="H23" s="64">
        <f>1/8*(SUMIFS(Merged_COEM!$Z$48:$Z$422,Merged_COEM!$D$48:$D$422,D23, Merged_COEM!$C$48:$C$422,C15)-SUM(SUMIFS(Merged_COEM!$Z$48:$Z$422,Merged_COEM!$D$48:$D$422,D23,Merged_COEM!$AA$48:$AA$422,{"Ongoing","N/A",""},Merged_COEM!$C$48:$C$422,C15)))</f>
        <v>2.1875</v>
      </c>
      <c r="I23" s="42">
        <f>IFERROR(F23/E23,"N/A")</f>
        <v>1</v>
      </c>
      <c r="J23" s="3">
        <f>COUNTIFS(Merged_COEM!$AK$48:$AK$422,J21,Merged_COEM!$D$48:$D$422,D23,Merged_COEM!$C$48:$C$422,C15)</f>
        <v>2</v>
      </c>
      <c r="K23" s="3">
        <f>COUNTIFS(Merged_COEM!$AK$48:$AK$422,K21,Merged_COEM!$D$48:$D$422,D23,Merged_COEM!$C$48:$C$422,C15)</f>
        <v>0</v>
      </c>
    </row>
    <row r="25" spans="1:11" x14ac:dyDescent="0.25">
      <c r="C25" t="s">
        <v>130</v>
      </c>
    </row>
    <row r="26" spans="1:11" x14ac:dyDescent="0.25">
      <c r="D26" s="37" t="s">
        <v>135</v>
      </c>
    </row>
    <row r="28" spans="1:11" x14ac:dyDescent="0.25">
      <c r="A28" s="47">
        <v>3</v>
      </c>
      <c r="B28" s="47" t="s">
        <v>56</v>
      </c>
      <c r="C28" s="47">
        <v>20200504</v>
      </c>
    </row>
    <row r="29" spans="1:11" x14ac:dyDescent="0.25">
      <c r="B29" s="47" t="s">
        <v>123</v>
      </c>
      <c r="C29">
        <f>SUM(G35:G36)</f>
        <v>0.52625</v>
      </c>
      <c r="D29" t="s">
        <v>124</v>
      </c>
    </row>
    <row r="30" spans="1:11" x14ac:dyDescent="0.25">
      <c r="B30" s="47" t="s">
        <v>133</v>
      </c>
      <c r="C30">
        <f>SUM(INT((WEEKDAY(F30-{2,3,4,5,6})+H30-F30)/7))</f>
        <v>3</v>
      </c>
      <c r="D30" t="s">
        <v>124</v>
      </c>
      <c r="E30" t="s">
        <v>166</v>
      </c>
      <c r="F30" s="6">
        <v>43955</v>
      </c>
      <c r="G30" s="6" t="s">
        <v>122</v>
      </c>
      <c r="H30" s="6">
        <v>43957</v>
      </c>
    </row>
    <row r="31" spans="1:11" x14ac:dyDescent="0.25">
      <c r="B31" s="47" t="s">
        <v>134</v>
      </c>
      <c r="C31">
        <f>SUM(INT((WEEKDAY(F31-{2,3,4,5,6})+H31-F31)/7))</f>
        <v>3</v>
      </c>
      <c r="D31" t="s">
        <v>124</v>
      </c>
      <c r="E31" t="s">
        <v>144</v>
      </c>
      <c r="F31" s="6">
        <v>43955</v>
      </c>
      <c r="G31" s="6" t="s">
        <v>122</v>
      </c>
      <c r="H31" s="6">
        <v>43957</v>
      </c>
    </row>
    <row r="32" spans="1:11" x14ac:dyDescent="0.25">
      <c r="B32" s="47" t="s">
        <v>17</v>
      </c>
      <c r="C32" t="str">
        <f>IF(SUM(H35:H36)&gt;SUM(G35:G36),"Delayed",IF(SUM(H35:H36)&lt;SUM(G35:G36),"InAdvanced","Ontime"))</f>
        <v>InAdvanced</v>
      </c>
      <c r="F32" s="6"/>
      <c r="G32" s="6"/>
      <c r="H32" s="6"/>
    </row>
    <row r="34" spans="1:11" ht="45" x14ac:dyDescent="0.25">
      <c r="C34" s="48" t="s">
        <v>25</v>
      </c>
      <c r="D34" s="48" t="s">
        <v>26</v>
      </c>
      <c r="E34" s="49" t="s">
        <v>125</v>
      </c>
      <c r="F34" s="49" t="s">
        <v>126</v>
      </c>
      <c r="G34" s="49" t="s">
        <v>127</v>
      </c>
      <c r="H34" s="49" t="s">
        <v>128</v>
      </c>
      <c r="I34" s="49" t="s">
        <v>29</v>
      </c>
      <c r="J34" s="195" t="str">
        <f>Table!$C$36</f>
        <v>OPL</v>
      </c>
      <c r="K34" s="195" t="str">
        <f>Table!$C$37</f>
        <v>Defect</v>
      </c>
    </row>
    <row r="35" spans="1:11" x14ac:dyDescent="0.25">
      <c r="C35" s="50">
        <v>1</v>
      </c>
      <c r="D35" s="41" t="str">
        <f>Table!$D$3</f>
        <v>PSW</v>
      </c>
      <c r="E35" s="41">
        <f>SUMIFS(Merged_COEM!$W$48:$W$422,Merged_COEM!$D$48:$D$422,D35, Merged_COEM!$C$48:$C$422,C28)</f>
        <v>82</v>
      </c>
      <c r="F35" s="41">
        <f>SUMIFS(Merged_COEM!$X$48:$X$422,Merged_COEM!$D$48:$D$422,D35, Merged_COEM!$C$48:$C$422,C28)-SUM(SUMIFS(Merged_COEM!$X$48:$X$422,Merged_COEM!$D$48:$D$422,Table!$D$3,Merged_COEM!$AA$48:$AA$422,{"Ongoing","N/A",""},Merged_COEM!$C$48:$C$422,C28))</f>
        <v>82</v>
      </c>
      <c r="G35" s="41">
        <f>1/8*(SUMIFS(Merged_COEM!$Y$48:$Y$422,Merged_COEM!$D$48:$D$422,D35, Merged_COEM!$C$48:$C$422,C28))</f>
        <v>0.18124999999999999</v>
      </c>
      <c r="H35" s="64">
        <f>1/8*(SUMIFS(Merged_COEM!$Z$48:$Z$422,Merged_COEM!$D$48:$D$422,D35, Merged_COEM!$C$48:$C$422,C28)-SUM(SUMIFS(Merged_COEM!$Z$48:$Z$422,Merged_COEM!$D$48:$D$422,D35,Merged_COEM!$AA$48:$AA$422,{"Ongoing","N/A",""},Merged_COEM!$C$48:$C$422,C28)))</f>
        <v>0.125</v>
      </c>
      <c r="I35" s="42">
        <f>IFERROR(F35/E35,"N/A")</f>
        <v>1</v>
      </c>
      <c r="J35" s="3">
        <f>COUNTIFS(Merged_COEM!$AK$48:$AK$422,J34,Merged_COEM!$D$48:$D$422,D35,Merged_COEM!$C$48:$C$422,C28)</f>
        <v>0</v>
      </c>
      <c r="K35" s="3">
        <f>COUNTIFS(Merged_COEM!$AK$48:$AK$422,K34,Merged_COEM!$D$48:$D$422,D35,Merged_COEM!$C$48:$C$422,C28)</f>
        <v>0</v>
      </c>
    </row>
    <row r="36" spans="1:11" x14ac:dyDescent="0.25">
      <c r="C36" s="50">
        <v>2</v>
      </c>
      <c r="D36" s="41" t="str">
        <f>Table!$C$3</f>
        <v>ASW</v>
      </c>
      <c r="E36" s="41">
        <f>SUMIFS(Merged_COEM!$W$48:$W$422,Merged_COEM!$D$48:$D$422,D36, Merged_COEM!$C$48:$C$422,C28)</f>
        <v>45</v>
      </c>
      <c r="F36" s="41">
        <f>SUMIFS(Merged_COEM!$X$48:$X$422,Merged_COEM!$D$48:$D$422,D36, Merged_COEM!$C$48:$C$422,C28)-SUM(SUMIFS(Merged_COEM!$X$48:$X$422,Merged_COEM!$D$48:$D$422,D36,Merged_COEM!$AA$48:$AA$422,{"Ongoing","N/A",""},Merged_COEM!$C$48:$C$422,C28))</f>
        <v>45</v>
      </c>
      <c r="G36" s="41">
        <f>1/8*(SUMIFS(Merged_COEM!$Y$48:$Y$422,Merged_COEM!$D$48:$D$422,D36, Merged_COEM!$C$48:$C$422,C28))</f>
        <v>0.34499999999999997</v>
      </c>
      <c r="H36" s="64">
        <f>1/8*(SUMIFS(Merged_COEM!$Z$48:$Z$422,Merged_COEM!$D$48:$D$422,D36, Merged_COEM!$C$48:$C$422,C28)-SUM(SUMIFS(Merged_COEM!$Z$48:$Z$422,Merged_COEM!$D$48:$D$422,D36,Merged_COEM!$AA$48:$AA$422,{"Ongoing","N/A",""},Merged_COEM!$C$48:$C$422,C28)))</f>
        <v>0.375</v>
      </c>
      <c r="I36" s="42">
        <f>IFERROR(F36/E36,"N/A")</f>
        <v>1</v>
      </c>
      <c r="J36" s="3">
        <f>COUNTIFS(Merged_COEM!$AK$48:$AK$422,J34,Merged_COEM!$D$48:$D$422,D36,Merged_COEM!$C$48:$C$422,C28)</f>
        <v>0</v>
      </c>
      <c r="K36" s="3">
        <f>COUNTIFS(Merged_COEM!$AK$48:$AK$422,K34,Merged_COEM!$D$48:$D$422,D36,Merged_COEM!$C$48:$C$422,C28)</f>
        <v>0</v>
      </c>
    </row>
    <row r="38" spans="1:11" x14ac:dyDescent="0.25">
      <c r="C38" t="s">
        <v>130</v>
      </c>
    </row>
    <row r="39" spans="1:11" x14ac:dyDescent="0.25">
      <c r="D39" s="37" t="s">
        <v>135</v>
      </c>
    </row>
    <row r="41" spans="1:11" x14ac:dyDescent="0.25">
      <c r="A41" s="47">
        <v>4</v>
      </c>
      <c r="B41" s="47" t="s">
        <v>56</v>
      </c>
      <c r="C41" s="47">
        <v>20200506</v>
      </c>
    </row>
    <row r="42" spans="1:11" x14ac:dyDescent="0.25">
      <c r="B42" s="47" t="s">
        <v>123</v>
      </c>
      <c r="C42">
        <f>SUM(G48:G49)</f>
        <v>23.123749999999998</v>
      </c>
      <c r="D42" t="s">
        <v>124</v>
      </c>
    </row>
    <row r="43" spans="1:11" x14ac:dyDescent="0.25">
      <c r="B43" s="47" t="s">
        <v>133</v>
      </c>
      <c r="C43">
        <f>SUM(INT((WEEKDAY(F43-{2,3,4,5,6})+H43-F43)/7))</f>
        <v>6</v>
      </c>
      <c r="D43" t="s">
        <v>124</v>
      </c>
      <c r="E43" t="s">
        <v>166</v>
      </c>
      <c r="F43" s="6">
        <v>43957</v>
      </c>
      <c r="G43" s="6" t="s">
        <v>122</v>
      </c>
      <c r="H43" s="6">
        <v>43964</v>
      </c>
    </row>
    <row r="44" spans="1:11" x14ac:dyDescent="0.25">
      <c r="B44" s="47" t="s">
        <v>134</v>
      </c>
      <c r="C44">
        <f>SUM(INT((WEEKDAY(F44-{2,3,4,5,6})+H44-F44)/7))</f>
        <v>6</v>
      </c>
      <c r="D44" t="s">
        <v>124</v>
      </c>
      <c r="E44" t="s">
        <v>166</v>
      </c>
      <c r="F44" s="6">
        <v>43957</v>
      </c>
      <c r="G44" s="6" t="s">
        <v>122</v>
      </c>
      <c r="H44" s="6">
        <v>43964</v>
      </c>
    </row>
    <row r="45" spans="1:11" x14ac:dyDescent="0.25">
      <c r="B45" s="47" t="s">
        <v>17</v>
      </c>
      <c r="C45" t="str">
        <f>IF(SUM(H48:H49)&gt;SUM(G48:G49),"Delayed",IF(SUM(H48:H49)&lt;SUM(G48:G49),"InAdvanced","Ontime"))</f>
        <v>InAdvanced</v>
      </c>
      <c r="F45" s="6"/>
      <c r="G45" s="6"/>
      <c r="H45" s="6"/>
    </row>
    <row r="47" spans="1:11" ht="45" x14ac:dyDescent="0.25">
      <c r="C47" s="48" t="s">
        <v>25</v>
      </c>
      <c r="D47" s="48" t="s">
        <v>26</v>
      </c>
      <c r="E47" s="49" t="s">
        <v>125</v>
      </c>
      <c r="F47" s="49" t="s">
        <v>126</v>
      </c>
      <c r="G47" s="49" t="s">
        <v>127</v>
      </c>
      <c r="H47" s="49" t="s">
        <v>128</v>
      </c>
      <c r="I47" s="49" t="s">
        <v>29</v>
      </c>
      <c r="J47" s="195" t="str">
        <f>Table!$C$36</f>
        <v>OPL</v>
      </c>
      <c r="K47" s="195" t="str">
        <f>Table!$C$37</f>
        <v>Defect</v>
      </c>
    </row>
    <row r="48" spans="1:11" x14ac:dyDescent="0.25">
      <c r="C48" s="50">
        <v>1</v>
      </c>
      <c r="D48" s="41" t="str">
        <f>Table!$D$3</f>
        <v>PSW</v>
      </c>
      <c r="E48" s="41">
        <f>SUMIFS(Merged_COEM!$W$48:$W$422,Merged_COEM!$D$48:$D$422,D48, Merged_COEM!$C$48:$C$422,C41)</f>
        <v>10414</v>
      </c>
      <c r="F48" s="41">
        <f>SUMIFS(Merged_COEM!$X$48:$X$422,Merged_COEM!$D$48:$D$422,D48, Merged_COEM!$C$48:$C$422,C41)-SUM(SUMIFS(Merged_COEM!$X$48:$X$422,Merged_COEM!$D$48:$D$422,Table!$D$3,Merged_COEM!$AA$48:$AA$422,{"Ongoing","N/A",""},Merged_COEM!$C$48:$C$422,C41))</f>
        <v>10414</v>
      </c>
      <c r="G48" s="41">
        <f>1/8*(SUMIFS(Merged_COEM!$Y$48:$Y$422,Merged_COEM!$D$48:$D$422,D48, Merged_COEM!$C$48:$C$422,C41))</f>
        <v>23.123749999999998</v>
      </c>
      <c r="H48" s="64">
        <f>1/8*(SUMIFS(Merged_COEM!$Z$48:$Z$422,Merged_COEM!$D$48:$D$422,D48, Merged_COEM!$C$48:$C$422,C41)-SUM(SUMIFS(Merged_COEM!$Z$48:$Z$422,Merged_COEM!$D$48:$D$422,D48,Merged_COEM!$AA$48:$AA$422,{"Ongoing","N/A",""},Merged_COEM!$C$48:$C$422,C41)))</f>
        <v>11.0625</v>
      </c>
      <c r="I48" s="42">
        <f>IFERROR(F48/E48,"N/A")</f>
        <v>1</v>
      </c>
      <c r="J48" s="3">
        <f>COUNTIFS(Merged_COEM!$AK$48:$AK$422,J47,Merged_COEM!$D$48:$D$422,D48,Merged_COEM!$C$48:$C$422,C41)</f>
        <v>4</v>
      </c>
      <c r="K48" s="3">
        <f>COUNTIFS(Merged_COEM!$AK$48:$AK$422,K47,Merged_COEM!$D$48:$D$422,D48,Merged_COEM!$C$48:$C$422,C41)</f>
        <v>0</v>
      </c>
    </row>
    <row r="49" spans="1:11" x14ac:dyDescent="0.25">
      <c r="C49" s="50">
        <v>2</v>
      </c>
      <c r="D49" s="41" t="str">
        <f>Table!$C$3</f>
        <v>ASW</v>
      </c>
      <c r="E49" s="41">
        <f>SUMIFS(Merged_COEM!$W$48:$W$422,Merged_COEM!$D$48:$D$422,D49, Merged_COEM!$C$48:$C$422,C41)</f>
        <v>0</v>
      </c>
      <c r="F49" s="41">
        <f>SUMIFS(Merged_COEM!$X$48:$X$422,Merged_COEM!$D$48:$D$422,D49, Merged_COEM!$C$48:$C$422,C41)-SUM(SUMIFS(Merged_COEM!$X$48:$X$422,Merged_COEM!$D$48:$D$422,D49,Merged_COEM!$AA$48:$AA$422,{"Ongoing","N/A",""},Merged_COEM!$C$48:$C$422,C41))</f>
        <v>0</v>
      </c>
      <c r="G49" s="41">
        <f>1/8*(SUMIFS(Merged_COEM!$Y$48:$Y$422,Merged_COEM!$D$48:$D$422,D49, Merged_COEM!$C$48:$C$422,C41))</f>
        <v>0</v>
      </c>
      <c r="H49" s="64">
        <f>1/8*(SUMIFS(Merged_COEM!$Z$48:$Z$422,Merged_COEM!$D$48:$D$422,D49, Merged_COEM!$C$48:$C$422,C41)-SUM(SUMIFS(Merged_COEM!$Z$48:$Z$422,Merged_COEM!$D$48:$D$422,D49,Merged_COEM!$AA$48:$AA$422,{"Ongoing","N/A",""},Merged_COEM!$C$48:$C$422,C41)))</f>
        <v>0</v>
      </c>
      <c r="I49" s="42" t="str">
        <f>IFERROR(F49/E49,"N/A")</f>
        <v>N/A</v>
      </c>
      <c r="J49" s="3">
        <f>COUNTIFS(Merged_COEM!$AK$48:$AK$422,J47,Merged_COEM!$D$48:$D$422,D49,Merged_COEM!$C$48:$C$422,C41)</f>
        <v>0</v>
      </c>
      <c r="K49" s="3">
        <f>COUNTIFS(Merged_COEM!$AK$48:$AK$422,K47,Merged_COEM!$D$48:$D$422,D49,Merged_COEM!$C$48:$C$422,C41)</f>
        <v>0</v>
      </c>
    </row>
    <row r="51" spans="1:11" x14ac:dyDescent="0.25">
      <c r="C51" t="s">
        <v>130</v>
      </c>
    </row>
    <row r="52" spans="1:11" x14ac:dyDescent="0.25">
      <c r="D52" s="37" t="s">
        <v>135</v>
      </c>
    </row>
    <row r="54" spans="1:11" x14ac:dyDescent="0.25">
      <c r="A54" s="47">
        <v>5</v>
      </c>
      <c r="B54" s="47" t="s">
        <v>56</v>
      </c>
      <c r="C54" s="47">
        <v>20200507</v>
      </c>
    </row>
    <row r="55" spans="1:11" x14ac:dyDescent="0.25">
      <c r="B55" s="47" t="s">
        <v>123</v>
      </c>
      <c r="C55">
        <f>SUM(G61:G62)</f>
        <v>9.0487500000000001</v>
      </c>
      <c r="D55" t="s">
        <v>124</v>
      </c>
    </row>
    <row r="56" spans="1:11" x14ac:dyDescent="0.25">
      <c r="B56" s="47" t="s">
        <v>133</v>
      </c>
      <c r="C56">
        <f>SUM(INT((WEEKDAY(F56-{2,3,4,5,6})+H56-F56)/7))</f>
        <v>6</v>
      </c>
      <c r="D56" t="s">
        <v>124</v>
      </c>
      <c r="E56" t="s">
        <v>166</v>
      </c>
      <c r="F56" s="6">
        <v>43958</v>
      </c>
      <c r="G56" s="6" t="s">
        <v>122</v>
      </c>
      <c r="H56" s="6">
        <v>43965</v>
      </c>
    </row>
    <row r="57" spans="1:11" x14ac:dyDescent="0.25">
      <c r="B57" s="47" t="s">
        <v>134</v>
      </c>
      <c r="C57">
        <f>SUM(INT((WEEKDAY(F57-{2,3,4,5,6})+H57-F57)/7))</f>
        <v>6</v>
      </c>
      <c r="D57" t="s">
        <v>124</v>
      </c>
      <c r="E57" t="s">
        <v>166</v>
      </c>
      <c r="F57" s="6">
        <v>43958</v>
      </c>
      <c r="G57" s="6" t="s">
        <v>122</v>
      </c>
      <c r="H57" s="6">
        <v>43965</v>
      </c>
    </row>
    <row r="58" spans="1:11" x14ac:dyDescent="0.25">
      <c r="B58" s="47" t="s">
        <v>17</v>
      </c>
      <c r="C58" t="str">
        <f>IF(SUM(H61:H62)&gt;SUM(G61:G62),"Delayed",IF(SUM(H61:H62)&lt;SUM(G61:G62),"InAdvanced","Ontime"))</f>
        <v>InAdvanced</v>
      </c>
      <c r="F58" s="6"/>
      <c r="G58" s="6"/>
      <c r="H58" s="6"/>
    </row>
    <row r="60" spans="1:11" ht="45" x14ac:dyDescent="0.25">
      <c r="C60" s="48" t="s">
        <v>25</v>
      </c>
      <c r="D60" s="48" t="s">
        <v>26</v>
      </c>
      <c r="E60" s="49" t="s">
        <v>125</v>
      </c>
      <c r="F60" s="49" t="s">
        <v>126</v>
      </c>
      <c r="G60" s="49" t="s">
        <v>127</v>
      </c>
      <c r="H60" s="49" t="s">
        <v>128</v>
      </c>
      <c r="I60" s="49" t="s">
        <v>29</v>
      </c>
      <c r="J60" s="195" t="str">
        <f>Table!$C$36</f>
        <v>OPL</v>
      </c>
      <c r="K60" s="195" t="str">
        <f>Table!$C$37</f>
        <v>Defect</v>
      </c>
    </row>
    <row r="61" spans="1:11" x14ac:dyDescent="0.25">
      <c r="C61" s="50">
        <v>1</v>
      </c>
      <c r="D61" s="41" t="str">
        <f>Table!$D$3</f>
        <v>PSW</v>
      </c>
      <c r="E61" s="41">
        <f>SUMIFS(Merged_COEM!$W$48:$W$422,Merged_COEM!$D$48:$D$422,D61, Merged_COEM!$C$48:$C$422,C54)</f>
        <v>4075</v>
      </c>
      <c r="F61" s="41">
        <f>SUMIFS(Merged_COEM!$X$48:$X$422,Merged_COEM!$D$48:$D$422,D61, Merged_COEM!$C$48:$C$422,C54)-SUM(SUMIFS(Merged_COEM!$X$48:$X$422,Merged_COEM!$D$48:$D$422,Table!$D$3,Merged_COEM!$AA$48:$AA$422,{"Ongoing","N/A",""},Merged_COEM!$C$48:$C$422,C54))</f>
        <v>4075</v>
      </c>
      <c r="G61" s="41">
        <f>1/8*(SUMIFS(Merged_COEM!$Y$48:$Y$422,Merged_COEM!$D$48:$D$422,D61, Merged_COEM!$C$48:$C$422,C54))</f>
        <v>9.0487500000000001</v>
      </c>
      <c r="H61" s="64">
        <f>1/8*(SUMIFS(Merged_COEM!$Z$48:$Z$422,Merged_COEM!$D$48:$D$422,D61, Merged_COEM!$C$48:$C$422,C54)-SUM(SUMIFS(Merged_COEM!$Z$48:$Z$422,Merged_COEM!$D$48:$D$422,D61,Merged_COEM!$AA$48:$AA$422,{"Ongoing","N/A",""},Merged_COEM!$C$48:$C$422,C54)))</f>
        <v>3.0775000000000001</v>
      </c>
      <c r="I61" s="42">
        <f>IFERROR(F61/E61,"N/A")</f>
        <v>1</v>
      </c>
      <c r="J61" s="3">
        <f>COUNTIFS(Merged_COEM!$AK$48:$AK$422,J60,Merged_COEM!$D$48:$D$422,D61,Merged_COEM!$C$48:$C$422,C54)</f>
        <v>1</v>
      </c>
      <c r="K61" s="3">
        <f>COUNTIFS(Merged_COEM!$AK$48:$AK$422,K60,Merged_COEM!$D$48:$D$422,D61,Merged_COEM!$C$48:$C$422,C54)</f>
        <v>0</v>
      </c>
    </row>
    <row r="62" spans="1:11" x14ac:dyDescent="0.25">
      <c r="C62" s="50">
        <v>2</v>
      </c>
      <c r="D62" s="41" t="str">
        <f>Table!$C$3</f>
        <v>ASW</v>
      </c>
      <c r="E62" s="41">
        <f>SUMIFS(Merged_COEM!$W$48:$W$422,Merged_COEM!$D$48:$D$422,D62, Merged_COEM!$C$48:$C$422,C54)</f>
        <v>0</v>
      </c>
      <c r="F62" s="41">
        <f>SUMIFS(Merged_COEM!$X$48:$X$422,Merged_COEM!$D$48:$D$422,D62, Merged_COEM!$C$48:$C$422,C54)-SUM(SUMIFS(Merged_COEM!$X$48:$X$422,Merged_COEM!$D$48:$D$422,D62,Merged_COEM!$AA$48:$AA$422,{"Ongoing","N/A",""},Merged_COEM!$C$48:$C$422,C54))</f>
        <v>0</v>
      </c>
      <c r="G62" s="41">
        <f>1/8*(SUMIFS(Merged_COEM!$Y$48:$Y$422,Merged_COEM!$D$48:$D$422,D62, Merged_COEM!$C$48:$C$422,C54))</f>
        <v>0</v>
      </c>
      <c r="H62" s="64">
        <f>1/8*(SUMIFS(Merged_COEM!$Z$48:$Z$422,Merged_COEM!$D$48:$D$422,D62, Merged_COEM!$C$48:$C$422,C54)-SUM(SUMIFS(Merged_COEM!$Z$48:$Z$422,Merged_COEM!$D$48:$D$422,D62,Merged_COEM!$AA$48:$AA$422,{"Ongoing","N/A",""},Merged_COEM!$C$48:$C$422,C54)))</f>
        <v>0</v>
      </c>
      <c r="I62" s="42" t="str">
        <f>IFERROR(F62/E62,"N/A")</f>
        <v>N/A</v>
      </c>
      <c r="J62" s="3">
        <f>COUNTIFS(Merged_COEM!$AK$48:$AK$422,J60,Merged_COEM!$D$48:$D$422,D62,Merged_COEM!$C$48:$C$422,C54)</f>
        <v>0</v>
      </c>
      <c r="K62" s="3">
        <f>COUNTIFS(Merged_COEM!$AK$48:$AK$422,K60,Merged_COEM!$D$48:$D$422,D62,Merged_COEM!$C$48:$C$422,C54)</f>
        <v>0</v>
      </c>
    </row>
    <row r="64" spans="1:11" x14ac:dyDescent="0.25">
      <c r="C64" t="s">
        <v>130</v>
      </c>
    </row>
    <row r="65" spans="1:11" x14ac:dyDescent="0.25">
      <c r="D65" s="37" t="s">
        <v>135</v>
      </c>
    </row>
    <row r="67" spans="1:11" x14ac:dyDescent="0.25">
      <c r="A67" s="47">
        <v>6</v>
      </c>
      <c r="B67" s="47" t="s">
        <v>56</v>
      </c>
      <c r="C67" s="47">
        <v>20200508</v>
      </c>
    </row>
    <row r="68" spans="1:11" x14ac:dyDescent="0.25">
      <c r="B68" s="47" t="s">
        <v>123</v>
      </c>
      <c r="C68">
        <f>SUM(G74:G75)</f>
        <v>3.4225000000000003</v>
      </c>
      <c r="D68" t="s">
        <v>124</v>
      </c>
    </row>
    <row r="69" spans="1:11" x14ac:dyDescent="0.25">
      <c r="B69" s="47" t="s">
        <v>133</v>
      </c>
      <c r="C69">
        <f>SUM(INT((WEEKDAY(F69-{2,3,4,5,6})+H69-F69)/7))</f>
        <v>5</v>
      </c>
      <c r="D69" t="s">
        <v>124</v>
      </c>
      <c r="E69" t="s">
        <v>166</v>
      </c>
      <c r="F69" s="6">
        <v>43959</v>
      </c>
      <c r="G69" s="6" t="s">
        <v>122</v>
      </c>
      <c r="H69" s="6">
        <v>43965</v>
      </c>
    </row>
    <row r="70" spans="1:11" x14ac:dyDescent="0.25">
      <c r="B70" s="47" t="s">
        <v>134</v>
      </c>
      <c r="C70">
        <f>SUM(INT((WEEKDAY(F70-{2,3,4,5,6})+H70-F70)/7))</f>
        <v>5</v>
      </c>
      <c r="D70" t="s">
        <v>124</v>
      </c>
      <c r="E70" t="s">
        <v>166</v>
      </c>
      <c r="F70" s="6">
        <v>43959</v>
      </c>
      <c r="G70" s="6" t="s">
        <v>122</v>
      </c>
      <c r="H70" s="6">
        <v>43965</v>
      </c>
    </row>
    <row r="71" spans="1:11" x14ac:dyDescent="0.25">
      <c r="B71" s="47" t="s">
        <v>17</v>
      </c>
      <c r="C71" t="str">
        <f>IF(SUM(H74:H75)&gt;SUM(G74:G75),"Delayed",IF(SUM(H74:H75)&lt;SUM(G74:G75),"InAdvanced","Ontime"))</f>
        <v>InAdvanced</v>
      </c>
      <c r="F71" s="6"/>
      <c r="G71" s="6"/>
      <c r="H71" s="6"/>
    </row>
    <row r="73" spans="1:11" ht="45" x14ac:dyDescent="0.25">
      <c r="C73" s="48" t="s">
        <v>25</v>
      </c>
      <c r="D73" s="48" t="s">
        <v>26</v>
      </c>
      <c r="E73" s="49" t="s">
        <v>125</v>
      </c>
      <c r="F73" s="49" t="s">
        <v>126</v>
      </c>
      <c r="G73" s="49" t="s">
        <v>127</v>
      </c>
      <c r="H73" s="49" t="s">
        <v>128</v>
      </c>
      <c r="I73" s="49" t="s">
        <v>29</v>
      </c>
      <c r="J73" s="195" t="str">
        <f>Table!$C$36</f>
        <v>OPL</v>
      </c>
      <c r="K73" s="195" t="str">
        <f>Table!$C$37</f>
        <v>Defect</v>
      </c>
    </row>
    <row r="74" spans="1:11" x14ac:dyDescent="0.25">
      <c r="C74" s="50">
        <v>1</v>
      </c>
      <c r="D74" s="41" t="str">
        <f>Table!$D$3</f>
        <v>PSW</v>
      </c>
      <c r="E74" s="41">
        <f>SUMIFS(Merged_COEM!$W$48:$W$422,Merged_COEM!$D$48:$D$422,D74, Merged_COEM!$C$48:$C$422,C67)</f>
        <v>1541</v>
      </c>
      <c r="F74" s="41">
        <f>SUMIFS(Merged_COEM!$X$48:$X$422,Merged_COEM!$D$48:$D$422,D74, Merged_COEM!$C$48:$C$422,C67)-SUM(SUMIFS(Merged_COEM!$X$48:$X$422,Merged_COEM!$D$48:$D$422,Table!$D$3,Merged_COEM!$AA$48:$AA$422,{"Ongoing","N/A",""},Merged_COEM!$C$48:$C$422,C67))</f>
        <v>1541</v>
      </c>
      <c r="G74" s="41">
        <f>1/8*(SUMIFS(Merged_COEM!$Y$48:$Y$422,Merged_COEM!$D$48:$D$422,D74, Merged_COEM!$C$48:$C$422,C67))</f>
        <v>3.4225000000000003</v>
      </c>
      <c r="H74" s="64">
        <f>1/8*(SUMIFS(Merged_COEM!$Z$48:$Z$422,Merged_COEM!$D$48:$D$422,D74, Merged_COEM!$C$48:$C$422,C67)-SUM(SUMIFS(Merged_COEM!$Z$48:$Z$422,Merged_COEM!$D$48:$D$422,D74,Merged_COEM!$AA$48:$AA$422,{"Ongoing","N/A",""},Merged_COEM!$C$48:$C$422,C67)))</f>
        <v>0.79875000000000007</v>
      </c>
      <c r="I74" s="42">
        <f>IFERROR(F74/E74,"N/A")</f>
        <v>1</v>
      </c>
      <c r="J74" s="3">
        <f>COUNTIFS(Merged_COEM!$AK$48:$AK$422,J73,Merged_COEM!$D$48:$D$422,D74,Merged_COEM!$C$48:$C$422,C67)</f>
        <v>1</v>
      </c>
      <c r="K74" s="3">
        <f>COUNTIFS(Merged_COEM!$AK$48:$AK$422,K73,Merged_COEM!$D$48:$D$422,D74,Merged_COEM!$C$48:$C$422,C67)</f>
        <v>0</v>
      </c>
    </row>
    <row r="75" spans="1:11" x14ac:dyDescent="0.25">
      <c r="C75" s="50">
        <v>2</v>
      </c>
      <c r="D75" s="41" t="str">
        <f>Table!$C$3</f>
        <v>ASW</v>
      </c>
      <c r="E75" s="41">
        <f>SUMIFS(Merged_COEM!$W$48:$W$422,Merged_COEM!$D$48:$D$422,D75, Merged_COEM!$C$48:$C$422,C67)</f>
        <v>0</v>
      </c>
      <c r="F75" s="41">
        <f>SUMIFS(Merged_COEM!$X$48:$X$422,Merged_COEM!$D$48:$D$422,D75, Merged_COEM!$C$48:$C$422,C67)-SUM(SUMIFS(Merged_COEM!$X$48:$X$422,Merged_COEM!$D$48:$D$422,D75,Merged_COEM!$AA$48:$AA$422,{"Ongoing","N/A",""},Merged_COEM!$C$48:$C$422,C67))</f>
        <v>0</v>
      </c>
      <c r="G75" s="41">
        <f>1/8*(SUMIFS(Merged_COEM!$Y$48:$Y$422,Merged_COEM!$D$48:$D$422,D75, Merged_COEM!$C$48:$C$422,C67))</f>
        <v>0</v>
      </c>
      <c r="H75" s="64">
        <f>1/8*(SUMIFS(Merged_COEM!$Z$48:$Z$422,Merged_COEM!$D$48:$D$422,D75, Merged_COEM!$C$48:$C$422,C67)-SUM(SUMIFS(Merged_COEM!$Z$48:$Z$422,Merged_COEM!$D$48:$D$422,D75,Merged_COEM!$AA$48:$AA$422,{"Ongoing","N/A",""},Merged_COEM!$C$48:$C$422,C67)))</f>
        <v>0</v>
      </c>
      <c r="I75" s="42" t="str">
        <f>IFERROR(F75/E75,"N/A")</f>
        <v>N/A</v>
      </c>
      <c r="J75" s="3">
        <f>COUNTIFS(Merged_COEM!$AK$48:$AK$422,J73,Merged_COEM!$D$48:$D$422,D75,Merged_COEM!$C$48:$C$422,C67)</f>
        <v>0</v>
      </c>
      <c r="K75" s="3">
        <f>COUNTIFS(Merged_COEM!$AK$48:$AK$422,K73,Merged_COEM!$D$48:$D$422,D75,Merged_COEM!$C$48:$C$422,C67)</f>
        <v>0</v>
      </c>
    </row>
    <row r="77" spans="1:11" x14ac:dyDescent="0.25">
      <c r="C77" t="s">
        <v>130</v>
      </c>
    </row>
    <row r="78" spans="1:11" x14ac:dyDescent="0.25">
      <c r="D78" s="126" t="s">
        <v>726</v>
      </c>
    </row>
    <row r="80" spans="1:11" x14ac:dyDescent="0.25">
      <c r="A80" s="47">
        <v>7</v>
      </c>
      <c r="B80" s="47" t="s">
        <v>56</v>
      </c>
      <c r="C80" s="47">
        <v>20200511</v>
      </c>
    </row>
    <row r="81" spans="1:11" x14ac:dyDescent="0.25">
      <c r="B81" s="47" t="s">
        <v>123</v>
      </c>
      <c r="C81">
        <f>SUM(G87:G88)</f>
        <v>5.4087499999999995</v>
      </c>
      <c r="D81" t="s">
        <v>124</v>
      </c>
    </row>
    <row r="82" spans="1:11" x14ac:dyDescent="0.25">
      <c r="B82" s="47" t="s">
        <v>133</v>
      </c>
      <c r="C82">
        <f>SUM(INT((WEEKDAY(F82-{2,3,4,5,6})+H82-F82)/7))</f>
        <v>6</v>
      </c>
      <c r="D82" t="s">
        <v>124</v>
      </c>
      <c r="E82" t="s">
        <v>166</v>
      </c>
      <c r="F82" s="6">
        <v>43963</v>
      </c>
      <c r="G82" s="6" t="s">
        <v>122</v>
      </c>
      <c r="H82" s="6">
        <v>43970</v>
      </c>
    </row>
    <row r="83" spans="1:11" x14ac:dyDescent="0.25">
      <c r="B83" s="47" t="s">
        <v>134</v>
      </c>
      <c r="C83">
        <f>SUM(INT((WEEKDAY(F83-{2,3,4,5,6})+H83-F83)/7))</f>
        <v>5</v>
      </c>
      <c r="D83" t="s">
        <v>124</v>
      </c>
      <c r="E83" t="s">
        <v>166</v>
      </c>
      <c r="F83" s="6">
        <v>43963</v>
      </c>
      <c r="G83" s="6" t="s">
        <v>122</v>
      </c>
      <c r="H83" s="6">
        <v>43969</v>
      </c>
    </row>
    <row r="84" spans="1:11" x14ac:dyDescent="0.25">
      <c r="B84" s="47" t="s">
        <v>17</v>
      </c>
      <c r="C84" t="str">
        <f>IF(SUM(H87:H88)&gt;SUM(G87:G88),"Delayed",IF(SUM(H87:H88)&lt;SUM(G87:G88),"InAdvanced","Ontime"))</f>
        <v>InAdvanced</v>
      </c>
      <c r="F84" s="6"/>
      <c r="G84" s="6"/>
      <c r="H84" s="6"/>
    </row>
    <row r="86" spans="1:11" ht="45" x14ac:dyDescent="0.25">
      <c r="C86" s="48" t="s">
        <v>25</v>
      </c>
      <c r="D86" s="48" t="s">
        <v>26</v>
      </c>
      <c r="E86" s="49" t="s">
        <v>125</v>
      </c>
      <c r="F86" s="49" t="s">
        <v>126</v>
      </c>
      <c r="G86" s="49" t="s">
        <v>127</v>
      </c>
      <c r="H86" s="49" t="s">
        <v>128</v>
      </c>
      <c r="I86" s="49" t="s">
        <v>29</v>
      </c>
      <c r="J86" s="195" t="str">
        <f>Table!$C$36</f>
        <v>OPL</v>
      </c>
      <c r="K86" s="195" t="str">
        <f>Table!$C$37</f>
        <v>Defect</v>
      </c>
    </row>
    <row r="87" spans="1:11" x14ac:dyDescent="0.25">
      <c r="C87" s="50">
        <v>1</v>
      </c>
      <c r="D87" s="41" t="str">
        <f>Table!$D$3</f>
        <v>PSW</v>
      </c>
      <c r="E87" s="41">
        <f>SUMIFS(Merged_COEM!$W$48:$W$422,Merged_COEM!$D$48:$D$422,D87, Merged_COEM!$C$48:$C$422,C80)</f>
        <v>2035</v>
      </c>
      <c r="F87" s="41">
        <f>SUMIFS(Merged_COEM!$X$48:$X$422,Merged_COEM!$D$48:$D$422,D87, Merged_COEM!$C$48:$C$422,C80)-SUM(SUMIFS(Merged_COEM!$X$48:$X$422,Merged_COEM!$D$48:$D$422,Table!$D$3,Merged_COEM!$AA$48:$AA$422,{"Ongoing","N/A",""},Merged_COEM!$C$48:$C$422,C80))</f>
        <v>2035</v>
      </c>
      <c r="G87" s="41">
        <f>1/8*(SUMIFS(Merged_COEM!$Y$48:$Y$422,Merged_COEM!$D$48:$D$422,D87, Merged_COEM!$C$48:$C$422,C80))</f>
        <v>4.5112499999999995</v>
      </c>
      <c r="H87" s="64">
        <f>1/8*(SUMIFS(Merged_COEM!$Z$48:$Z$422,Merged_COEM!$D$48:$D$422,D87, Merged_COEM!$C$48:$C$422,C80)-SUM(SUMIFS(Merged_COEM!$Z$48:$Z$422,Merged_COEM!$D$48:$D$422,D87,Merged_COEM!$AA$48:$AA$422,{"Ongoing","N/A",""},Merged_COEM!$C$48:$C$422,C80)))</f>
        <v>2.4375</v>
      </c>
      <c r="I87" s="42">
        <f>IFERROR(F87/E87,"N/A")</f>
        <v>1</v>
      </c>
      <c r="J87" s="3">
        <f>COUNTIFS(Merged_COEM!$AK$48:$AK$422,J86,Merged_COEM!$D$48:$D$422,D87,Merged_COEM!$C$48:$C$422,C80)</f>
        <v>3</v>
      </c>
      <c r="K87" s="3">
        <f>COUNTIFS(Merged_COEM!$AK$48:$AK$422,K86,Merged_COEM!$D$48:$D$422,D87,Merged_COEM!$C$48:$C$422,C80)</f>
        <v>0</v>
      </c>
    </row>
    <row r="88" spans="1:11" x14ac:dyDescent="0.25">
      <c r="C88" s="50">
        <v>2</v>
      </c>
      <c r="D88" s="41" t="str">
        <f>Table!$C$3</f>
        <v>ASW</v>
      </c>
      <c r="E88" s="41">
        <f>SUMIFS(Merged_COEM!$W$48:$W$422,Merged_COEM!$D$48:$D$422,D88, Merged_COEM!$C$48:$C$422,C80)</f>
        <v>117</v>
      </c>
      <c r="F88" s="41">
        <f>SUMIFS(Merged_COEM!$X$48:$X$422,Merged_COEM!$D$48:$D$422,D88, Merged_COEM!$C$48:$C$422,C80)-SUM(SUMIFS(Merged_COEM!$X$48:$X$422,Merged_COEM!$D$48:$D$422,D88,Merged_COEM!$AA$48:$AA$422,{"Ongoing","N/A",""},Merged_COEM!$C$48:$C$422,C80))</f>
        <v>117</v>
      </c>
      <c r="G88" s="41">
        <f>1/8*(SUMIFS(Merged_COEM!$Y$48:$Y$422,Merged_COEM!$D$48:$D$422,D88, Merged_COEM!$C$48:$C$422,C80))</f>
        <v>0.89749999999999996</v>
      </c>
      <c r="H88" s="64">
        <f>1/8*(SUMIFS(Merged_COEM!$Z$48:$Z$422,Merged_COEM!$D$48:$D$422,D88, Merged_COEM!$C$48:$C$422,C80)-SUM(SUMIFS(Merged_COEM!$Z$48:$Z$422,Merged_COEM!$D$48:$D$422,D88,Merged_COEM!$AA$48:$AA$422,{"Ongoing","N/A",""},Merged_COEM!$C$48:$C$422,C80)))</f>
        <v>1.5912500000000001</v>
      </c>
      <c r="I88" s="42">
        <f>IFERROR(F88/E88,"N/A")</f>
        <v>1</v>
      </c>
      <c r="J88" s="3">
        <f>COUNTIFS(Merged_COEM!$AK$48:$AK$422,J86,Merged_COEM!$D$48:$D$422,D88,Merged_COEM!$C$48:$C$422,C80)</f>
        <v>2</v>
      </c>
      <c r="K88" s="3">
        <f>COUNTIFS(Merged_COEM!$AK$48:$AK$422,K86,Merged_COEM!$D$48:$D$422,D88,Merged_COEM!$C$48:$C$422,C80)</f>
        <v>0</v>
      </c>
    </row>
    <row r="90" spans="1:11" x14ac:dyDescent="0.25">
      <c r="C90" t="s">
        <v>130</v>
      </c>
    </row>
    <row r="91" spans="1:11" x14ac:dyDescent="0.25">
      <c r="D91" s="159" t="s">
        <v>135</v>
      </c>
    </row>
    <row r="93" spans="1:11" x14ac:dyDescent="0.25">
      <c r="A93" s="1">
        <v>8</v>
      </c>
      <c r="B93" s="1" t="s">
        <v>56</v>
      </c>
      <c r="C93" s="1">
        <v>20200513</v>
      </c>
    </row>
    <row r="94" spans="1:11" x14ac:dyDescent="0.25">
      <c r="B94" s="1" t="s">
        <v>123</v>
      </c>
      <c r="C94">
        <f>SUM(G100:G101)</f>
        <v>0.59499999999999997</v>
      </c>
      <c r="D94" t="s">
        <v>124</v>
      </c>
    </row>
    <row r="95" spans="1:11" x14ac:dyDescent="0.25">
      <c r="B95" s="1" t="s">
        <v>133</v>
      </c>
      <c r="C95">
        <f>SUM(INT((WEEKDAY(F95-{2,3,4,5,6})+H95-F95)/7))</f>
        <v>3</v>
      </c>
      <c r="D95" t="s">
        <v>124</v>
      </c>
      <c r="E95" t="s">
        <v>166</v>
      </c>
      <c r="F95" s="6">
        <v>43964</v>
      </c>
      <c r="G95" s="6" t="s">
        <v>122</v>
      </c>
      <c r="H95" s="6">
        <v>43966</v>
      </c>
    </row>
    <row r="96" spans="1:11" x14ac:dyDescent="0.25">
      <c r="B96" s="1" t="s">
        <v>134</v>
      </c>
      <c r="C96">
        <f>SUM(INT((WEEKDAY(F96-{2,3,4,5,6})+H96-F96)/7))</f>
        <v>1</v>
      </c>
      <c r="D96" t="s">
        <v>124</v>
      </c>
      <c r="E96" t="s">
        <v>166</v>
      </c>
      <c r="F96" s="6">
        <v>43964</v>
      </c>
      <c r="G96" s="6" t="s">
        <v>122</v>
      </c>
      <c r="H96" s="6">
        <v>43964</v>
      </c>
    </row>
    <row r="97" spans="1:11" x14ac:dyDescent="0.25">
      <c r="B97" s="1" t="s">
        <v>17</v>
      </c>
      <c r="C97" t="str">
        <f>IF(SUM(H100:H101)&gt;SUM(G100:G101),"Delayed",IF(SUM(H100:H101)&lt;SUM(G100:G101),"InAdvanced","Ontime"))</f>
        <v>InAdvanced</v>
      </c>
      <c r="F97" s="6"/>
      <c r="G97" s="6"/>
      <c r="H97" s="6"/>
    </row>
    <row r="99" spans="1:11" ht="45" x14ac:dyDescent="0.25">
      <c r="C99" s="59" t="s">
        <v>25</v>
      </c>
      <c r="D99" s="59" t="s">
        <v>26</v>
      </c>
      <c r="E99" s="9" t="s">
        <v>125</v>
      </c>
      <c r="F99" s="9" t="s">
        <v>126</v>
      </c>
      <c r="G99" s="9" t="s">
        <v>127</v>
      </c>
      <c r="H99" s="9" t="s">
        <v>128</v>
      </c>
      <c r="I99" s="9" t="s">
        <v>29</v>
      </c>
      <c r="J99" s="195" t="str">
        <f>Table!$C$36</f>
        <v>OPL</v>
      </c>
      <c r="K99" s="195" t="str">
        <f>Table!$C$37</f>
        <v>Defect</v>
      </c>
    </row>
    <row r="100" spans="1:11" x14ac:dyDescent="0.25">
      <c r="C100" s="50">
        <v>1</v>
      </c>
      <c r="D100" s="41" t="str">
        <f>Table!$D$3</f>
        <v>PSW</v>
      </c>
      <c r="E100" s="41">
        <f>SUMIFS(Merged_COEM!$W$48:$W$422,Merged_COEM!$D$48:$D$422,D100, Merged_COEM!$C$48:$C$422,C93)</f>
        <v>130</v>
      </c>
      <c r="F100" s="41">
        <f>SUMIFS(Merged_COEM!$X$48:$X$422,Merged_COEM!$D$48:$D$422,D100, Merged_COEM!$C$48:$C$422,C93)-SUM(SUMIFS(Merged_COEM!$X$48:$X$422,Merged_COEM!$D$48:$D$422,Table!$D$3,Merged_COEM!$AA$48:$AA$422,{"Ongoing","N/A",""},Merged_COEM!$C$48:$C$422,C93))</f>
        <v>130</v>
      </c>
      <c r="G100" s="41">
        <f>1/8*(SUMIFS(Merged_COEM!$Y$48:$Y$422,Merged_COEM!$D$48:$D$422,D100, Merged_COEM!$C$48:$C$422,C93))</f>
        <v>0.28749999999999998</v>
      </c>
      <c r="H100" s="41">
        <f>1/8*(SUMIFS(Merged_COEM!$Z$48:$Z$422,Merged_COEM!$D$48:$D$422,D100, Merged_COEM!$C$48:$C$422,C93)-SUM(SUMIFS(Merged_COEM!$Z$48:$Z$422,Merged_COEM!$D$48:$D$422,D100,Merged_COEM!$AA$48:$AA$422,{"Ongoing","N/A",""},Merged_COEM!$C$48:$C$422,C93)))</f>
        <v>0.1875</v>
      </c>
      <c r="I100" s="42">
        <f>IFERROR(F100/E100,"N/A")</f>
        <v>1</v>
      </c>
      <c r="J100" s="3">
        <f>COUNTIFS(Merged_COEM!$AK$48:$AK$422,J99,Merged_COEM!$D$48:$D$422,D100,Merged_COEM!$C$48:$C$422,C93)</f>
        <v>0</v>
      </c>
      <c r="K100" s="3">
        <f>COUNTIFS(Merged_COEM!$AK$48:$AK$422,K99,Merged_COEM!$D$48:$D$422,D100,Merged_COEM!$C$48:$C$422,C93)</f>
        <v>0</v>
      </c>
    </row>
    <row r="101" spans="1:11" x14ac:dyDescent="0.25">
      <c r="C101" s="50">
        <v>2</v>
      </c>
      <c r="D101" s="41" t="str">
        <f>Table!$C$3</f>
        <v>ASW</v>
      </c>
      <c r="E101" s="41">
        <f>SUMIFS(Merged_COEM!$W$48:$W$422,Merged_COEM!$D$48:$D$422,D101, Merged_COEM!$C$48:$C$422,C93)</f>
        <v>40</v>
      </c>
      <c r="F101" s="41">
        <f>SUMIFS(Merged_COEM!$X$48:$X$422,Merged_COEM!$D$48:$D$422,D101, Merged_COEM!$C$48:$C$422,C93)-SUM(SUMIFS(Merged_COEM!$X$48:$X$422,Merged_COEM!$D$48:$D$422,D101,Merged_COEM!$AA$48:$AA$422,{"Ongoing","N/A",""},Merged_COEM!$C$48:$C$422,C93))</f>
        <v>40</v>
      </c>
      <c r="G101" s="41">
        <f>1/8*(SUMIFS(Merged_COEM!$Y$48:$Y$422,Merged_COEM!$D$48:$D$422,D101, Merged_COEM!$C$48:$C$422,C93))</f>
        <v>0.3075</v>
      </c>
      <c r="H101" s="41">
        <f>1/8*(SUMIFS(Merged_COEM!$Z$48:$Z$422,Merged_COEM!$D$48:$D$422,D101, Merged_COEM!$C$48:$C$422,C93)-SUM(SUMIFS(Merged_COEM!$Z$48:$Z$422,Merged_COEM!$D$48:$D$422,D101,Merged_COEM!$AA$48:$AA$422,{"Ongoing","N/A",""},Merged_COEM!$C$48:$C$422,C93)))</f>
        <v>0.25</v>
      </c>
      <c r="I101" s="42">
        <f>IFERROR(F101/E101,"N/A")</f>
        <v>1</v>
      </c>
      <c r="J101" s="3">
        <f>COUNTIFS(Merged_COEM!$AK$48:$AK$422,J99,Merged_COEM!$D$48:$D$422,D101,Merged_COEM!$C$48:$C$422,C93)</f>
        <v>0</v>
      </c>
      <c r="K101" s="3">
        <f>COUNTIFS(Merged_COEM!$AK$48:$AK$422,K99,Merged_COEM!$D$48:$D$422,D101,Merged_COEM!$C$48:$C$422,C93)</f>
        <v>0</v>
      </c>
    </row>
    <row r="103" spans="1:11" x14ac:dyDescent="0.25">
      <c r="C103" t="s">
        <v>130</v>
      </c>
    </row>
    <row r="104" spans="1:11" x14ac:dyDescent="0.25">
      <c r="D104" s="159" t="s">
        <v>135</v>
      </c>
    </row>
    <row r="106" spans="1:11" x14ac:dyDescent="0.25">
      <c r="A106" s="156">
        <v>9</v>
      </c>
      <c r="B106" s="156" t="s">
        <v>56</v>
      </c>
      <c r="C106" s="156">
        <v>20200514</v>
      </c>
    </row>
    <row r="107" spans="1:11" x14ac:dyDescent="0.25">
      <c r="B107" s="156" t="s">
        <v>123</v>
      </c>
      <c r="C107">
        <f>SUM(G113:G114)</f>
        <v>11.27</v>
      </c>
      <c r="D107" t="s">
        <v>124</v>
      </c>
    </row>
    <row r="108" spans="1:11" x14ac:dyDescent="0.25">
      <c r="B108" s="156" t="s">
        <v>133</v>
      </c>
      <c r="C108">
        <f>SUM(INT((WEEKDAY(F108-{2,3,4,5,6})+H108-F108)/7))</f>
        <v>4</v>
      </c>
      <c r="D108" t="s">
        <v>124</v>
      </c>
      <c r="E108" t="s">
        <v>166</v>
      </c>
      <c r="F108" s="6">
        <v>43965</v>
      </c>
      <c r="G108" s="6" t="s">
        <v>122</v>
      </c>
      <c r="H108" s="6">
        <v>43970</v>
      </c>
    </row>
    <row r="109" spans="1:11" x14ac:dyDescent="0.25">
      <c r="B109" s="156" t="s">
        <v>134</v>
      </c>
      <c r="C109">
        <f>SUM(INT((WEEKDAY(F109-{2,3,4,5,6})+H109-F109)/7))</f>
        <v>3</v>
      </c>
      <c r="D109" t="s">
        <v>124</v>
      </c>
      <c r="E109" t="s">
        <v>166</v>
      </c>
      <c r="F109" s="6">
        <v>43965</v>
      </c>
      <c r="G109" s="6" t="s">
        <v>122</v>
      </c>
      <c r="H109" s="6">
        <v>43969</v>
      </c>
    </row>
    <row r="110" spans="1:11" x14ac:dyDescent="0.25">
      <c r="B110" s="156" t="s">
        <v>17</v>
      </c>
      <c r="C110" t="str">
        <f>IF(SUM(H113:H114)&gt;SUM(G113:G114),"Delayed",IF(SUM(H113:H114)&lt;SUM(G113:G114),"InAdvanced","Ontime"))</f>
        <v>InAdvanced</v>
      </c>
      <c r="F110" s="6"/>
      <c r="G110" s="6"/>
      <c r="H110" s="6"/>
    </row>
    <row r="112" spans="1:11" ht="45" x14ac:dyDescent="0.25">
      <c r="C112" s="157" t="s">
        <v>25</v>
      </c>
      <c r="D112" s="157" t="s">
        <v>26</v>
      </c>
      <c r="E112" s="158" t="s">
        <v>125</v>
      </c>
      <c r="F112" s="158" t="s">
        <v>126</v>
      </c>
      <c r="G112" s="158" t="s">
        <v>127</v>
      </c>
      <c r="H112" s="158" t="s">
        <v>128</v>
      </c>
      <c r="I112" s="158" t="s">
        <v>29</v>
      </c>
      <c r="J112" s="195" t="str">
        <f>Table!$C$36</f>
        <v>OPL</v>
      </c>
      <c r="K112" s="195" t="str">
        <f>Table!$C$37</f>
        <v>Defect</v>
      </c>
    </row>
    <row r="113" spans="1:11" x14ac:dyDescent="0.25">
      <c r="C113" s="50">
        <v>1</v>
      </c>
      <c r="D113" s="41" t="str">
        <f>Table!$D$3</f>
        <v>PSW</v>
      </c>
      <c r="E113" s="41">
        <f>SUMIFS(Merged_COEM!$W$48:$W$422,Merged_COEM!$D$48:$D$422,D113, Merged_COEM!$C$48:$C$422,C106)</f>
        <v>5080</v>
      </c>
      <c r="F113" s="41">
        <f>SUMIFS(Merged_COEM!$X$48:$X$422,Merged_COEM!$D$48:$D$422,D113, Merged_COEM!$C$48:$C$422,C106)-SUM(SUMIFS(Merged_COEM!$X$48:$X$422,Merged_COEM!$D$48:$D$422,Table!$D$3,Merged_COEM!$AA$48:$AA$422,{"Ongoing","N/A",""},Merged_COEM!$C$48:$C$422,C106))</f>
        <v>5080</v>
      </c>
      <c r="G113" s="41">
        <f>1/8*(SUMIFS(Merged_COEM!$Y$48:$Y$422,Merged_COEM!$D$48:$D$422,D113, Merged_COEM!$C$48:$C$422,C106))</f>
        <v>11.27</v>
      </c>
      <c r="H113" s="41">
        <f>1/8*(SUMIFS(Merged_COEM!$Z$48:$Z$422,Merged_COEM!$D$48:$D$422,D113, Merged_COEM!$C$48:$C$422,C106)-SUM(SUMIFS(Merged_COEM!$Z$48:$Z$422,Merged_COEM!$D$48:$D$422,D113,Merged_COEM!$AA$48:$AA$422,{"Ongoing","N/A",""},Merged_COEM!$C$48:$C$422,C106)))</f>
        <v>6.0250000000000004</v>
      </c>
      <c r="I113" s="42">
        <f>IFERROR(F113/E113,"N/A")</f>
        <v>1</v>
      </c>
      <c r="J113" s="3">
        <f>COUNTIFS(Merged_COEM!$AK$48:$AK$422,J112,Merged_COEM!$D$48:$D$422,D113,Merged_COEM!$C$48:$C$422,C106)</f>
        <v>2</v>
      </c>
      <c r="K113" s="3">
        <f>COUNTIFS(Merged_COEM!$AK$48:$AK$422,K112,Merged_COEM!$D$48:$D$422,D113,Merged_COEM!$C$48:$C$422,C106)</f>
        <v>0</v>
      </c>
    </row>
    <row r="114" spans="1:11" x14ac:dyDescent="0.25">
      <c r="C114" s="50">
        <v>2</v>
      </c>
      <c r="D114" s="41" t="str">
        <f>Table!$C$3</f>
        <v>ASW</v>
      </c>
      <c r="E114" s="41">
        <f>SUMIFS(Merged_COEM!$W$48:$W$422,Merged_COEM!$D$48:$D$422,D114, Merged_COEM!$C$48:$C$422,C106)</f>
        <v>0</v>
      </c>
      <c r="F114" s="41">
        <f>SUMIFS(Merged_COEM!$X$48:$X$422,Merged_COEM!$D$48:$D$422,D114, Merged_COEM!$C$48:$C$422,C106)-SUM(SUMIFS(Merged_COEM!$X$48:$X$422,Merged_COEM!$D$48:$D$422,D114,Merged_COEM!$AA$48:$AA$422,{"Ongoing","N/A",""},Merged_COEM!$C$48:$C$422,C106))</f>
        <v>0</v>
      </c>
      <c r="G114" s="41">
        <f>1/8*(SUMIFS(Merged_COEM!$Y$48:$Y$422,Merged_COEM!$D$48:$D$422,D114, Merged_COEM!$C$48:$C$422,C106))</f>
        <v>0</v>
      </c>
      <c r="H114" s="41">
        <f>1/8*(SUMIFS(Merged_COEM!$Z$48:$Z$422,Merged_COEM!$D$48:$D$422,D114, Merged_COEM!$C$48:$C$422,C106)-SUM(SUMIFS(Merged_COEM!$Z$48:$Z$422,Merged_COEM!$D$48:$D$422,D114,Merged_COEM!$AA$48:$AA$422,{"Ongoing","N/A",""},Merged_COEM!$C$48:$C$422,C106)))</f>
        <v>0</v>
      </c>
      <c r="I114" s="42" t="str">
        <f>IFERROR(F114/E114,"N/A")</f>
        <v>N/A</v>
      </c>
      <c r="J114" s="3">
        <f>COUNTIFS(Merged_COEM!$AK$48:$AK$422,J112,Merged_COEM!$D$48:$D$422,D114,Merged_COEM!$C$48:$C$422,C106)</f>
        <v>0</v>
      </c>
      <c r="K114" s="3">
        <f>COUNTIFS(Merged_COEM!$AK$48:$AK$422,K112,Merged_COEM!$D$48:$D$422,D114,Merged_COEM!$C$48:$C$422,C106)</f>
        <v>0</v>
      </c>
    </row>
    <row r="116" spans="1:11" x14ac:dyDescent="0.25">
      <c r="C116" t="s">
        <v>130</v>
      </c>
    </row>
    <row r="117" spans="1:11" x14ac:dyDescent="0.25">
      <c r="D117" s="160" t="s">
        <v>135</v>
      </c>
    </row>
    <row r="119" spans="1:11" x14ac:dyDescent="0.25">
      <c r="A119" s="156">
        <v>10</v>
      </c>
      <c r="B119" s="156" t="s">
        <v>56</v>
      </c>
      <c r="C119" s="156">
        <v>20200515</v>
      </c>
    </row>
    <row r="120" spans="1:11" x14ac:dyDescent="0.25">
      <c r="B120" s="156" t="s">
        <v>123</v>
      </c>
      <c r="C120">
        <f>SUM(G126:G127)</f>
        <v>4.7949999999999999</v>
      </c>
      <c r="D120" t="s">
        <v>124</v>
      </c>
    </row>
    <row r="121" spans="1:11" x14ac:dyDescent="0.25">
      <c r="B121" s="156" t="s">
        <v>133</v>
      </c>
      <c r="C121">
        <f>SUM(INT((WEEKDAY(F121-{2,3,4,5,6})+H121-F121)/7))</f>
        <v>4</v>
      </c>
      <c r="D121" t="s">
        <v>124</v>
      </c>
      <c r="E121" t="s">
        <v>166</v>
      </c>
      <c r="F121" s="6">
        <v>43966</v>
      </c>
      <c r="G121" s="6" t="s">
        <v>122</v>
      </c>
      <c r="H121" s="6">
        <v>43971</v>
      </c>
    </row>
    <row r="122" spans="1:11" x14ac:dyDescent="0.25">
      <c r="B122" s="156" t="s">
        <v>134</v>
      </c>
      <c r="C122">
        <f>SUM(INT((WEEKDAY(F122-{2,3,4,5,6})+H122-F122)/7))</f>
        <v>2</v>
      </c>
      <c r="D122" t="s">
        <v>124</v>
      </c>
      <c r="E122" t="s">
        <v>166</v>
      </c>
      <c r="F122" s="6">
        <v>43966</v>
      </c>
      <c r="G122" s="6" t="s">
        <v>122</v>
      </c>
      <c r="H122" s="6">
        <v>43969</v>
      </c>
    </row>
    <row r="123" spans="1:11" x14ac:dyDescent="0.25">
      <c r="B123" s="156" t="s">
        <v>17</v>
      </c>
      <c r="C123" t="str">
        <f>IF(SUM(H126:H127)&gt;SUM(G126:G127),"Delayed",IF(SUM(H126:H127)&lt;SUM(G126:G127),"InAdvanced","Ontime"))</f>
        <v>InAdvanced</v>
      </c>
      <c r="F123" s="6"/>
      <c r="G123" s="6"/>
      <c r="H123" s="6"/>
    </row>
    <row r="125" spans="1:11" ht="45" x14ac:dyDescent="0.25">
      <c r="C125" s="157" t="s">
        <v>25</v>
      </c>
      <c r="D125" s="157" t="s">
        <v>26</v>
      </c>
      <c r="E125" s="158" t="s">
        <v>125</v>
      </c>
      <c r="F125" s="158" t="s">
        <v>126</v>
      </c>
      <c r="G125" s="158" t="s">
        <v>127</v>
      </c>
      <c r="H125" s="158" t="s">
        <v>128</v>
      </c>
      <c r="I125" s="158" t="s">
        <v>29</v>
      </c>
      <c r="J125" s="195" t="str">
        <f>Table!$C$36</f>
        <v>OPL</v>
      </c>
      <c r="K125" s="195" t="str">
        <f>Table!$C$37</f>
        <v>Defect</v>
      </c>
    </row>
    <row r="126" spans="1:11" x14ac:dyDescent="0.25">
      <c r="C126" s="50">
        <v>1</v>
      </c>
      <c r="D126" s="41" t="str">
        <f>Table!$D$3</f>
        <v>PSW</v>
      </c>
      <c r="E126" s="41">
        <f>SUMIFS(Merged_COEM!$W$48:$W$422,Merged_COEM!$D$48:$D$422,D126, Merged_COEM!$C$48:$C$422,C119)</f>
        <v>2161</v>
      </c>
      <c r="F126" s="41">
        <f>SUMIFS(Merged_COEM!$X$48:$X$422,Merged_COEM!$D$48:$D$422,D126, Merged_COEM!$C$48:$C$422,C119)-SUM(SUMIFS(Merged_COEM!$X$48:$X$422,Merged_COEM!$D$48:$D$422,Table!$D$3,Merged_COEM!$AA$48:$AA$422,{"Ongoing","N/A",""},Merged_COEM!$C$48:$C$422,C119))</f>
        <v>2161</v>
      </c>
      <c r="G126" s="41">
        <f>1/8*(SUMIFS(Merged_COEM!$Y$48:$Y$422,Merged_COEM!$D$48:$D$422,D126, Merged_COEM!$C$48:$C$422,C119))</f>
        <v>4.7949999999999999</v>
      </c>
      <c r="H126" s="41">
        <f>1/8*(SUMIFS(Merged_COEM!$Z$48:$Z$422,Merged_COEM!$D$48:$D$422,D126, Merged_COEM!$C$48:$C$422,C119)-SUM(SUMIFS(Merged_COEM!$Z$48:$Z$422,Merged_COEM!$D$48:$D$422,D126,Merged_COEM!$AA$48:$AA$422,{"Ongoing","N/A",""},Merged_COEM!$C$48:$C$422,C119)))</f>
        <v>2.7925</v>
      </c>
      <c r="I126" s="42">
        <f>IFERROR(F126/E126,"N/A")</f>
        <v>1</v>
      </c>
      <c r="J126" s="3">
        <f>COUNTIFS(Merged_COEM!$AK$48:$AK$422,J125,Merged_COEM!$D$48:$D$422,D126,Merged_COEM!$C$48:$C$422,C119)</f>
        <v>2</v>
      </c>
      <c r="K126" s="3">
        <f>COUNTIFS(Merged_COEM!$AK$48:$AK$422,K125,Merged_COEM!$D$48:$D$422,D126,Merged_COEM!$C$48:$C$422,C119)</f>
        <v>0</v>
      </c>
    </row>
    <row r="127" spans="1:11" x14ac:dyDescent="0.25">
      <c r="C127" s="50">
        <v>2</v>
      </c>
      <c r="D127" s="41" t="str">
        <f>Table!$C$3</f>
        <v>ASW</v>
      </c>
      <c r="E127" s="41">
        <f>SUMIFS(Merged_COEM!$W$48:$W$422,Merged_COEM!$D$48:$D$422,D127, Merged_COEM!$C$48:$C$422,C119)</f>
        <v>0</v>
      </c>
      <c r="F127" s="41">
        <f>SUMIFS(Merged_COEM!$X$48:$X$422,Merged_COEM!$D$48:$D$422,D127, Merged_COEM!$C$48:$C$422,C119)-SUM(SUMIFS(Merged_COEM!$X$48:$X$422,Merged_COEM!$D$48:$D$422,D127,Merged_COEM!$AA$48:$AA$422,{"Ongoing","N/A",""},Merged_COEM!$C$48:$C$422,C119))</f>
        <v>0</v>
      </c>
      <c r="G127" s="41">
        <f>1/8*(SUMIFS(Merged_COEM!$Y$48:$Y$422,Merged_COEM!$D$48:$D$422,D127, Merged_COEM!$C$48:$C$422,C119))</f>
        <v>0</v>
      </c>
      <c r="H127" s="41">
        <f>1/8*(SUMIFS(Merged_COEM!$Z$48:$Z$422,Merged_COEM!$D$48:$D$422,D127, Merged_COEM!$C$48:$C$422,C119)-SUM(SUMIFS(Merged_COEM!$Z$48:$Z$422,Merged_COEM!$D$48:$D$422,D127,Merged_COEM!$AA$48:$AA$422,{"Ongoing","N/A",""},Merged_COEM!$C$48:$C$422,C119)))</f>
        <v>0</v>
      </c>
      <c r="I127" s="42" t="str">
        <f>IFERROR(F127/E127,"N/A")</f>
        <v>N/A</v>
      </c>
      <c r="J127" s="3">
        <f>COUNTIFS(Merged_COEM!$AK$48:$AK$422,J125,Merged_COEM!$D$48:$D$422,D127,Merged_COEM!$C$48:$C$422,C119)</f>
        <v>0</v>
      </c>
      <c r="K127" s="3">
        <f>COUNTIFS(Merged_COEM!$AK$48:$AK$422,K125,Merged_COEM!$D$48:$D$422,D127,Merged_COEM!$C$48:$C$422,C119)</f>
        <v>0</v>
      </c>
    </row>
    <row r="129" spans="1:11" x14ac:dyDescent="0.25">
      <c r="C129" t="s">
        <v>130</v>
      </c>
    </row>
    <row r="130" spans="1:11" x14ac:dyDescent="0.25">
      <c r="D130" s="160" t="s">
        <v>135</v>
      </c>
    </row>
    <row r="132" spans="1:11" x14ac:dyDescent="0.25">
      <c r="A132" s="156">
        <v>11</v>
      </c>
      <c r="B132" s="156" t="s">
        <v>56</v>
      </c>
      <c r="C132" s="156">
        <v>20200518</v>
      </c>
    </row>
    <row r="133" spans="1:11" x14ac:dyDescent="0.25">
      <c r="B133" s="156" t="s">
        <v>123</v>
      </c>
      <c r="C133">
        <f>SUM(G139:G140)</f>
        <v>16.013749999999998</v>
      </c>
      <c r="D133" t="s">
        <v>124</v>
      </c>
    </row>
    <row r="134" spans="1:11" x14ac:dyDescent="0.25">
      <c r="B134" s="156" t="s">
        <v>133</v>
      </c>
      <c r="C134">
        <f>SUM(INT((WEEKDAY(F134-{2,3,4,5,6})+H134-F134)/7))</f>
        <v>8</v>
      </c>
      <c r="D134" t="s">
        <v>124</v>
      </c>
      <c r="E134" t="s">
        <v>166</v>
      </c>
      <c r="F134" s="6">
        <v>43969</v>
      </c>
      <c r="G134" s="6" t="s">
        <v>122</v>
      </c>
      <c r="H134" s="6">
        <v>43978</v>
      </c>
    </row>
    <row r="135" spans="1:11" x14ac:dyDescent="0.25">
      <c r="B135" s="156" t="s">
        <v>134</v>
      </c>
      <c r="C135">
        <f>SUM(INT((WEEKDAY(F135-{2,3,4,5,6})+H135-F135)/7))</f>
        <v>8</v>
      </c>
      <c r="D135" t="s">
        <v>124</v>
      </c>
      <c r="E135" t="s">
        <v>166</v>
      </c>
      <c r="F135" s="6">
        <v>43969</v>
      </c>
      <c r="G135" s="6" t="s">
        <v>122</v>
      </c>
      <c r="H135" s="6">
        <v>43978</v>
      </c>
    </row>
    <row r="136" spans="1:11" x14ac:dyDescent="0.25">
      <c r="B136" s="156" t="s">
        <v>17</v>
      </c>
      <c r="C136" t="str">
        <f>IF(SUM(H139:H140)&gt;SUM(G139:G140),"Delayed",IF(SUM(H139:H140)&lt;SUM(G139:G140),"InAdvanced","Ontime"))</f>
        <v>InAdvanced</v>
      </c>
      <c r="F136" s="6"/>
      <c r="G136" s="6"/>
      <c r="H136" s="6"/>
    </row>
    <row r="138" spans="1:11" ht="45" x14ac:dyDescent="0.25">
      <c r="C138" s="157" t="s">
        <v>25</v>
      </c>
      <c r="D138" s="157" t="s">
        <v>26</v>
      </c>
      <c r="E138" s="158" t="s">
        <v>125</v>
      </c>
      <c r="F138" s="158" t="s">
        <v>126</v>
      </c>
      <c r="G138" s="158" t="s">
        <v>127</v>
      </c>
      <c r="H138" s="158" t="s">
        <v>128</v>
      </c>
      <c r="I138" s="158" t="s">
        <v>29</v>
      </c>
      <c r="J138" s="195" t="str">
        <f>Table!$C$36</f>
        <v>OPL</v>
      </c>
      <c r="K138" s="195" t="str">
        <f>Table!$C$37</f>
        <v>Defect</v>
      </c>
    </row>
    <row r="139" spans="1:11" x14ac:dyDescent="0.25">
      <c r="C139" s="50">
        <v>1</v>
      </c>
      <c r="D139" s="41" t="str">
        <f>Table!$D$3</f>
        <v>PSW</v>
      </c>
      <c r="E139" s="41">
        <f>SUMIFS(Merged_COEM!$W$48:$W$422,Merged_COEM!$D$48:$D$422,D139, Merged_COEM!$C$48:$C$422,C132)</f>
        <v>7220</v>
      </c>
      <c r="F139" s="41">
        <f>SUMIFS(Merged_COEM!$X$48:$X$422,Merged_COEM!$D$48:$D$422,D139, Merged_COEM!$C$48:$C$422,C132)-SUM(SUMIFS(Merged_COEM!$X$48:$X$422,Merged_COEM!$D$48:$D$422,Table!$D$3,Merged_COEM!$AA$48:$AA$422,{"Ongoing","N/A",""},Merged_COEM!$C$48:$C$422,C132))</f>
        <v>7220</v>
      </c>
      <c r="G139" s="41">
        <f>1/8*(SUMIFS(Merged_COEM!$Y$48:$Y$422,Merged_COEM!$D$48:$D$422,D139, Merged_COEM!$C$48:$C$422,C132))</f>
        <v>16.013749999999998</v>
      </c>
      <c r="H139" s="41">
        <f>1/8*(SUMIFS(Merged_COEM!$Z$48:$Z$422,Merged_COEM!$D$48:$D$422,D139, Merged_COEM!$C$48:$C$422,C132)-SUM(SUMIFS(Merged_COEM!$Z$48:$Z$422,Merged_COEM!$D$48:$D$422,D139,Merged_COEM!$AA$48:$AA$422,{"Ongoing","N/A",""},Merged_COEM!$C$48:$C$422,C132)))</f>
        <v>9.2349999999999994</v>
      </c>
      <c r="I139" s="42">
        <f>IFERROR(F139/E139,"N/A")</f>
        <v>1</v>
      </c>
      <c r="J139" s="3">
        <f>COUNTIFS(Merged_COEM!$AK$48:$AK$422,J138,Merged_COEM!$D$48:$D$422,D139,Merged_COEM!$C$48:$C$422,C132)</f>
        <v>8</v>
      </c>
      <c r="K139" s="3">
        <f>COUNTIFS(Merged_COEM!$AK$48:$AK$422,K138,Merged_COEM!$D$48:$D$422,D139,Merged_COEM!$C$48:$C$422,C132)</f>
        <v>0</v>
      </c>
    </row>
    <row r="140" spans="1:11" x14ac:dyDescent="0.25">
      <c r="C140" s="50">
        <v>2</v>
      </c>
      <c r="D140" s="41" t="str">
        <f>Table!$C$3</f>
        <v>ASW</v>
      </c>
      <c r="E140" s="41">
        <f>SUMIFS(Merged_COEM!$W$48:$W$422,Merged_COEM!$D$48:$D$422,D140, Merged_COEM!$C$48:$C$422,C132)</f>
        <v>0</v>
      </c>
      <c r="F140" s="41">
        <f>SUMIFS(Merged_COEM!$X$48:$X$422,Merged_COEM!$D$48:$D$422,D140, Merged_COEM!$C$48:$C$422,C132)-SUM(SUMIFS(Merged_COEM!$X$48:$X$422,Merged_COEM!$D$48:$D$422,D140,Merged_COEM!$AA$48:$AA$422,{"Ongoing","N/A",""},Merged_COEM!$C$48:$C$422,C132))</f>
        <v>0</v>
      </c>
      <c r="G140" s="41">
        <f>1/8*(SUMIFS(Merged_COEM!$Y$48:$Y$422,Merged_COEM!$D$48:$D$422,D140, Merged_COEM!$C$48:$C$422,C132))</f>
        <v>0</v>
      </c>
      <c r="H140" s="41">
        <f>1/8*(SUMIFS(Merged_COEM!$Z$48:$Z$422,Merged_COEM!$D$48:$D$422,D140, Merged_COEM!$C$48:$C$422,C132)-SUM(SUMIFS(Merged_COEM!$Z$48:$Z$422,Merged_COEM!$D$48:$D$422,D140,Merged_COEM!$AA$48:$AA$422,{"Ongoing","N/A",""},Merged_COEM!$C$48:$C$422,C132)))</f>
        <v>0</v>
      </c>
      <c r="I140" s="42" t="str">
        <f>IFERROR(F140/E140,"N/A")</f>
        <v>N/A</v>
      </c>
      <c r="J140" s="3">
        <f>COUNTIFS(Merged_COEM!$AK$48:$AK$422,J138,Merged_COEM!$D$48:$D$422,D140,Merged_COEM!$C$48:$C$422,C132)</f>
        <v>0</v>
      </c>
      <c r="K140" s="3">
        <f>COUNTIFS(Merged_COEM!$AK$48:$AK$422,K138,Merged_COEM!$D$48:$D$422,D140,Merged_COEM!$C$48:$C$422,C132)</f>
        <v>0</v>
      </c>
    </row>
    <row r="142" spans="1:11" x14ac:dyDescent="0.25">
      <c r="C142" t="s">
        <v>130</v>
      </c>
    </row>
    <row r="143" spans="1:11" x14ac:dyDescent="0.25">
      <c r="D143" s="160" t="s">
        <v>135</v>
      </c>
    </row>
    <row r="145" spans="1:11" x14ac:dyDescent="0.25">
      <c r="A145" s="156">
        <v>12</v>
      </c>
      <c r="B145" s="156" t="s">
        <v>56</v>
      </c>
      <c r="C145" s="156">
        <v>20200519</v>
      </c>
    </row>
    <row r="146" spans="1:11" x14ac:dyDescent="0.25">
      <c r="B146" s="156" t="s">
        <v>123</v>
      </c>
      <c r="C146">
        <f>SUM(G152:G153)</f>
        <v>8.5362500000000008</v>
      </c>
      <c r="D146" t="s">
        <v>124</v>
      </c>
    </row>
    <row r="147" spans="1:11" x14ac:dyDescent="0.25">
      <c r="B147" s="156" t="s">
        <v>133</v>
      </c>
      <c r="C147">
        <f>SUM(INT((WEEKDAY(F147-{2,3,4,5,6})+H147-F147)/7))</f>
        <v>6</v>
      </c>
      <c r="D147" t="s">
        <v>124</v>
      </c>
      <c r="E147" t="s">
        <v>166</v>
      </c>
      <c r="F147" s="6">
        <v>43970</v>
      </c>
      <c r="G147" s="6" t="s">
        <v>122</v>
      </c>
      <c r="H147" s="6">
        <v>43977</v>
      </c>
    </row>
    <row r="148" spans="1:11" x14ac:dyDescent="0.25">
      <c r="B148" s="156" t="s">
        <v>134</v>
      </c>
      <c r="C148">
        <f>SUM(INT((WEEKDAY(F148-{2,3,4,5,6})+H148-F148)/7))</f>
        <v>6</v>
      </c>
      <c r="D148" t="s">
        <v>124</v>
      </c>
      <c r="E148" t="s">
        <v>166</v>
      </c>
      <c r="F148" s="6">
        <v>43970</v>
      </c>
      <c r="G148" s="6" t="s">
        <v>122</v>
      </c>
      <c r="H148" s="6">
        <v>43977</v>
      </c>
    </row>
    <row r="149" spans="1:11" x14ac:dyDescent="0.25">
      <c r="B149" s="156" t="s">
        <v>17</v>
      </c>
      <c r="C149" t="str">
        <f>IF(SUM(H152:H153)&gt;SUM(G152:G153),"Delayed",IF(SUM(H152:H153)&lt;SUM(G152:G153),"InAdvanced","Ontime"))</f>
        <v>InAdvanced</v>
      </c>
      <c r="F149" s="6"/>
      <c r="G149" s="6"/>
      <c r="H149" s="6"/>
    </row>
    <row r="151" spans="1:11" ht="45" x14ac:dyDescent="0.25">
      <c r="C151" s="157" t="s">
        <v>25</v>
      </c>
      <c r="D151" s="157" t="s">
        <v>26</v>
      </c>
      <c r="E151" s="158" t="s">
        <v>125</v>
      </c>
      <c r="F151" s="158" t="s">
        <v>126</v>
      </c>
      <c r="G151" s="158" t="s">
        <v>127</v>
      </c>
      <c r="H151" s="158" t="s">
        <v>128</v>
      </c>
      <c r="I151" s="158" t="s">
        <v>29</v>
      </c>
      <c r="J151" s="195" t="str">
        <f>Table!$C$36</f>
        <v>OPL</v>
      </c>
      <c r="K151" s="195" t="str">
        <f>Table!$C$37</f>
        <v>Defect</v>
      </c>
    </row>
    <row r="152" spans="1:11" x14ac:dyDescent="0.25">
      <c r="C152" s="50">
        <v>1</v>
      </c>
      <c r="D152" s="41" t="str">
        <f>Table!$D$3</f>
        <v>PSW</v>
      </c>
      <c r="E152" s="41">
        <f>SUMIFS(Merged_COEM!$W$48:$W$422,Merged_COEM!$D$48:$D$422,D152, Merged_COEM!$C$48:$C$422,C145)</f>
        <v>3707</v>
      </c>
      <c r="F152" s="41">
        <f>SUMIFS(Merged_COEM!$X$48:$X$422,Merged_COEM!$D$48:$D$422,D152, Merged_COEM!$C$48:$C$422,C145)-SUM(SUMIFS(Merged_COEM!$X$48:$X$422,Merged_COEM!$D$48:$D$422,Table!$D$3,Merged_COEM!$AA$48:$AA$422,{"Ongoing","N/A",""},Merged_COEM!$C$48:$C$422,C145))</f>
        <v>1977</v>
      </c>
      <c r="G152" s="41">
        <f>1/8*(SUMIFS(Merged_COEM!$Y$48:$Y$422,Merged_COEM!$D$48:$D$422,D152, Merged_COEM!$C$48:$C$422,C145))</f>
        <v>8.2225000000000001</v>
      </c>
      <c r="H152" s="41">
        <f>1/8*(SUMIFS(Merged_COEM!$Z$48:$Z$422,Merged_COEM!$D$48:$D$422,D152, Merged_COEM!$C$48:$C$422,C145)-SUM(SUMIFS(Merged_COEM!$Z$48:$Z$422,Merged_COEM!$D$48:$D$422,D152,Merged_COEM!$AA$48:$AA$422,{"Ongoing","N/A",""},Merged_COEM!$C$48:$C$422,C145)))</f>
        <v>4.2424999999999997</v>
      </c>
      <c r="I152" s="42">
        <f>IFERROR(F152/E152,"N/A")</f>
        <v>0.5333153493390882</v>
      </c>
      <c r="J152" s="3">
        <f>COUNTIFS(Merged_COEM!$AK$48:$AK$422,J151,Merged_COEM!$D$48:$D$422,D152,Merged_COEM!$C$48:$C$422,C145)</f>
        <v>5</v>
      </c>
      <c r="K152" s="3">
        <f>COUNTIFS(Merged_COEM!$AK$48:$AK$422,K151,Merged_COEM!$D$48:$D$422,D152,Merged_COEM!$C$48:$C$422,C145)</f>
        <v>0</v>
      </c>
    </row>
    <row r="153" spans="1:11" x14ac:dyDescent="0.25">
      <c r="C153" s="50">
        <v>2</v>
      </c>
      <c r="D153" s="41" t="str">
        <f>Table!$C$3</f>
        <v>ASW</v>
      </c>
      <c r="E153" s="41">
        <f>SUMIFS(Merged_COEM!$W$48:$W$422,Merged_COEM!$D$48:$D$422,D153, Merged_COEM!$C$48:$C$422,C145)</f>
        <v>41</v>
      </c>
      <c r="F153" s="41">
        <f>SUMIFS(Merged_COEM!$X$48:$X$422,Merged_COEM!$D$48:$D$422,D153, Merged_COEM!$C$48:$C$422,C145)-SUM(SUMIFS(Merged_COEM!$X$48:$X$422,Merged_COEM!$D$48:$D$422,D153,Merged_COEM!$AA$48:$AA$422,{"Ongoing","N/A",""},Merged_COEM!$C$48:$C$422,C145))</f>
        <v>21</v>
      </c>
      <c r="G153" s="41">
        <f>1/8*(SUMIFS(Merged_COEM!$Y$48:$Y$422,Merged_COEM!$D$48:$D$422,D153, Merged_COEM!$C$48:$C$422,C145))</f>
        <v>0.31374999999999997</v>
      </c>
      <c r="H153" s="41">
        <f>1/8*(SUMIFS(Merged_COEM!$Z$48:$Z$422,Merged_COEM!$D$48:$D$422,D153, Merged_COEM!$C$48:$C$422,C145)-SUM(SUMIFS(Merged_COEM!$Z$48:$Z$422,Merged_COEM!$D$48:$D$422,D153,Merged_COEM!$AA$48:$AA$422,{"Ongoing","N/A",""},Merged_COEM!$C$48:$C$422,C145)))</f>
        <v>0.125</v>
      </c>
      <c r="I153" s="42">
        <f>IFERROR(F153/E153,"N/A")</f>
        <v>0.51219512195121952</v>
      </c>
      <c r="J153" s="3">
        <f>COUNTIFS(Merged_COEM!$AK$48:$AK$422,J151,Merged_COEM!$D$48:$D$422,D153,Merged_COEM!$C$48:$C$422,C145)</f>
        <v>0</v>
      </c>
      <c r="K153" s="3">
        <f>COUNTIFS(Merged_COEM!$AK$48:$AK$422,K151,Merged_COEM!$D$48:$D$422,D153,Merged_COEM!$C$48:$C$422,C145)</f>
        <v>0</v>
      </c>
    </row>
    <row r="155" spans="1:11" x14ac:dyDescent="0.25">
      <c r="C155" t="s">
        <v>130</v>
      </c>
    </row>
    <row r="156" spans="1:11" x14ac:dyDescent="0.25">
      <c r="D156" s="160" t="s">
        <v>135</v>
      </c>
    </row>
    <row r="158" spans="1:11" x14ac:dyDescent="0.25">
      <c r="A158" s="185">
        <v>13</v>
      </c>
      <c r="B158" s="185" t="s">
        <v>56</v>
      </c>
      <c r="C158" s="185">
        <v>20200520</v>
      </c>
    </row>
    <row r="159" spans="1:11" x14ac:dyDescent="0.25">
      <c r="B159" s="185" t="s">
        <v>123</v>
      </c>
      <c r="C159">
        <f>SUM(G165:G166)</f>
        <v>26.928749999999997</v>
      </c>
      <c r="D159" t="s">
        <v>124</v>
      </c>
    </row>
    <row r="160" spans="1:11" x14ac:dyDescent="0.25">
      <c r="B160" s="185" t="s">
        <v>133</v>
      </c>
      <c r="C160">
        <f>SUM(INT((WEEKDAY(F160-{2,3,4,5,6})+H160-F160)/7))</f>
        <v>11</v>
      </c>
      <c r="D160" t="s">
        <v>124</v>
      </c>
      <c r="E160" t="s">
        <v>166</v>
      </c>
      <c r="F160" s="6">
        <v>43971</v>
      </c>
      <c r="G160" s="6" t="s">
        <v>122</v>
      </c>
      <c r="H160" s="6">
        <v>43985</v>
      </c>
    </row>
    <row r="161" spans="2:11" x14ac:dyDescent="0.25">
      <c r="B161" s="185" t="s">
        <v>134</v>
      </c>
      <c r="C161">
        <f>SUM(INT((WEEKDAY(F161-{2,3,4,5,6})+H161-F161)/7))</f>
        <v>11</v>
      </c>
      <c r="D161" t="s">
        <v>124</v>
      </c>
      <c r="E161" t="s">
        <v>166</v>
      </c>
      <c r="F161" s="6">
        <v>43971</v>
      </c>
      <c r="G161" s="6" t="s">
        <v>122</v>
      </c>
      <c r="H161" s="6">
        <v>43985</v>
      </c>
    </row>
    <row r="162" spans="2:11" x14ac:dyDescent="0.25">
      <c r="B162" s="185" t="s">
        <v>17</v>
      </c>
      <c r="C162" t="str">
        <f>IF(SUM(H165:H166)&gt;SUM(G165:G166),"Delayed",IF(SUM(H165:H166)&lt;SUM(G165:G166),"InAdvanced","Ontime"))</f>
        <v>InAdvanced</v>
      </c>
      <c r="F162" s="6"/>
      <c r="G162" s="6"/>
      <c r="H162" s="6"/>
    </row>
    <row r="164" spans="2:11" ht="45" x14ac:dyDescent="0.25">
      <c r="C164" s="186" t="s">
        <v>25</v>
      </c>
      <c r="D164" s="186" t="s">
        <v>26</v>
      </c>
      <c r="E164" s="187" t="s">
        <v>125</v>
      </c>
      <c r="F164" s="187" t="s">
        <v>126</v>
      </c>
      <c r="G164" s="187" t="s">
        <v>127</v>
      </c>
      <c r="H164" s="187" t="s">
        <v>128</v>
      </c>
      <c r="I164" s="187" t="s">
        <v>29</v>
      </c>
      <c r="J164" s="195" t="str">
        <f>Table!$C$36</f>
        <v>OPL</v>
      </c>
      <c r="K164" s="195" t="str">
        <f>Table!$C$37</f>
        <v>Defect</v>
      </c>
    </row>
    <row r="165" spans="2:11" x14ac:dyDescent="0.25">
      <c r="C165" s="50">
        <v>1</v>
      </c>
      <c r="D165" s="41" t="str">
        <f>Table!$D$3</f>
        <v>PSW</v>
      </c>
      <c r="E165" s="41">
        <f>SUMIFS(Merged_COEM!$W$48:$W$422,Merged_COEM!$D$48:$D$422,D165, Merged_COEM!$C$48:$C$422,C158)</f>
        <v>12124</v>
      </c>
      <c r="F165" s="41">
        <f>SUMIFS(Merged_COEM!$X$48:$X$422,Merged_COEM!$D$48:$D$422,D165, Merged_COEM!$C$48:$C$422,C158)-SUM(SUMIFS(Merged_COEM!$X$48:$X$422,Merged_COEM!$D$48:$D$422,Table!$D$3,Merged_COEM!$AA$48:$AA$422,{"Ongoing","N/A",""},Merged_COEM!$C$48:$C$422,C158))</f>
        <v>4916</v>
      </c>
      <c r="G165" s="41">
        <f>1/8*(SUMIFS(Merged_COEM!$Y$48:$Y$422,Merged_COEM!$D$48:$D$422,D165, Merged_COEM!$C$48:$C$422,C158))</f>
        <v>26.928749999999997</v>
      </c>
      <c r="H165" s="41">
        <f>1/8*(SUMIFS(Merged_COEM!$Z$48:$Z$422,Merged_COEM!$D$48:$D$422,D165, Merged_COEM!$C$48:$C$422,C158)-SUM(SUMIFS(Merged_COEM!$Z$48:$Z$422,Merged_COEM!$D$48:$D$422,D165,Merged_COEM!$AA$48:$AA$422,{"Ongoing","N/A",""},Merged_COEM!$C$48:$C$422,C158)))</f>
        <v>5.9787500000000007</v>
      </c>
      <c r="I165" s="42">
        <f>IFERROR(F165/E165,"N/A")</f>
        <v>0.40547674034971959</v>
      </c>
      <c r="J165" s="3">
        <f>COUNTIFS(Merged_COEM!$AK$48:$AK$422,J164,Merged_COEM!$D$48:$D$422,D165,Merged_COEM!$C$48:$C$422,C158)</f>
        <v>0</v>
      </c>
      <c r="K165" s="3">
        <f>COUNTIFS(Merged_COEM!$AK$48:$AK$422,K164,Merged_COEM!$D$48:$D$422,D165,Merged_COEM!$C$48:$C$422,C158)</f>
        <v>0</v>
      </c>
    </row>
    <row r="166" spans="2:11" x14ac:dyDescent="0.25">
      <c r="C166" s="50">
        <v>2</v>
      </c>
      <c r="D166" s="41" t="str">
        <f>Table!$C$3</f>
        <v>ASW</v>
      </c>
      <c r="E166" s="41">
        <f>SUMIFS(Merged_COEM!$W$48:$W$422,Merged_COEM!$D$48:$D$422,D166, Merged_COEM!$C$48:$C$422,C158)</f>
        <v>0</v>
      </c>
      <c r="F166" s="41">
        <f>SUMIFS(Merged_COEM!$X$48:$X$422,Merged_COEM!$D$48:$D$422,D166, Merged_COEM!$C$48:$C$422,C158)-SUM(SUMIFS(Merged_COEM!$X$48:$X$422,Merged_COEM!$D$48:$D$422,D166,Merged_COEM!$AA$48:$AA$422,{"Ongoing","N/A",""},Merged_COEM!$C$48:$C$422,C158))</f>
        <v>0</v>
      </c>
      <c r="G166" s="41">
        <f>1/8*(SUMIFS(Merged_COEM!$Y$48:$Y$422,Merged_COEM!$D$48:$D$422,D166, Merged_COEM!$C$48:$C$422,C158))</f>
        <v>0</v>
      </c>
      <c r="H166" s="41">
        <f>1/8*(SUMIFS(Merged_COEM!$Z$48:$Z$422,Merged_COEM!$D$48:$D$422,D166, Merged_COEM!$C$48:$C$422,C158)-SUM(SUMIFS(Merged_COEM!$Z$48:$Z$422,Merged_COEM!$D$48:$D$422,D166,Merged_COEM!$AA$48:$AA$422,{"Ongoing","N/A",""},Merged_COEM!$C$48:$C$422,C158)))</f>
        <v>0</v>
      </c>
      <c r="I166" s="42" t="str">
        <f>IFERROR(F166/E166,"N/A")</f>
        <v>N/A</v>
      </c>
      <c r="J166" s="3">
        <f>COUNTIFS(Merged_COEM!$AK$48:$AK$422,J164,Merged_COEM!$D$48:$D$422,D166,Merged_COEM!$C$48:$C$422,C158)</f>
        <v>0</v>
      </c>
      <c r="K166" s="3">
        <f>COUNTIFS(Merged_COEM!$AK$48:$AK$422,K164,Merged_COEM!$D$48:$D$422,D166,Merged_COEM!$C$48:$C$422,C158)</f>
        <v>0</v>
      </c>
    </row>
    <row r="168" spans="2:11" x14ac:dyDescent="0.25">
      <c r="C168" t="s">
        <v>130</v>
      </c>
    </row>
    <row r="169" spans="2:11" x14ac:dyDescent="0.25">
      <c r="D169" s="188" t="s">
        <v>135</v>
      </c>
    </row>
  </sheetData>
  <customSheetViews>
    <customSheetView guid="{250915DF-0B97-45D7-B29D-7EED4C89C1C1}" scale="85" topLeftCell="A142">
      <selection activeCell="I172" sqref="I172"/>
      <pageMargins left="0.7" right="0.7" top="0.75" bottom="0.75" header="0.3" footer="0.3"/>
      <pageSetup orientation="portrait" r:id="rId1"/>
    </customSheetView>
    <customSheetView guid="{7E0EA425-A420-4443-B9E0-CDF0AA9E5D09}" scale="85">
      <selection activeCell="K22" sqref="K22"/>
      <pageMargins left="0.7" right="0.7" top="0.75" bottom="0.75" header="0.3" footer="0.3"/>
      <pageSetup orientation="portrait" r:id="rId2"/>
    </customSheetView>
    <customSheetView guid="{3B3E6719-EACB-4D2C-89C1-05FFAB6020FD}" scale="85" topLeftCell="A151">
      <selection activeCell="A178" sqref="A178:XFD178"/>
      <pageMargins left="0.7" right="0.7" top="0.75" bottom="0.75" header="0.3" footer="0.3"/>
      <pageSetup orientation="portrait" r:id="rId3"/>
    </customSheetView>
    <customSheetView guid="{72A6EB0A-84D5-4B8A-AC51-54CCD061630B}" scale="85">
      <selection activeCell="E9" sqref="E9"/>
      <pageMargins left="0.7" right="0.7" top="0.75" bottom="0.75" header="0.3" footer="0.3"/>
      <pageSetup orientation="portrait" r:id="rId4"/>
    </customSheetView>
    <customSheetView guid="{4E06BDBF-2CED-473B-850B-2A6C7311FF41}" scale="85">
      <selection activeCell="R10" sqref="R10"/>
      <pageMargins left="0.7" right="0.7" top="0.75" bottom="0.75" header="0.3" footer="0.3"/>
      <pageSetup orientation="portrait" r:id="rId5"/>
    </customSheetView>
    <customSheetView guid="{7ECC2B8E-6A82-42F5-8AB0-4A51C54EA5EC}" scale="85" topLeftCell="A19">
      <selection activeCell="M30" sqref="M30"/>
      <pageMargins left="0.7" right="0.7" top="0.75" bottom="0.75" header="0.3" footer="0.3"/>
      <pageSetup orientation="portrait" r:id="rId6"/>
    </customSheetView>
    <customSheetView guid="{A2C66332-A809-458E-971B-FDB6D62C74C3}" scale="85">
      <selection activeCell="G160" sqref="G160"/>
      <pageMargins left="0.7" right="0.7" top="0.75" bottom="0.75" header="0.3" footer="0.3"/>
      <pageSetup orientation="portrait" r:id="rId7"/>
    </customSheetView>
    <customSheetView guid="{60D2C030-4E31-4E07-8E1C-44D2EE84B177}" scale="85">
      <selection activeCell="R10" sqref="R10"/>
      <pageMargins left="0.7" right="0.7" top="0.75" bottom="0.75" header="0.3" footer="0.3"/>
      <pageSetup orientation="portrait" r:id="rId8"/>
    </customSheetView>
    <customSheetView guid="{D33AC7AF-C8AB-4CE9-94C7-9237011A5FC3}" scale="85" topLeftCell="A151">
      <selection activeCell="A177" sqref="A177:I187"/>
      <pageMargins left="0.7" right="0.7" top="0.75" bottom="0.75" header="0.3" footer="0.3"/>
      <pageSetup orientation="portrait" r:id="rId9"/>
    </customSheetView>
    <customSheetView guid="{336B6883-2145-4B58-921E-CEC7185A847E}" topLeftCell="A10">
      <selection activeCell="L50" sqref="L50"/>
      <pageMargins left="0.7" right="0.7" top="0.75" bottom="0.75" header="0.3" footer="0.3"/>
    </customSheetView>
  </customSheetViews>
  <pageMargins left="0.7" right="0.7" top="0.75" bottom="0.75" header="0.3" footer="0.3"/>
  <pageSetup orientation="portrait" r:id="rId1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40"/>
  <sheetViews>
    <sheetView topLeftCell="A13" workbookViewId="0">
      <selection activeCell="J22" sqref="J22"/>
    </sheetView>
  </sheetViews>
  <sheetFormatPr defaultRowHeight="15" x14ac:dyDescent="0.25"/>
  <cols>
    <col min="3" max="3" width="5" customWidth="1"/>
    <col min="5" max="5" width="10" customWidth="1"/>
    <col min="6" max="6" width="13.140625" customWidth="1"/>
    <col min="8" max="8" width="15.140625" customWidth="1"/>
    <col min="9" max="9" width="23.5703125" customWidth="1"/>
  </cols>
  <sheetData>
    <row r="2" spans="1:11" x14ac:dyDescent="0.25">
      <c r="A2" s="1">
        <f>1</f>
        <v>1</v>
      </c>
      <c r="B2" s="1" t="s">
        <v>56</v>
      </c>
      <c r="C2" s="1" t="s">
        <v>503</v>
      </c>
    </row>
    <row r="3" spans="1:11" x14ac:dyDescent="0.25">
      <c r="B3" s="1" t="s">
        <v>123</v>
      </c>
      <c r="C3" s="35">
        <f>SUM(G9:G10)</f>
        <v>10.860500000000005</v>
      </c>
      <c r="D3" t="s">
        <v>124</v>
      </c>
    </row>
    <row r="4" spans="1:11" x14ac:dyDescent="0.25">
      <c r="B4" s="1" t="s">
        <v>133</v>
      </c>
      <c r="C4">
        <f>SUM(INT((WEEKDAY(F4-{2,3,4,5,6})+H4-F4)/7))-2</f>
        <v>7</v>
      </c>
      <c r="D4" t="s">
        <v>124</v>
      </c>
      <c r="E4" t="s">
        <v>131</v>
      </c>
      <c r="F4" s="6">
        <v>43948</v>
      </c>
      <c r="G4" s="6" t="s">
        <v>122</v>
      </c>
      <c r="H4" s="6">
        <v>43958</v>
      </c>
    </row>
    <row r="5" spans="1:11" x14ac:dyDescent="0.25">
      <c r="B5" s="1" t="s">
        <v>134</v>
      </c>
      <c r="C5">
        <f>SUM(INT((WEEKDAY(F5-{2,3,4,5,6})+H5-F5)/7))-2</f>
        <v>7</v>
      </c>
      <c r="D5" t="s">
        <v>124</v>
      </c>
      <c r="E5" t="s">
        <v>131</v>
      </c>
      <c r="F5" s="6">
        <v>43948</v>
      </c>
      <c r="G5" s="6" t="s">
        <v>122</v>
      </c>
      <c r="H5" s="6">
        <v>43958</v>
      </c>
    </row>
    <row r="6" spans="1:11" x14ac:dyDescent="0.25">
      <c r="B6" s="1" t="s">
        <v>17</v>
      </c>
      <c r="C6" t="str">
        <f>IF(SUM(H9:H10)&gt;SUM(G9:G10),"Delayed",IF(SUM(H9:H10)&lt;SUM(G9:G10),"InAdvanced","Ontime"))</f>
        <v>InAdvanced</v>
      </c>
      <c r="F6" s="6"/>
      <c r="G6" s="6"/>
      <c r="H6" s="6"/>
    </row>
    <row r="8" spans="1:11" ht="30" x14ac:dyDescent="0.25">
      <c r="C8" s="43" t="s">
        <v>25</v>
      </c>
      <c r="D8" s="43" t="s">
        <v>26</v>
      </c>
      <c r="E8" s="9" t="s">
        <v>125</v>
      </c>
      <c r="F8" s="9" t="s">
        <v>126</v>
      </c>
      <c r="G8" s="9" t="s">
        <v>127</v>
      </c>
      <c r="H8" s="9" t="s">
        <v>128</v>
      </c>
      <c r="I8" s="9" t="s">
        <v>29</v>
      </c>
      <c r="J8" s="195" t="str">
        <f>Table!$C$36</f>
        <v>OPL</v>
      </c>
      <c r="K8" s="195" t="str">
        <f>Table!$C$37</f>
        <v>Defect</v>
      </c>
    </row>
    <row r="9" spans="1:11" x14ac:dyDescent="0.25">
      <c r="C9" s="8">
        <v>1</v>
      </c>
      <c r="D9" s="64" t="str">
        <f>Table!$D$3</f>
        <v>PSW</v>
      </c>
      <c r="E9" s="44">
        <f>SUMIFS(Merged_JOEM!$W$48:$W$187,Merged_JOEM!$D$48:$D$187,D9, Merged_JOEM!$E$48:$E$187,C2)</f>
        <v>3852.2249999999999</v>
      </c>
      <c r="F9" s="64">
        <f>SUMIFS(Merged_JOEM!$X$48:$X$187,Merged_JOEM!$D$48:$D$187,D9, Merged_JOEM!$E$48:$E$187,Report_For_Each_Project_JOEM!C2)-SUM(SUMIFS(Merged_JOEM!$X$48:$X$187,Merged_JOEM!$D$48:$D$187,D9,Merged_JOEM!$AA$48:$AA$187,{"Ongoing","N/A",""},Merged_JOEM!$E$48:$E$187,C2))</f>
        <v>3852.2249999999999</v>
      </c>
      <c r="G9" s="44">
        <f>1/8*(SUMIFS(Merged_JOEM!$Y$48:$Y$187,Merged_JOEM!$D$48:$D$187,D9, Merged_JOEM!$E$48:$E$187,C2))</f>
        <v>8.5605000000000047</v>
      </c>
      <c r="H9" s="44">
        <f>1/8*(SUMIFS(Merged_JOEM!$Z$48:$Z$187,Merged_JOEM!$D$48:$D$187,D9, Merged_JOEM!$E$48:$E$187,C2)-SUM(SUMIFS(Merged_JOEM!$Z$48:$Z$187,Merged_JOEM!$D$48:$D$187,D9,Merged_JOEM!$AA$48:$AA$187,{"Ongoing","N/A",""},Merged_JOEM!$E$48:$E$187,C2)))</f>
        <v>7.3150000000000013</v>
      </c>
      <c r="I9" s="42">
        <f>IFERROR(F9/E9,"N/A")</f>
        <v>1</v>
      </c>
      <c r="J9" s="3">
        <f>COUNTIFS(Merged_JOEM!$AK$48:$AK$187,J8,Merged_JOEM!$D$48:$D$187,D9,Merged_JOEM!$E$48:$E$187,C2)</f>
        <v>0</v>
      </c>
      <c r="K9" s="3">
        <f>COUNTIFS(Merged_JOEM!$AK$48:$AK$187,K8,Merged_JOEM!$D$48:$D$187,D9,Merged_JOEM!$E$48:$E$187,C2)</f>
        <v>0</v>
      </c>
    </row>
    <row r="10" spans="1:11" x14ac:dyDescent="0.25">
      <c r="C10" s="8">
        <v>2</v>
      </c>
      <c r="D10" s="64" t="str">
        <f>Table!$C$3</f>
        <v>ASW</v>
      </c>
      <c r="E10" s="64">
        <f>SUMIFS(Merged_JOEM!$W$48:$W$187,Merged_JOEM!$D$48:$D$187,D10, Merged_JOEM!$E$48:$E$187,C2)</f>
        <v>299</v>
      </c>
      <c r="F10" s="46">
        <f>SUMIFS(Merged_JOEM!$X$48:$X$187,Merged_JOEM!$D$48:$D$187,D10, Merged_JOEM!$E$48:$E$187,C2)-SUM(SUMIFS(Merged_JOEM!$X$48:$X$187,Merged_JOEM!$D$48:$D$187,D10,Merged_JOEM!$AA$48:$AA$187,{"Ongoing","N/A",""},Merged_JOEM!$E$48:$E$187,C2))</f>
        <v>299</v>
      </c>
      <c r="G10" s="64">
        <f>1/8*(SUMIFS(Merged_JOEM!$Y$48:$Y$187,Merged_JOEM!$D$48:$D$187,D10, Merged_JOEM!$E$48:$E$187,C2))</f>
        <v>2.2999999999999998</v>
      </c>
      <c r="H10" s="44">
        <f>1/8*(SUMIFS(Merged_JOEM!$Z$48:$Z$187,Merged_JOEM!$D$48:$D$187,D10, Merged_JOEM!$E$48:$E$187,Report_For_Each_Project_JOEM!C2)-SUM(SUMIFS(Merged_JOEM!$Z$48:$Z$187,Merged_JOEM!$D$48:$D$187,D10,Merged_JOEM!$AA$48:$AA$187,{"Ongoing","N/A",""},Merged_JOEM!$E$48:$E$187,C2)))</f>
        <v>1</v>
      </c>
      <c r="I10" s="42">
        <f>IFERROR(F10/E10,"N/A")</f>
        <v>1</v>
      </c>
      <c r="J10" s="3">
        <f>COUNTIFS(Merged_JOEM!$AK$48:$AK$187,J8,Merged_JOEM!$D$48:$D$187,D10,Merged_JOEM!$E$48:$E$187,C2)</f>
        <v>0</v>
      </c>
      <c r="K10" s="3">
        <f>COUNTIFS(Merged_JOEM!$AK$48:$AK$187,K8,Merged_JOEM!$D$48:$D$187,D10,Merged_JOEM!$E$48:$E$187,C2)</f>
        <v>0</v>
      </c>
    </row>
    <row r="12" spans="1:11" x14ac:dyDescent="0.25">
      <c r="C12" t="s">
        <v>130</v>
      </c>
    </row>
    <row r="13" spans="1:11" x14ac:dyDescent="0.25">
      <c r="D13" t="s">
        <v>135</v>
      </c>
    </row>
    <row r="15" spans="1:11" x14ac:dyDescent="0.25">
      <c r="A15" s="1">
        <v>2</v>
      </c>
      <c r="B15" s="1" t="s">
        <v>56</v>
      </c>
      <c r="C15" s="1" t="s">
        <v>513</v>
      </c>
    </row>
    <row r="16" spans="1:11" x14ac:dyDescent="0.25">
      <c r="B16" s="1" t="s">
        <v>123</v>
      </c>
      <c r="C16" s="118">
        <f>SUM(G22:G23)</f>
        <v>6.1999999999999993</v>
      </c>
      <c r="D16" t="s">
        <v>124</v>
      </c>
    </row>
    <row r="17" spans="1:11" x14ac:dyDescent="0.25">
      <c r="B17" s="1" t="s">
        <v>133</v>
      </c>
      <c r="C17">
        <f>SUM(INT((WEEKDAY(F17-{2,3,4,5,6})+H17-F17)/7))</f>
        <v>3</v>
      </c>
      <c r="D17" t="s">
        <v>124</v>
      </c>
      <c r="E17" t="s">
        <v>529</v>
      </c>
      <c r="F17" s="6">
        <v>43957</v>
      </c>
      <c r="G17" s="6" t="s">
        <v>122</v>
      </c>
      <c r="H17" s="6">
        <v>43959</v>
      </c>
    </row>
    <row r="18" spans="1:11" x14ac:dyDescent="0.25">
      <c r="B18" s="1" t="s">
        <v>134</v>
      </c>
      <c r="C18">
        <f>SUM(INT((WEEKDAY(F18-{2,3,4,5,6})+H18-F18)/7))</f>
        <v>3</v>
      </c>
      <c r="D18" t="s">
        <v>124</v>
      </c>
      <c r="E18" t="s">
        <v>529</v>
      </c>
      <c r="F18" s="6">
        <v>43957</v>
      </c>
      <c r="G18" s="6" t="s">
        <v>122</v>
      </c>
      <c r="H18" s="6">
        <v>43959</v>
      </c>
    </row>
    <row r="19" spans="1:11" x14ac:dyDescent="0.25">
      <c r="B19" s="1" t="s">
        <v>17</v>
      </c>
      <c r="C19" t="str">
        <f>IF(SUM(H22:H23)&gt;SUM(G22:G23),"Delayed",IF(SUM(H22:H23)&lt;SUM(G22:G23),"InAdvanced","Ontime"))</f>
        <v>InAdvanced</v>
      </c>
      <c r="F19" s="6"/>
      <c r="G19" s="6"/>
      <c r="H19" s="6"/>
    </row>
    <row r="21" spans="1:11" ht="30" x14ac:dyDescent="0.25">
      <c r="C21" s="59" t="s">
        <v>25</v>
      </c>
      <c r="D21" s="59" t="s">
        <v>26</v>
      </c>
      <c r="E21" s="9" t="s">
        <v>125</v>
      </c>
      <c r="F21" s="9" t="s">
        <v>126</v>
      </c>
      <c r="G21" s="9" t="s">
        <v>127</v>
      </c>
      <c r="H21" s="9" t="s">
        <v>128</v>
      </c>
      <c r="I21" s="9" t="s">
        <v>29</v>
      </c>
      <c r="J21" s="195" t="str">
        <f>Table!$C$36</f>
        <v>OPL</v>
      </c>
      <c r="K21" s="195" t="str">
        <f>Table!$C$37</f>
        <v>Defect</v>
      </c>
    </row>
    <row r="22" spans="1:11" x14ac:dyDescent="0.25">
      <c r="C22" s="50">
        <v>1</v>
      </c>
      <c r="D22" s="41" t="str">
        <f>Table!$D$3</f>
        <v>PSW</v>
      </c>
      <c r="E22" s="41">
        <f>SUMIFS(Merged_JOEM!$W$48:$W$187,Merged_JOEM!$D$48:$D$187,D22, Merged_JOEM!$E$48:$E$187,C15)</f>
        <v>1080</v>
      </c>
      <c r="F22" s="41">
        <f>SUMIFS(Merged_JOEM!$X$48:$X$187,Merged_JOEM!$D$48:$D$187,D22, Merged_JOEM!$E$48:$E$187,Report_For_Each_Project_JOEM!C15)-SUM(SUMIFS(Merged_JOEM!$X$48:$X$187,Merged_JOEM!$D$48:$D$187,D22,Merged_JOEM!$AA$48:$AA$187,{"Ongoing","N/A",""},Merged_JOEM!$E$48:$E$187,C15))</f>
        <v>1080</v>
      </c>
      <c r="G22" s="41">
        <f>1/8*(SUMIFS(Merged_JOEM!$Y$48:$Y$187,Merged_JOEM!$D$48:$D$187,D22, Merged_JOEM!$E$48:$E$187,C15))</f>
        <v>2.4</v>
      </c>
      <c r="H22" s="41">
        <f>1/8*(SUMIFS(Merged_JOEM!$Z$48:$Z$187,Merged_JOEM!$D$48:$D$187,D22, Merged_JOEM!$E$48:$E$187,C15)-SUM(SUMIFS(Merged_JOEM!$Z$48:$Z$187,Merged_JOEM!$D$48:$D$187,D22,Merged_JOEM!$AA$48:$AA$187,{"Ongoing","N/A",""},Merged_JOEM!$E$48:$E$187,C15)))</f>
        <v>1</v>
      </c>
      <c r="I22" s="42">
        <f>IFERROR(F22/E22,"N/A")</f>
        <v>1</v>
      </c>
      <c r="J22" s="3">
        <f>COUNTIFS(Merged_JOEM!$AK$48:$AK$422,J21,Merged_COEM!$D$48:$D$422,D22,Merged_COEM!$C$48:$C$422,C15)</f>
        <v>0</v>
      </c>
      <c r="K22" s="3">
        <f>COUNTIFS(Merged_COEM!$AK$48:$AK$422,Table!$C$37,Merged_COEM!$D$48:$D$422,D22,Merged_COEM!$C$48:$C$422,C15)</f>
        <v>0</v>
      </c>
    </row>
    <row r="23" spans="1:11" x14ac:dyDescent="0.25">
      <c r="C23" s="50">
        <v>2</v>
      </c>
      <c r="D23" s="41" t="str">
        <f>Table!$C$3</f>
        <v>ASW</v>
      </c>
      <c r="E23" s="41">
        <f>SUMIFS(Merged_JOEM!$W$48:$W$187,Merged_JOEM!$D$48:$D$187,D23, Merged_JOEM!$E$48:$E$187,C15)</f>
        <v>494</v>
      </c>
      <c r="F23" s="41">
        <f>SUMIFS(Merged_JOEM!$X$48:$X$187,Merged_JOEM!$D$48:$D$187,D23, Merged_JOEM!$E$48:$E$187,C15)-SUM(SUMIFS(Merged_JOEM!$X$48:$X$187,Merged_JOEM!$D$48:$D$187,D23,Merged_JOEM!$AA$48:$AA$187,{"Ongoing","N/A",""},Merged_JOEM!$E$48:$E$187,C15))</f>
        <v>494</v>
      </c>
      <c r="G23" s="41">
        <f>1/8*(SUMIFS(Merged_JOEM!$Y$48:$Y$187,Merged_JOEM!$D$48:$D$187,D23, Merged_JOEM!$E$48:$E$187,C15))</f>
        <v>3.8</v>
      </c>
      <c r="H23" s="41">
        <f>1/8*(SUMIFS(Merged_JOEM!$Z$48:$Z$187,Merged_JOEM!$D$48:$D$187,D23, Merged_JOEM!$E$48:$E$187,Report_For_Each_Project_JOEM!C15)-SUM(SUMIFS(Merged_JOEM!$Z$48:$Z$187,Merged_JOEM!$D$48:$D$187,D23,Merged_JOEM!$AA$48:$AA$187,{"Ongoing","N/A",""},Merged_JOEM!$E$48:$E$187,C15)))</f>
        <v>1.25</v>
      </c>
      <c r="I23" s="42">
        <f>IFERROR(F23/E23,"N/A")</f>
        <v>1</v>
      </c>
      <c r="J23" s="3">
        <f>COUNTIFS(Merged_COEM!$AK$48:$AK$422,J21,Merged_COEM!$D$48:$D$422,D23,Merged_COEM!$C$48:$C$422,C15)</f>
        <v>0</v>
      </c>
      <c r="K23" s="3">
        <f>COUNTIFS(Merged_COEM!$AK$48:$AK$422,K21,Merged_COEM!$D$48:$D$422,D23,Merged_COEM!$C$48:$C$422,C15)</f>
        <v>0</v>
      </c>
    </row>
    <row r="25" spans="1:11" x14ac:dyDescent="0.25">
      <c r="C25" t="s">
        <v>130</v>
      </c>
    </row>
    <row r="26" spans="1:11" x14ac:dyDescent="0.25">
      <c r="D26" s="126" t="s">
        <v>614</v>
      </c>
    </row>
    <row r="28" spans="1:11" x14ac:dyDescent="0.25">
      <c r="A28" s="1">
        <v>3</v>
      </c>
      <c r="B28" s="1" t="s">
        <v>56</v>
      </c>
      <c r="C28" s="1" t="s">
        <v>656</v>
      </c>
    </row>
    <row r="29" spans="1:11" x14ac:dyDescent="0.25">
      <c r="B29" s="1" t="s">
        <v>123</v>
      </c>
      <c r="C29">
        <f>SUM(G35:G36)</f>
        <v>24.669999999999998</v>
      </c>
      <c r="D29" t="s">
        <v>124</v>
      </c>
    </row>
    <row r="30" spans="1:11" x14ac:dyDescent="0.25">
      <c r="B30" s="1" t="s">
        <v>133</v>
      </c>
      <c r="C30">
        <f>SUM(INT((WEEKDAY(F30-{2,3,4,5,6})+H30-F30)/7))</f>
        <v>12</v>
      </c>
      <c r="D30" t="s">
        <v>124</v>
      </c>
      <c r="E30" t="s">
        <v>166</v>
      </c>
      <c r="F30" s="6">
        <v>43962</v>
      </c>
      <c r="G30" s="6" t="s">
        <v>122</v>
      </c>
      <c r="H30" s="6">
        <v>43977</v>
      </c>
    </row>
    <row r="31" spans="1:11" x14ac:dyDescent="0.25">
      <c r="B31" s="1" t="s">
        <v>134</v>
      </c>
      <c r="C31">
        <f>SUM(INT((WEEKDAY(F31-{2,3,4,5,6})+H31-F31)/7))</f>
        <v>12</v>
      </c>
      <c r="D31" t="s">
        <v>124</v>
      </c>
      <c r="E31" t="s">
        <v>679</v>
      </c>
      <c r="F31" s="6">
        <v>43962</v>
      </c>
      <c r="G31" s="6" t="s">
        <v>122</v>
      </c>
      <c r="H31" s="6">
        <v>43977</v>
      </c>
    </row>
    <row r="32" spans="1:11" x14ac:dyDescent="0.25">
      <c r="B32" s="1" t="s">
        <v>17</v>
      </c>
      <c r="C32" t="str">
        <f>IF(SUM(H35:H36)&gt;SUM(G35:G36),"Delayed",IF(SUM(H35:H36)&lt;SUM(G35:G36),"InAdvanced","Ontime"))</f>
        <v>InAdvanced</v>
      </c>
      <c r="F32" s="6"/>
      <c r="G32" s="6"/>
      <c r="H32" s="6"/>
    </row>
    <row r="34" spans="3:11" ht="30" x14ac:dyDescent="0.25">
      <c r="C34" s="59" t="s">
        <v>25</v>
      </c>
      <c r="D34" s="59" t="s">
        <v>26</v>
      </c>
      <c r="E34" s="9" t="s">
        <v>125</v>
      </c>
      <c r="F34" s="9" t="s">
        <v>126</v>
      </c>
      <c r="G34" s="9" t="s">
        <v>127</v>
      </c>
      <c r="H34" s="9" t="s">
        <v>128</v>
      </c>
      <c r="I34" s="9" t="s">
        <v>29</v>
      </c>
      <c r="J34" s="195" t="str">
        <f>Table!$C$36</f>
        <v>OPL</v>
      </c>
      <c r="K34" s="195" t="str">
        <f>Table!$C$37</f>
        <v>Defect</v>
      </c>
    </row>
    <row r="35" spans="3:11" x14ac:dyDescent="0.25">
      <c r="C35" s="50">
        <v>1</v>
      </c>
      <c r="D35" s="41" t="str">
        <f>Table!$D$3</f>
        <v>PSW</v>
      </c>
      <c r="E35" s="41">
        <f>SUMIFS(Merged_JOEM!$W$48:$W$187,Merged_JOEM!$D$48:$D$187,D35, Merged_JOEM!$E$48:$E$187,C28)</f>
        <v>5148</v>
      </c>
      <c r="F35" s="41">
        <f>SUMIFS(Merged_JOEM!$X$48:$X$187,Merged_JOEM!$D$48:$D$187,D35, Merged_JOEM!$E$48:$E$187,Report_For_Each_Project_JOEM!C28)-SUM(SUMIFS(Merged_JOEM!$X$48:$X$187,Merged_JOEM!$D$48:$D$187,D35,Merged_JOEM!$AA$48:$AA$187,{"Ongoing","N/A",""},Merged_JOEM!$E$48:$E$187,C28))</f>
        <v>5148</v>
      </c>
      <c r="G35" s="41">
        <f>1/8*(SUMIFS(Merged_JOEM!$Y$48:$Y$187,Merged_JOEM!$D$48:$D$187,D35, Merged_JOEM!$E$48:$E$187,C28))</f>
        <v>11.440000000000001</v>
      </c>
      <c r="H35" s="41">
        <f>1/8*(SUMIFS(Merged_JOEM!$Z$48:$Z$187,Merged_JOEM!$D$48:$D$187,D35, Merged_JOEM!$E$48:$E$187,C28)-SUM(SUMIFS(Merged_JOEM!$Z$48:$Z$187,Merged_JOEM!$D$48:$D$187,D35,Merged_JOEM!$AA$48:$AA$187,{"Ongoing","N/A",""},Merged_JOEM!$E$48:$E$187,C28)))</f>
        <v>3.75</v>
      </c>
      <c r="I35" s="42">
        <f>IFERROR(F35/E35,"N/A")</f>
        <v>1</v>
      </c>
      <c r="J35" s="3">
        <f>COUNTIFS(Merged_JOEM!$AK$48:$AK$422,J34,Merged_COEM!$D$48:$D$422,D35,Merged_COEM!$C$48:$C$422,C28)</f>
        <v>0</v>
      </c>
      <c r="K35" s="3">
        <f>COUNTIFS(Merged_COEM!$AK$48:$AK$422,Table!$C$37,Merged_COEM!$D$48:$D$422,D35,Merged_COEM!$C$48:$C$422,C28)</f>
        <v>0</v>
      </c>
    </row>
    <row r="36" spans="3:11" x14ac:dyDescent="0.25">
      <c r="C36" s="50">
        <v>2</v>
      </c>
      <c r="D36" s="41" t="str">
        <f>Table!$C$3</f>
        <v>ASW</v>
      </c>
      <c r="E36" s="41">
        <f>SUMIFS(Merged_JOEM!$W$48:$W$187,Merged_JOEM!$D$48:$D$187,D36, Merged_JOEM!$E$48:$E$187,C28)</f>
        <v>1719.9</v>
      </c>
      <c r="F36" s="41">
        <f>SUMIFS(Merged_JOEM!$X$48:$X$187,Merged_JOEM!$D$48:$D$187,D36, Merged_JOEM!$E$48:$E$187,C28)-SUM(SUMIFS(Merged_JOEM!$X$48:$X$187,Merged_JOEM!$D$48:$D$187,D36,Merged_JOEM!$AA$48:$AA$187,{"Ongoing","N/A",""},Merged_JOEM!$E$48:$E$187,C28))</f>
        <v>1355.9</v>
      </c>
      <c r="G36" s="41">
        <f>1/8*(SUMIFS(Merged_JOEM!$Y$48:$Y$187,Merged_JOEM!$D$48:$D$187,D36, Merged_JOEM!$E$48:$E$187,C28))</f>
        <v>13.229999999999997</v>
      </c>
      <c r="H36" s="41">
        <f>1/8*(SUMIFS(Merged_JOEM!$Z$48:$Z$187,Merged_JOEM!$D$48:$D$187,D36, Merged_JOEM!$E$48:$E$187,Report_For_Each_Project_JOEM!C28)-SUM(SUMIFS(Merged_JOEM!$Z$48:$Z$187,Merged_JOEM!$D$48:$D$187,D36,Merged_JOEM!$AA$48:$AA$187,{"Ongoing","N/A",""},Merged_JOEM!$E$48:$E$187,C28)))</f>
        <v>7.375</v>
      </c>
      <c r="I36" s="42">
        <f>IFERROR(F36/E36,"N/A")</f>
        <v>0.78835978835978837</v>
      </c>
      <c r="J36" s="3">
        <f>COUNTIFS(Merged_COEM!$AK$48:$AK$422,J34,Merged_COEM!$D$48:$D$422,D36,Merged_COEM!$C$48:$C$422,C28)</f>
        <v>0</v>
      </c>
      <c r="K36" s="3">
        <f>COUNTIFS(Merged_COEM!$AK$48:$AK$422,K34,Merged_COEM!$D$48:$D$422,D36,Merged_COEM!$C$48:$C$422,C28)</f>
        <v>0</v>
      </c>
    </row>
    <row r="38" spans="3:11" x14ac:dyDescent="0.25">
      <c r="C38" t="s">
        <v>130</v>
      </c>
    </row>
    <row r="39" spans="3:11" x14ac:dyDescent="0.25">
      <c r="D39" s="37" t="s">
        <v>1110</v>
      </c>
    </row>
    <row r="40" spans="3:11" x14ac:dyDescent="0.25">
      <c r="D40" s="37" t="s">
        <v>1111</v>
      </c>
    </row>
  </sheetData>
  <customSheetViews>
    <customSheetView guid="{250915DF-0B97-45D7-B29D-7EED4C89C1C1}" topLeftCell="A13">
      <selection activeCell="J22" sqref="J22"/>
      <pageMargins left="0.7" right="0.7" top="0.75" bottom="0.75" header="0.3" footer="0.3"/>
      <pageSetup paperSize="9" orientation="portrait" r:id="rId1"/>
    </customSheetView>
    <customSheetView guid="{7E0EA425-A420-4443-B9E0-CDF0AA9E5D09}">
      <selection activeCell="C2" sqref="C2"/>
      <pageMargins left="0.7" right="0.7" top="0.75" bottom="0.75" header="0.3" footer="0.3"/>
    </customSheetView>
    <customSheetView guid="{3B3E6719-EACB-4D2C-89C1-05FFAB6020FD}">
      <selection activeCell="N1" sqref="N1:N1048576"/>
      <pageMargins left="0.7" right="0.7" top="0.75" bottom="0.75" header="0.3" footer="0.3"/>
    </customSheetView>
    <customSheetView guid="{72A6EB0A-84D5-4B8A-AC51-54CCD061630B}">
      <selection activeCell="N1" sqref="N1:N1048576"/>
      <pageMargins left="0.7" right="0.7" top="0.75" bottom="0.75" header="0.3" footer="0.3"/>
    </customSheetView>
    <customSheetView guid="{4E06BDBF-2CED-473B-850B-2A6C7311FF41}">
      <selection activeCell="E9" sqref="E9"/>
      <pageMargins left="0.7" right="0.7" top="0.75" bottom="0.75" header="0.3" footer="0.3"/>
    </customSheetView>
    <customSheetView guid="{7ECC2B8E-6A82-42F5-8AB0-4A51C54EA5EC}">
      <selection activeCell="N1" sqref="N1:N1048576"/>
      <pageMargins left="0.7" right="0.7" top="0.75" bottom="0.75" header="0.3" footer="0.3"/>
    </customSheetView>
    <customSheetView guid="{A2C66332-A809-458E-971B-FDB6D62C74C3}">
      <selection activeCell="F10" sqref="F10"/>
      <pageMargins left="0.7" right="0.7" top="0.75" bottom="0.75" header="0.3" footer="0.3"/>
    </customSheetView>
    <customSheetView guid="{60D2C030-4E31-4E07-8E1C-44D2EE84B177}">
      <selection activeCell="E9" sqref="E9"/>
      <pageMargins left="0.7" right="0.7" top="0.75" bottom="0.75" header="0.3" footer="0.3"/>
    </customSheetView>
    <customSheetView guid="{D33AC7AF-C8AB-4CE9-94C7-9237011A5FC3}">
      <selection activeCell="K38" sqref="K38"/>
      <pageMargins left="0.7" right="0.7" top="0.75" bottom="0.75" header="0.3" footer="0.3"/>
    </customSheetView>
    <customSheetView guid="{336B6883-2145-4B58-921E-CEC7185A847E}">
      <selection activeCell="K38" sqref="K38"/>
      <pageMargins left="0.7" right="0.7" top="0.75" bottom="0.75" header="0.3" footer="0.3"/>
    </customSheetView>
  </customSheetView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R96"/>
  <sheetViews>
    <sheetView tabSelected="1" zoomScale="85" zoomScaleNormal="85" workbookViewId="0">
      <selection activeCell="D10" sqref="D10"/>
    </sheetView>
  </sheetViews>
  <sheetFormatPr defaultRowHeight="15" x14ac:dyDescent="0.25"/>
  <cols>
    <col min="1" max="1" width="10" customWidth="1"/>
    <col min="2" max="2" width="12.42578125" customWidth="1"/>
    <col min="4" max="4" width="22" customWidth="1"/>
    <col min="5" max="5" width="14.85546875" bestFit="1" customWidth="1"/>
    <col min="6" max="6" width="28.5703125" bestFit="1" customWidth="1"/>
    <col min="7" max="7" width="13.140625" customWidth="1"/>
    <col min="8" max="8" width="23" customWidth="1"/>
    <col min="11" max="11" width="10" bestFit="1" customWidth="1"/>
    <col min="12" max="12" width="13.28515625" customWidth="1"/>
    <col min="13" max="13" width="8.7109375" customWidth="1"/>
    <col min="14" max="14" width="27.85546875" bestFit="1" customWidth="1"/>
    <col min="15" max="15" width="14.85546875" bestFit="1" customWidth="1"/>
    <col min="16" max="16" width="16.28515625" customWidth="1"/>
    <col min="17" max="17" width="12.85546875" customWidth="1"/>
    <col min="18" max="18" width="20.5703125" customWidth="1"/>
  </cols>
  <sheetData>
    <row r="2" spans="2:14" x14ac:dyDescent="0.25">
      <c r="B2" s="73" t="s">
        <v>110</v>
      </c>
    </row>
    <row r="3" spans="2:14" x14ac:dyDescent="0.25">
      <c r="B3" s="66" t="s">
        <v>0</v>
      </c>
      <c r="C3" s="66" t="s">
        <v>8</v>
      </c>
      <c r="D3" s="66" t="s">
        <v>129</v>
      </c>
      <c r="E3" s="66" t="s">
        <v>53</v>
      </c>
      <c r="F3" s="66" t="s">
        <v>102</v>
      </c>
      <c r="G3" s="66" t="s">
        <v>22</v>
      </c>
      <c r="H3" s="67" t="s">
        <v>24</v>
      </c>
      <c r="I3" s="67" t="s">
        <v>149</v>
      </c>
      <c r="J3" s="67" t="s">
        <v>164</v>
      </c>
    </row>
    <row r="4" spans="2:14" x14ac:dyDescent="0.25">
      <c r="B4" s="68">
        <v>1</v>
      </c>
      <c r="C4" s="83" t="s">
        <v>6</v>
      </c>
      <c r="D4" s="70">
        <f>SUM(Merged_COEM!D34,Merged_JOEM!D34)</f>
        <v>5030.1000000000004</v>
      </c>
      <c r="E4" s="70">
        <f>SUM(Merged_COEM!E34,Merged_JOEM!E34)</f>
        <v>5030.1000000000004</v>
      </c>
      <c r="F4" s="70">
        <f ca="1">$B$22-SUM(VALUE(SUBSTITUTE(E64,"-",0)),VALUE(SUBSTITUTE(O64,"-",0)))</f>
        <v>14</v>
      </c>
      <c r="G4" s="70">
        <f t="shared" ref="G4" ca="1" si="0">IF(ISERROR(E4/(F4)),"N/A",E4/F4)</f>
        <v>359.29285714285714</v>
      </c>
      <c r="H4" s="71">
        <f t="shared" ref="H4:H14" si="1">IF(ISERROR(E4/D4),"N/A",E4/D4)</f>
        <v>1</v>
      </c>
      <c r="I4" s="3">
        <f>SUM(Merged_COEM!I34,Merged_JOEM!I34)</f>
        <v>1</v>
      </c>
      <c r="J4" s="3">
        <f>SUM(Merged_COEM!J34,Merged_JOEM!J34)</f>
        <v>0</v>
      </c>
      <c r="K4">
        <f ca="1">RANK(G4,$G$4:$G$13)</f>
        <v>10</v>
      </c>
    </row>
    <row r="5" spans="2:14" x14ac:dyDescent="0.25">
      <c r="B5" s="68">
        <v>2</v>
      </c>
      <c r="C5" s="83" t="s">
        <v>64</v>
      </c>
      <c r="D5" s="70">
        <f>SUM(Merged_COEM!D35,Merged_JOEM!D35)</f>
        <v>8225.2307692307695</v>
      </c>
      <c r="E5" s="70">
        <f>SUM(Merged_COEM!E35,Merged_JOEM!E35)</f>
        <v>8225.2307692307695</v>
      </c>
      <c r="F5" s="70">
        <f t="shared" ref="F5:F13" ca="1" si="2">$B$22-SUM(VALUE(SUBSTITUTE(E65,"-",0)),VALUE(SUBSTITUTE(O65,"-",0)))</f>
        <v>14</v>
      </c>
      <c r="G5" s="70">
        <f ca="1">IF(ISERROR(E5/(F5)),"N/A",E5/F5)</f>
        <v>587.5164835164835</v>
      </c>
      <c r="H5" s="71">
        <f t="shared" si="1"/>
        <v>1</v>
      </c>
      <c r="I5" s="3">
        <f>SUM(Merged_COEM!I35,Merged_JOEM!I35)</f>
        <v>4</v>
      </c>
      <c r="J5" s="3">
        <f>SUM(Merged_COEM!J35,Merged_JOEM!J35)</f>
        <v>0</v>
      </c>
      <c r="K5">
        <f t="shared" ref="K5:K13" ca="1" si="3">RANK(G5,$G$4:$G$13)</f>
        <v>3</v>
      </c>
    </row>
    <row r="6" spans="2:14" x14ac:dyDescent="0.25">
      <c r="B6" s="68">
        <v>3</v>
      </c>
      <c r="C6" s="83" t="s">
        <v>65</v>
      </c>
      <c r="D6" s="70">
        <f>SUM(Merged_COEM!D36,Merged_JOEM!D36)</f>
        <v>8173</v>
      </c>
      <c r="E6" s="70">
        <f>SUM(Merged_COEM!E36,Merged_JOEM!E36)</f>
        <v>7129</v>
      </c>
      <c r="F6" s="70">
        <f t="shared" ca="1" si="2"/>
        <v>14</v>
      </c>
      <c r="G6" s="70">
        <f t="shared" ref="G6:G13" ca="1" si="4">IF(ISERROR(E6/(F6)),"N/A",E6/F6)</f>
        <v>509.21428571428572</v>
      </c>
      <c r="H6" s="71">
        <f t="shared" si="1"/>
        <v>0.87226232717484398</v>
      </c>
      <c r="I6" s="3">
        <f>SUM(Merged_COEM!I36,Merged_JOEM!I36)</f>
        <v>4</v>
      </c>
      <c r="J6" s="3">
        <f>SUM(Merged_COEM!J36,Merged_JOEM!J36)</f>
        <v>0</v>
      </c>
      <c r="K6">
        <f t="shared" ca="1" si="3"/>
        <v>6</v>
      </c>
    </row>
    <row r="7" spans="2:14" x14ac:dyDescent="0.25">
      <c r="B7" s="68">
        <v>4</v>
      </c>
      <c r="C7" s="83" t="s">
        <v>66</v>
      </c>
      <c r="D7" s="70">
        <f>SUM(Merged_COEM!D37,Merged_JOEM!D37)</f>
        <v>10817.775000000001</v>
      </c>
      <c r="E7" s="70">
        <f>SUM(Merged_COEM!E37,Merged_JOEM!E37)</f>
        <v>10817.775000000001</v>
      </c>
      <c r="F7" s="70">
        <f t="shared" ca="1" si="2"/>
        <v>14</v>
      </c>
      <c r="G7" s="70">
        <f t="shared" ca="1" si="4"/>
        <v>772.69821428571436</v>
      </c>
      <c r="H7" s="71">
        <f t="shared" si="1"/>
        <v>1</v>
      </c>
      <c r="I7" s="3">
        <f>SUM(Merged_COEM!I37,Merged_JOEM!I37)</f>
        <v>0</v>
      </c>
      <c r="J7" s="3">
        <f>SUM(Merged_COEM!J37,Merged_JOEM!J37)</f>
        <v>0</v>
      </c>
      <c r="K7">
        <f t="shared" ca="1" si="3"/>
        <v>1</v>
      </c>
    </row>
    <row r="8" spans="2:14" x14ac:dyDescent="0.25">
      <c r="B8" s="68">
        <v>5</v>
      </c>
      <c r="C8" s="83" t="s">
        <v>67</v>
      </c>
      <c r="D8" s="70">
        <f>SUM(Merged_COEM!D38,Merged_JOEM!D38)</f>
        <v>10539.153846153846</v>
      </c>
      <c r="E8" s="70">
        <f>SUM(Merged_COEM!E38,Merged_JOEM!E38)</f>
        <v>6934.9230769230771</v>
      </c>
      <c r="F8" s="70">
        <f t="shared" ca="1" si="2"/>
        <v>14</v>
      </c>
      <c r="G8" s="70">
        <f t="shared" ca="1" si="4"/>
        <v>495.35164835164835</v>
      </c>
      <c r="H8" s="71">
        <f t="shared" si="1"/>
        <v>0.65801516688684691</v>
      </c>
      <c r="I8" s="3">
        <f>SUM(Merged_COEM!I38,Merged_JOEM!I38)</f>
        <v>7</v>
      </c>
      <c r="J8" s="3">
        <f>SUM(Merged_COEM!J38,Merged_JOEM!J38)</f>
        <v>0</v>
      </c>
      <c r="K8">
        <f t="shared" ca="1" si="3"/>
        <v>7</v>
      </c>
    </row>
    <row r="9" spans="2:14" x14ac:dyDescent="0.25">
      <c r="B9" s="68">
        <v>6</v>
      </c>
      <c r="C9" s="83" t="s">
        <v>68</v>
      </c>
      <c r="D9" s="70">
        <f>SUM(Merged_COEM!D39,Merged_JOEM!D39)</f>
        <v>9813.6153846153848</v>
      </c>
      <c r="E9" s="70">
        <f>SUM(Merged_COEM!E39,Merged_JOEM!E39)</f>
        <v>7505.6153846153848</v>
      </c>
      <c r="F9" s="70">
        <f t="shared" ca="1" si="2"/>
        <v>14</v>
      </c>
      <c r="G9" s="70">
        <f t="shared" ca="1" si="4"/>
        <v>536.11538461538464</v>
      </c>
      <c r="H9" s="71">
        <f t="shared" si="1"/>
        <v>0.76481654216669148</v>
      </c>
      <c r="I9" s="3">
        <f>SUM(Merged_COEM!I39,Merged_JOEM!I39)</f>
        <v>5</v>
      </c>
      <c r="J9" s="3">
        <f>SUM(Merged_COEM!J39,Merged_JOEM!J39)</f>
        <v>0</v>
      </c>
      <c r="K9">
        <f t="shared" ca="1" si="3"/>
        <v>5</v>
      </c>
    </row>
    <row r="10" spans="2:14" x14ac:dyDescent="0.25">
      <c r="B10" s="68">
        <v>7</v>
      </c>
      <c r="C10" s="83" t="s">
        <v>69</v>
      </c>
      <c r="D10" s="70">
        <f>SUM(Merged_COEM!D40,Merged_JOEM!D40)</f>
        <v>9885.7692307692305</v>
      </c>
      <c r="E10" s="70">
        <f>SUM(Merged_COEM!E40,Merged_JOEM!E40)</f>
        <v>7877.7692307692305</v>
      </c>
      <c r="F10" s="70">
        <f t="shared" ca="1" si="2"/>
        <v>14</v>
      </c>
      <c r="G10" s="70">
        <f t="shared" ca="1" si="4"/>
        <v>562.69780219780216</v>
      </c>
      <c r="H10" s="71">
        <f t="shared" si="1"/>
        <v>0.79687974166439712</v>
      </c>
      <c r="I10" s="3">
        <f>SUM(Merged_COEM!I40,Merged_JOEM!I40)</f>
        <v>9</v>
      </c>
      <c r="J10" s="3">
        <f>SUM(Merged_COEM!J40,Merged_JOEM!J40)</f>
        <v>0</v>
      </c>
      <c r="K10">
        <f t="shared" ca="1" si="3"/>
        <v>4</v>
      </c>
    </row>
    <row r="11" spans="2:14" x14ac:dyDescent="0.25">
      <c r="B11" s="68">
        <v>8</v>
      </c>
      <c r="C11" s="83" t="s">
        <v>70</v>
      </c>
      <c r="D11" s="70">
        <f>SUM(Merged_COEM!D41,Merged_JOEM!D41)</f>
        <v>7581.0769230769229</v>
      </c>
      <c r="E11" s="70">
        <f>SUM(Merged_COEM!E41,Merged_JOEM!E41)</f>
        <v>7581.0769230769229</v>
      </c>
      <c r="F11" s="70">
        <f t="shared" ca="1" si="2"/>
        <v>12</v>
      </c>
      <c r="G11" s="70">
        <f t="shared" ca="1" si="4"/>
        <v>631.75641025641028</v>
      </c>
      <c r="H11" s="71">
        <f t="shared" si="1"/>
        <v>1</v>
      </c>
      <c r="I11" s="3">
        <f>SUM(Merged_COEM!I41,Merged_JOEM!I41)</f>
        <v>5</v>
      </c>
      <c r="J11" s="3">
        <f>SUM(Merged_COEM!J41,Merged_JOEM!J41)</f>
        <v>1</v>
      </c>
      <c r="K11">
        <f t="shared" ca="1" si="3"/>
        <v>2</v>
      </c>
    </row>
    <row r="12" spans="2:14" x14ac:dyDescent="0.25">
      <c r="B12" s="68">
        <v>9</v>
      </c>
      <c r="C12" s="83" t="s">
        <v>156</v>
      </c>
      <c r="D12" s="70">
        <f>SUM(Merged_COEM!D42,Merged_JOEM!D42)</f>
        <v>7619.85</v>
      </c>
      <c r="E12" s="70">
        <f>SUM(Merged_COEM!E42,Merged_JOEM!E42)</f>
        <v>6359.85</v>
      </c>
      <c r="F12" s="70">
        <f t="shared" ca="1" si="2"/>
        <v>14</v>
      </c>
      <c r="G12" s="70">
        <f t="shared" ca="1" si="4"/>
        <v>454.27500000000003</v>
      </c>
      <c r="H12" s="71">
        <f t="shared" si="1"/>
        <v>0.83464241422075236</v>
      </c>
      <c r="I12" s="3">
        <f>SUM(Merged_COEM!I42,Merged_JOEM!I42)</f>
        <v>0</v>
      </c>
      <c r="J12" s="3">
        <f>SUM(Merged_COEM!J42,Merged_JOEM!J42)</f>
        <v>0</v>
      </c>
      <c r="K12">
        <f t="shared" ca="1" si="3"/>
        <v>8</v>
      </c>
    </row>
    <row r="13" spans="2:14" x14ac:dyDescent="0.25">
      <c r="B13" s="68">
        <v>10</v>
      </c>
      <c r="C13" s="83" t="s">
        <v>157</v>
      </c>
      <c r="D13" s="70">
        <f>SUM(Merged_COEM!D43,Merged_JOEM!D43)</f>
        <v>5351.7692307692305</v>
      </c>
      <c r="E13" s="70">
        <f>SUM(Merged_COEM!E43,Merged_JOEM!E43)</f>
        <v>5351.7692307692305</v>
      </c>
      <c r="F13" s="70">
        <f t="shared" ca="1" si="2"/>
        <v>14</v>
      </c>
      <c r="G13" s="70">
        <f t="shared" ca="1" si="4"/>
        <v>382.26923076923077</v>
      </c>
      <c r="H13" s="71">
        <f t="shared" si="1"/>
        <v>1</v>
      </c>
      <c r="I13" s="3">
        <f>SUM(Merged_COEM!I43,Merged_JOEM!I43)</f>
        <v>8</v>
      </c>
      <c r="J13" s="3">
        <f>SUM(Merged_COEM!J43,Merged_JOEM!J43)</f>
        <v>0</v>
      </c>
      <c r="K13">
        <f t="shared" ca="1" si="3"/>
        <v>9</v>
      </c>
    </row>
    <row r="14" spans="2:14" x14ac:dyDescent="0.25">
      <c r="B14" s="66" t="s">
        <v>109</v>
      </c>
      <c r="C14" s="72"/>
      <c r="D14" s="70">
        <f>SUM(D4:D13)</f>
        <v>83037.340384615396</v>
      </c>
      <c r="E14" s="70">
        <f>SUM(E4:E13)</f>
        <v>72813.10961538463</v>
      </c>
      <c r="F14" s="70">
        <f ca="1">$B$22*COUNTA($C$4:$C$13)</f>
        <v>140</v>
      </c>
      <c r="G14" s="70">
        <f ca="1">IF(ISERROR(E14/(F14)),"N/A",E14/F14)</f>
        <v>520.0936401098902</v>
      </c>
      <c r="H14" s="71">
        <f t="shared" si="1"/>
        <v>0.87687189014154598</v>
      </c>
      <c r="I14" s="3">
        <f>SUM(I4:I13)</f>
        <v>43</v>
      </c>
      <c r="J14" s="3">
        <f>SUM(J4:J13)</f>
        <v>1</v>
      </c>
      <c r="K14">
        <f ca="1">F14*450</f>
        <v>63000</v>
      </c>
      <c r="L14" s="118">
        <f ca="1">E14-K14</f>
        <v>9813.1096153846302</v>
      </c>
      <c r="M14">
        <f>COUNTA($C$4:$C$13)*450</f>
        <v>4500</v>
      </c>
      <c r="N14">
        <f ca="1">L14/450</f>
        <v>21.806910256410291</v>
      </c>
    </row>
    <row r="17" spans="1:18" x14ac:dyDescent="0.25">
      <c r="A17" s="81" t="s">
        <v>337</v>
      </c>
      <c r="B17" s="81" t="s">
        <v>186</v>
      </c>
      <c r="J17" s="82"/>
      <c r="K17" s="81" t="s">
        <v>337</v>
      </c>
      <c r="L17" s="81" t="s">
        <v>185</v>
      </c>
    </row>
    <row r="18" spans="1:18" x14ac:dyDescent="0.25">
      <c r="J18" s="82"/>
    </row>
    <row r="19" spans="1:18" x14ac:dyDescent="0.25">
      <c r="A19" s="1" t="s">
        <v>38</v>
      </c>
      <c r="B19" s="36">
        <v>43952</v>
      </c>
      <c r="D19" s="36">
        <f ca="1">TODAY()</f>
        <v>43972</v>
      </c>
      <c r="F19" s="6"/>
      <c r="J19" s="82"/>
      <c r="K19" s="1" t="s">
        <v>38</v>
      </c>
      <c r="L19" s="36">
        <f>B19</f>
        <v>43952</v>
      </c>
      <c r="N19" s="36">
        <f ca="1">D19</f>
        <v>43972</v>
      </c>
      <c r="P19" s="6"/>
    </row>
    <row r="20" spans="1:18" x14ac:dyDescent="0.25">
      <c r="A20" s="1" t="s">
        <v>30</v>
      </c>
      <c r="B20" s="7">
        <f ca="1">SUM(INT((WEEKDAY(B19-{2,3,4,5,6}) +D19-B19)/7))</f>
        <v>15</v>
      </c>
      <c r="J20" s="82"/>
      <c r="K20" s="1" t="s">
        <v>30</v>
      </c>
      <c r="L20" s="7">
        <f ca="1">B20</f>
        <v>15</v>
      </c>
    </row>
    <row r="21" spans="1:18" x14ac:dyDescent="0.25">
      <c r="A21" s="1" t="s">
        <v>145</v>
      </c>
      <c r="B21" s="7">
        <v>1</v>
      </c>
      <c r="C21" t="s">
        <v>318</v>
      </c>
      <c r="J21" s="82"/>
      <c r="K21" s="1" t="s">
        <v>145</v>
      </c>
      <c r="L21" s="7">
        <f>B21</f>
        <v>1</v>
      </c>
      <c r="M21" t="s">
        <v>318</v>
      </c>
    </row>
    <row r="22" spans="1:18" x14ac:dyDescent="0.25">
      <c r="A22" s="1" t="s">
        <v>111</v>
      </c>
      <c r="B22">
        <f ca="1">IF(TODAY()&lt;D19,SUM(INT((WEEKDAY(B19-{2,3,4,5,6})+TODAY()-B19)/7)),SUM(INT((WEEKDAY(B19-{2,3,4,5,6})+D19-B19)/7)))-B21</f>
        <v>14</v>
      </c>
      <c r="J22" s="82"/>
      <c r="K22" s="1" t="s">
        <v>111</v>
      </c>
      <c r="L22">
        <f ca="1">B22</f>
        <v>14</v>
      </c>
    </row>
    <row r="23" spans="1:18" x14ac:dyDescent="0.25">
      <c r="A23" s="1"/>
      <c r="J23" s="82"/>
      <c r="K23" s="1"/>
    </row>
    <row r="24" spans="1:18" x14ac:dyDescent="0.25">
      <c r="B24" s="1" t="s">
        <v>404</v>
      </c>
      <c r="J24" s="82"/>
      <c r="L24" s="1" t="s">
        <v>404</v>
      </c>
    </row>
    <row r="25" spans="1:18" ht="45" x14ac:dyDescent="0.25">
      <c r="C25" s="51" t="s">
        <v>25</v>
      </c>
      <c r="D25" s="51" t="s">
        <v>26</v>
      </c>
      <c r="E25" s="51" t="s">
        <v>27</v>
      </c>
      <c r="F25" s="51" t="s">
        <v>28</v>
      </c>
      <c r="G25" s="9" t="s">
        <v>102</v>
      </c>
      <c r="H25" s="9" t="s">
        <v>29</v>
      </c>
      <c r="J25" s="82"/>
      <c r="M25" s="59" t="s">
        <v>25</v>
      </c>
      <c r="N25" s="59" t="s">
        <v>26</v>
      </c>
      <c r="O25" s="59" t="s">
        <v>27</v>
      </c>
      <c r="P25" s="59" t="s">
        <v>28</v>
      </c>
      <c r="Q25" s="9" t="s">
        <v>102</v>
      </c>
      <c r="R25" s="9" t="s">
        <v>29</v>
      </c>
    </row>
    <row r="26" spans="1:18" x14ac:dyDescent="0.25">
      <c r="C26" s="53">
        <v>1</v>
      </c>
      <c r="D26" s="53" t="s">
        <v>3</v>
      </c>
      <c r="E26" s="53">
        <f>SUM(Merged_COEM!D14)</f>
        <v>62289</v>
      </c>
      <c r="F26" s="53">
        <f>SUM(Merged_COEM!E14)</f>
        <v>53394</v>
      </c>
      <c r="G26" s="53">
        <f>E26/Table!$D$4</f>
        <v>138.41999999999999</v>
      </c>
      <c r="H26" s="42">
        <f>IFERROR(F26/E26,"N/A")</f>
        <v>0.85719790011077401</v>
      </c>
      <c r="J26" s="82"/>
      <c r="M26" s="64">
        <v>1</v>
      </c>
      <c r="N26" s="64" t="s">
        <v>3</v>
      </c>
      <c r="O26" s="64">
        <f>SUM(Merged_JOEM!D14)</f>
        <v>10080.225</v>
      </c>
      <c r="P26" s="64">
        <f>SUM(Merged_JOEM!E14)</f>
        <v>10080.225</v>
      </c>
      <c r="Q26" s="64">
        <f>O26/Table!$D$4</f>
        <v>22.400500000000001</v>
      </c>
      <c r="R26" s="42">
        <f>IFERROR(P26/O26,"N/A")</f>
        <v>1</v>
      </c>
    </row>
    <row r="27" spans="1:18" x14ac:dyDescent="0.25">
      <c r="C27" s="53">
        <v>2</v>
      </c>
      <c r="D27" s="53" t="s">
        <v>2</v>
      </c>
      <c r="E27" s="60">
        <f>SUM(Merged_COEM!D29)</f>
        <v>569</v>
      </c>
      <c r="F27" s="64">
        <f>SUM(Merged_COEM!E29)</f>
        <v>549</v>
      </c>
      <c r="G27" s="53">
        <f>E27/Table!$C$4</f>
        <v>4.3769230769230774</v>
      </c>
      <c r="H27" s="42">
        <f>IFERROR(F27/E27,"N/A")</f>
        <v>0.96485061511423553</v>
      </c>
      <c r="J27" s="82"/>
      <c r="M27" s="64">
        <v>2</v>
      </c>
      <c r="N27" s="64" t="s">
        <v>2</v>
      </c>
      <c r="O27" s="64">
        <f>SUM(Merged_JOEM!D29)</f>
        <v>2512.9</v>
      </c>
      <c r="P27" s="64">
        <f>SUM(Merged_JOEM!E29)</f>
        <v>2148.9</v>
      </c>
      <c r="Q27" s="64">
        <f>O27/Table!$C$4</f>
        <v>19.330000000000002</v>
      </c>
      <c r="R27" s="42">
        <f>IFERROR(P27/O27,"N/A")</f>
        <v>0.85514743921365755</v>
      </c>
    </row>
    <row r="28" spans="1:18" x14ac:dyDescent="0.25">
      <c r="C28" s="33"/>
      <c r="D28" s="31"/>
      <c r="E28" s="31"/>
      <c r="F28" s="31"/>
      <c r="G28" s="34"/>
      <c r="J28" s="82"/>
      <c r="M28" s="33"/>
      <c r="N28" s="31"/>
      <c r="O28" s="31"/>
      <c r="P28" s="31"/>
      <c r="Q28" s="34"/>
    </row>
    <row r="29" spans="1:18" x14ac:dyDescent="0.25">
      <c r="B29" s="1" t="s">
        <v>405</v>
      </c>
      <c r="J29" s="82"/>
      <c r="L29" s="1" t="s">
        <v>405</v>
      </c>
    </row>
    <row r="30" spans="1:18" ht="30" x14ac:dyDescent="0.25">
      <c r="C30" s="51" t="s">
        <v>25</v>
      </c>
      <c r="D30" s="51" t="s">
        <v>31</v>
      </c>
      <c r="E30" s="9" t="s">
        <v>32</v>
      </c>
      <c r="F30" s="9" t="s">
        <v>33</v>
      </c>
      <c r="G30" s="9" t="s">
        <v>139</v>
      </c>
      <c r="H30" s="9" t="s">
        <v>140</v>
      </c>
      <c r="J30" s="82"/>
      <c r="M30" s="59" t="s">
        <v>25</v>
      </c>
      <c r="N30" s="59" t="s">
        <v>31</v>
      </c>
      <c r="O30" s="9" t="s">
        <v>32</v>
      </c>
      <c r="P30" s="9" t="s">
        <v>33</v>
      </c>
      <c r="Q30" s="9" t="s">
        <v>139</v>
      </c>
      <c r="R30" s="9" t="s">
        <v>140</v>
      </c>
    </row>
    <row r="31" spans="1:18" x14ac:dyDescent="0.25">
      <c r="C31" s="53">
        <v>1</v>
      </c>
      <c r="D31" s="29" t="s">
        <v>117</v>
      </c>
      <c r="E31" s="53">
        <f>VLOOKUP(SUBSTITUTE(SUBSTITUTE(SUBSTITUTE(SUBSTITUTE(SUBSTITUTE(SUBSTITUTE(SUBSTITUTE(SUBSTITUTE(SUBSTITUTE(SUBSTITUTE(D31,"Nguyen Trung Hieu","hieu.nguyen-trung"),"Nguyen Tai Hau","hau.nguyen-tai"),"Nguyen Duy Bang","bang.nguyen-duy"),"Luu Cong Dac","dac.luu-cong"),"Nguyen Tuan Duong","duong.nguyen"),"Do Phu Loc","loc.do-phu"),"Nguyen Kim Thanh","thanh.nguyen-kim"),"Ly Chung","chung.ly"),"Do Anh Huy","huy.do-anh"),"Nguyen Thanh Phuong","phuong.nguyen-thanh"),Merged_COEM!$C$4:$H$13,3,0)</f>
        <v>4689</v>
      </c>
      <c r="F31" s="60">
        <f>VLOOKUP(SUBSTITUTE(SUBSTITUTE(SUBSTITUTE(SUBSTITUTE(SUBSTITUTE(SUBSTITUTE(SUBSTITUTE(SUBSTITUTE(SUBSTITUTE(SUBSTITUTE(D31,"Nguyen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1" s="53">
        <f>E31/Table!$D$4</f>
        <v>10.42</v>
      </c>
      <c r="H31" s="53">
        <f>F31/Table!$C$4</f>
        <v>0</v>
      </c>
      <c r="J31" s="82"/>
      <c r="M31" s="64">
        <v>1</v>
      </c>
      <c r="N31" s="29" t="s">
        <v>117</v>
      </c>
      <c r="O31" s="64">
        <f>VLOOKUP(SUBSTITUTE(SUBSTITUTE(SUBSTITUTE(SUBSTITUTE(SUBSTITUTE(SUBSTITUTE(SUBSTITUTE(SUBSTITUTE(SUBSTITUTE(SUBSTITUTE(N31,"Nguyen Trung Hieu","hieu.nguyen-trung"),"Nguyen Tai Hau","hau.nguyen-tai"),"Nguyen Duy Bang","bang.nguyen-duy"),"Luu Cong Dac","dac.luu-cong"),"Nguyen Tuan Duong","duong.nguyen"),"Do Phu Loc","loc.do-phu"),"Nguyen Kim Thanh","thanh.nguyen-kim"),"Ly Chung","chung.ly"),"Do Anh Huy","huy.do-anh"),"Nguyen Thanh Phuong","phuong.nguyen-thanh"),Merged_JOEM!$C$4:$H$13,3,0)</f>
        <v>341.1</v>
      </c>
      <c r="P31" s="64">
        <f>VLOOKUP(SUBSTITUTE(SUBSTITUTE(SUBSTITUTE(SUBSTITUTE(SUBSTITUTE(SUBSTITUTE(SUBSTITUTE(SUBSTITUTE(SUBSTITUTE(SUBSTITUTE(N31,"Nguyen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1" s="64">
        <f>O31/Table!$D$4</f>
        <v>0.75800000000000001</v>
      </c>
      <c r="R31" s="64">
        <f>P31/Table!$C$4</f>
        <v>0</v>
      </c>
    </row>
    <row r="32" spans="1:18" x14ac:dyDescent="0.25">
      <c r="C32" s="53">
        <v>2</v>
      </c>
      <c r="D32" s="29" t="s">
        <v>118</v>
      </c>
      <c r="E32" s="64">
        <f>VLOOKUP(SUBSTITUTE(SUBSTITUTE(SUBSTITUTE(SUBSTITUTE(SUBSTITUTE(SUBSTITUTE(SUBSTITUTE(SUBSTITUTE(SUBSTITUTE(SUBSTITUTE(D32,"Nguyen Trung Hieu","hieu.nguyen-trung"),"Nguyen Tai Hau","hau.nguyen-tai"),"Nguyen Duy Bang","bang.nguyen-duy"),"Luu Cong Dac","dac.luu-cong"),"Nguyen Tuan Duong","duong.nguyen"),"Do Phu Loc","loc.do-phu"),"Nguyen Kim Thanh","thanh.nguyen-kim"),"Ly Chung","chung.ly"),"Do Anh Huy","huy.do-anh"),"Nguyen Thanh Phuong","phuong.nguyen-thanh"),Merged_COEM!$C$4:$H$13,3,0)</f>
        <v>8156</v>
      </c>
      <c r="F32" s="64">
        <f>VLOOKUP(SUBSTITUTE(SUBSTITUTE(SUBSTITUTE(SUBSTITUTE(SUBSTITUTE(SUBSTITUTE(SUBSTITUTE(SUBSTITUTE(SUBSTITUTE(SUBSTITUTE(D32,"Nguyen Trung Hieu","hieu.nguyen-trung"),"Nguyen Tai Hau","hau.nguyen-tai"),"Nguyen Duy Bang","bang.nguyen-duy"),"Luu Cong Dac","dac.luu-cong"),"Nguyen Tuan Duong","duong.nguyen"),"Do Phu Loc","loc.do-phu"),"Nguyen Kim Thanh","thanh.nguyen-kim"),"Ly Chung","chung.ly"),"Do Anh Huy","huy.do-anh"),"Nguyen Thanh Phuong","phuong.nguyen-thanh"),Merged_COEM!$C$19:$H$28,3,0)</f>
        <v>20</v>
      </c>
      <c r="G32" s="64">
        <f>E32/Table!$D$4</f>
        <v>18.124444444444446</v>
      </c>
      <c r="H32" s="64">
        <f>F32/Table!$C$4</f>
        <v>0.15384615384615385</v>
      </c>
      <c r="J32" s="82"/>
      <c r="M32" s="64">
        <v>2</v>
      </c>
      <c r="N32" s="29" t="s">
        <v>118</v>
      </c>
      <c r="O32" s="64">
        <f>VLOOKUP(SUBSTITUTE(SUBSTITUTE(SUBSTITUTE(SUBSTITUTE(SUBSTITUTE(SUBSTITUTE(SUBSTITUTE(SUBSTITUTE(SUBSTITUTE(SUBSTITUTE(N32,"Nguyen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2" s="64">
        <f>VLOOKUP(SUBSTITUTE(SUBSTITUTE(SUBSTITUTE(SUBSTITUTE(SUBSTITUTE(SUBSTITUTE(SUBSTITUTE(SUBSTITUTE(SUBSTITUTE(SUBSTITUTE(N32,"Nguyen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2" s="64">
        <f>O32/Table!$D$4</f>
        <v>0</v>
      </c>
      <c r="R32" s="64">
        <f>P32/Table!$C$4</f>
        <v>0</v>
      </c>
    </row>
    <row r="33" spans="2:18" x14ac:dyDescent="0.25">
      <c r="C33" s="53">
        <v>3</v>
      </c>
      <c r="D33" s="29" t="s">
        <v>119</v>
      </c>
      <c r="E33" s="64">
        <f>VLOOKUP(SUBSTITUTE(SUBSTITUTE(SUBSTITUTE(SUBSTITUTE(SUBSTITUTE(SUBSTITUTE(SUBSTITUTE(SUBSTITUTE(SUBSTITUTE(SUBSTITUTE(D33,"Nguyen Trung Hieu","hieu.nguyen-trung"),"Nguyen Tai Hau","hau.nguyen-tai"),"Nguyen Duy Bang","bang.nguyen-duy"),"Luu Cong Dac","dac.luu-cong"),"Nguyen Tuan Duong","duong.nguyen"),"Do Phu Loc","loc.do-phu"),"Nguyen Kim Thanh","thanh.nguyen-kim"),"Ly Chung","chung.ly"),"Do Anh Huy","huy.do-anh"),"Nguyen Thanh Phuong","phuong.nguyen-thanh"),Merged_COEM!$C$4:$H$13,3,0)</f>
        <v>7129</v>
      </c>
      <c r="F33" s="64">
        <f>VLOOKUP(SUBSTITUTE(SUBSTITUTE(SUBSTITUTE(SUBSTITUTE(SUBSTITUTE(SUBSTITUTE(SUBSTITUTE(SUBSTITUTE(SUBSTITUTE(SUBSTITUTE(D33,"Nguyen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3" s="64">
        <f>E33/Table!$D$4</f>
        <v>15.842222222222222</v>
      </c>
      <c r="H33" s="64">
        <f>F33/Table!$C$4</f>
        <v>0</v>
      </c>
      <c r="J33" s="82"/>
      <c r="M33" s="64">
        <v>3</v>
      </c>
      <c r="N33" s="29" t="s">
        <v>119</v>
      </c>
      <c r="O33" s="64">
        <f>VLOOKUP(SUBSTITUTE(SUBSTITUTE(SUBSTITUTE(SUBSTITUTE(SUBSTITUTE(SUBSTITUTE(SUBSTITUTE(SUBSTITUTE(SUBSTITUTE(SUBSTITUTE(N33,"Nguyen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3" s="64">
        <f>VLOOKUP(SUBSTITUTE(SUBSTITUTE(SUBSTITUTE(SUBSTITUTE(SUBSTITUTE(SUBSTITUTE(SUBSTITUTE(SUBSTITUTE(SUBSTITUTE(SUBSTITUTE(N33,"Nguyen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3" s="64">
        <f>O33/Table!$D$4</f>
        <v>0</v>
      </c>
      <c r="R33" s="64">
        <f>P33/Table!$C$4</f>
        <v>0</v>
      </c>
    </row>
    <row r="34" spans="2:18" x14ac:dyDescent="0.25">
      <c r="C34" s="64">
        <v>4</v>
      </c>
      <c r="D34" s="29" t="s">
        <v>120</v>
      </c>
      <c r="E34" s="64">
        <f>VLOOKUP(SUBSTITUTE(SUBSTITUTE(SUBSTITUTE(SUBSTITUTE(SUBSTITUTE(SUBSTITUTE(SUBSTITUTE(SUBSTITUTE(SUBSTITUTE(SUBSTITUTE(D34,"Nguyen Trung Hieu","hieu.nguyen-trung"),"Nguyen Tai Hau","hau.nguyen-tai"),"Nguyen Duy Bang","bang.nguyen-duy"),"Luu Cong Dac","dac.luu-cong"),"Nguyen Tuan Duong","duong.nguyen"),"Do Phu Loc","loc.do-phu"),"Nguyen Kim Thanh","thanh.nguyen-kim"),"Ly Chung","chung.ly"),"Do Anh Huy","huy.do-anh"),"Nguyen Thanh Phuong","phuong.nguyen-thanh"),Merged_COEM!$C$4:$H$13,3,0)</f>
        <v>0</v>
      </c>
      <c r="F34" s="64">
        <f>VLOOKUP(SUBSTITUTE(SUBSTITUTE(SUBSTITUTE(SUBSTITUTE(SUBSTITUTE(SUBSTITUTE(SUBSTITUTE(SUBSTITUTE(SUBSTITUTE(SUBSTITUTE(D34,"Nguyen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4" s="64">
        <f>E34/Table!$D$4</f>
        <v>0</v>
      </c>
      <c r="H34" s="64">
        <f>F34/Table!$C$4</f>
        <v>0</v>
      </c>
      <c r="J34" s="82"/>
      <c r="M34" s="64">
        <v>4</v>
      </c>
      <c r="N34" s="29" t="s">
        <v>120</v>
      </c>
      <c r="O34" s="64">
        <f>VLOOKUP(SUBSTITUTE(SUBSTITUTE(SUBSTITUTE(SUBSTITUTE(SUBSTITUTE(SUBSTITUTE(SUBSTITUTE(SUBSTITUTE(SUBSTITUTE(SUBSTITUTE(N34,"Nguyen Trung Hieu","hieu.nguyen-trung"),"Nguyen Tai Hau","hau.nguyen-tai"),"Nguyen Duy Bang","bang.nguyen-duy"),"Luu Cong Dac","dac.luu-cong"),"Nguyen Tuan Duong","duong.nguyen"),"Do Phu Loc","loc.do-phu"),"Nguyen Kim Thanh","thanh.nguyen-kim"),"Ly Chung","chung.ly"),"Do Anh Huy","huy.do-anh"),"Nguyen Thanh Phuong","phuong.nguyen-thanh"),Merged_JOEM!$C$4:$H$13,3,0)</f>
        <v>4711.2749999999996</v>
      </c>
      <c r="P34" s="64">
        <f>VLOOKUP(SUBSTITUTE(SUBSTITUTE(SUBSTITUTE(SUBSTITUTE(SUBSTITUTE(SUBSTITUTE(SUBSTITUTE(SUBSTITUTE(SUBSTITUTE(SUBSTITUTE(N34,"Nguyen Trung Hieu","hieu.nguyen-trung"),"Nguyen Tai Hau","hau.nguyen-tai"),"Nguyen Duy Bang","bang.nguyen-duy"),"Luu Cong Dac","dac.luu-cong"),"Nguyen Tuan Duong","duong.nguyen"),"Do Phu Loc","loc.do-phu"),"Nguyen Kim Thanh","thanh.nguyen-kim"),"Ly Chung","chung.ly"),"Do Anh Huy","huy.do-anh"),"Nguyen Thanh Phuong","phuong.nguyen-thanh"),Merged_JOEM!$C$19:$H$28,3,0)</f>
        <v>1764.1000000000001</v>
      </c>
      <c r="Q34" s="64">
        <f>O34/Table!$D$4</f>
        <v>10.4695</v>
      </c>
      <c r="R34" s="64">
        <f>P34/Table!$C$4</f>
        <v>13.57</v>
      </c>
    </row>
    <row r="35" spans="2:18" x14ac:dyDescent="0.25">
      <c r="C35" s="64">
        <v>5</v>
      </c>
      <c r="D35" s="29" t="s">
        <v>190</v>
      </c>
      <c r="E35" s="64">
        <f>VLOOKUP(SUBSTITUTE(SUBSTITUTE(SUBSTITUTE(SUBSTITUTE(SUBSTITUTE(SUBSTITUTE(SUBSTITUTE(SUBSTITUTE(SUBSTITUTE(SUBSTITUTE(D35,"Nguyen Trung Hieu","hieu.nguyen-trung"),"Nguyen Tai Hau","hau.nguyen-tai"),"Nguyen Duy Bang","bang.nguyen-duy"),"Luu Cong Dac","dac.luu-cong"),"Nguyen Tuan Duong","duong.nguyen"),"Do Phu Loc","loc.do-phu"),"Nguyen Kim Thanh","thanh.nguyen-kim"),"Ly Chung","chung.ly"),"Do Anh Huy","huy.do-anh"),"Nguyen Thanh Phuong","phuong.nguyen-thanh"),Merged_COEM!$C$4:$H$13,3,0)</f>
        <v>6613</v>
      </c>
      <c r="F35" s="64">
        <f>VLOOKUP(SUBSTITUTE(SUBSTITUTE(SUBSTITUTE(SUBSTITUTE(SUBSTITUTE(SUBSTITUTE(SUBSTITUTE(SUBSTITUTE(SUBSTITUTE(SUBSTITUTE(D35,"Nguyen Trung Hieu","hieu.nguyen-trung"),"Nguyen Tai Hau","hau.nguyen-tai"),"Nguyen Duy Bang","bang.nguyen-duy"),"Luu Cong Dac","dac.luu-cong"),"Nguyen Tuan Duong","duong.nguyen"),"Do Phu Loc","loc.do-phu"),"Nguyen Kim Thanh","thanh.nguyen-kim"),"Ly Chung","chung.ly"),"Do Anh Huy","huy.do-anh"),"Nguyen Thanh Phuong","phuong.nguyen-thanh"),Merged_COEM!$C$19:$H$28,3,0)</f>
        <v>93</v>
      </c>
      <c r="G35" s="64">
        <f>E35/Table!$D$4</f>
        <v>14.695555555555556</v>
      </c>
      <c r="H35" s="64">
        <f>F35/Table!$C$4</f>
        <v>0.7153846153846154</v>
      </c>
      <c r="J35" s="82"/>
      <c r="M35" s="64">
        <v>5</v>
      </c>
      <c r="N35" s="29" t="s">
        <v>190</v>
      </c>
      <c r="O35" s="64">
        <f>VLOOKUP(SUBSTITUTE(SUBSTITUTE(SUBSTITUTE(SUBSTITUTE(SUBSTITUTE(SUBSTITUTE(SUBSTITUTE(SUBSTITUTE(SUBSTITUTE(SUBSTITUTE(N35,"Nguyen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5" s="64">
        <f>VLOOKUP(SUBSTITUTE(SUBSTITUTE(SUBSTITUTE(SUBSTITUTE(SUBSTITUTE(SUBSTITUTE(SUBSTITUTE(SUBSTITUTE(SUBSTITUTE(SUBSTITUTE(N35,"Nguyen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5" s="64">
        <f>O35/Table!$D$4</f>
        <v>0</v>
      </c>
      <c r="R35" s="64">
        <f>P35/Table!$C$4</f>
        <v>0</v>
      </c>
    </row>
    <row r="36" spans="2:18" x14ac:dyDescent="0.25">
      <c r="C36" s="64">
        <v>6</v>
      </c>
      <c r="D36" s="29" t="s">
        <v>191</v>
      </c>
      <c r="E36" s="64">
        <f>VLOOKUP(SUBSTITUTE(SUBSTITUTE(SUBSTITUTE(SUBSTITUTE(SUBSTITUTE(SUBSTITUTE(SUBSTITUTE(SUBSTITUTE(SUBSTITUTE(SUBSTITUTE(D36,"Nguyen Trung Hieu","hieu.nguyen-trung"),"Nguyen Tai Hau","hau.nguyen-tai"),"Nguyen Duy Bang","bang.nguyen-duy"),"Luu Cong Dac","dac.luu-cong"),"Nguyen Tuan Duong","duong.nguyen"),"Do Phu Loc","loc.do-phu"),"Nguyen Kim Thanh","thanh.nguyen-kim"),"Ly Chung","chung.ly"),"Do Anh Huy","huy.do-anh"),"Nguyen Thanh Phuong","phuong.nguyen-thanh"),Merged_COEM!$C$4:$H$13,3,0)</f>
        <v>6931</v>
      </c>
      <c r="F36" s="64">
        <f>VLOOKUP(SUBSTITUTE(SUBSTITUTE(SUBSTITUTE(SUBSTITUTE(SUBSTITUTE(SUBSTITUTE(SUBSTITUTE(SUBSTITUTE(SUBSTITUTE(SUBSTITUTE(D36,"Nguyen Trung Hieu","hieu.nguyen-trung"),"Nguyen Tai Hau","hau.nguyen-tai"),"Nguyen Duy Bang","bang.nguyen-duy"),"Luu Cong Dac","dac.luu-cong"),"Nguyen Tuan Duong","duong.nguyen"),"Do Phu Loc","loc.do-phu"),"Nguyen Kim Thanh","thanh.nguyen-kim"),"Ly Chung","chung.ly"),"Do Anh Huy","huy.do-anh"),"Nguyen Thanh Phuong","phuong.nguyen-thanh"),Merged_COEM!$C$19:$H$28,3,0)</f>
        <v>166</v>
      </c>
      <c r="G36" s="64">
        <f>E36/Table!$D$4</f>
        <v>15.402222222222223</v>
      </c>
      <c r="H36" s="64">
        <f>F36/Table!$C$4</f>
        <v>1.2769230769230768</v>
      </c>
      <c r="J36" s="82"/>
      <c r="M36" s="64">
        <v>6</v>
      </c>
      <c r="N36" s="29" t="s">
        <v>191</v>
      </c>
      <c r="O36" s="64">
        <f>VLOOKUP(SUBSTITUTE(SUBSTITUTE(SUBSTITUTE(SUBSTITUTE(SUBSTITUTE(SUBSTITUTE(SUBSTITUTE(SUBSTITUTE(SUBSTITUTE(SUBSTITUTE(N36,"Nguyen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6" s="64">
        <f>VLOOKUP(SUBSTITUTE(SUBSTITUTE(SUBSTITUTE(SUBSTITUTE(SUBSTITUTE(SUBSTITUTE(SUBSTITUTE(SUBSTITUTE(SUBSTITUTE(SUBSTITUTE(N36,"Nguyen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6" s="64">
        <f>O36/Table!$D$4</f>
        <v>0</v>
      </c>
      <c r="R36" s="64">
        <f>P36/Table!$C$4</f>
        <v>0</v>
      </c>
    </row>
    <row r="37" spans="2:18" x14ac:dyDescent="0.25">
      <c r="C37" s="64">
        <v>7</v>
      </c>
      <c r="D37" s="29" t="s">
        <v>192</v>
      </c>
      <c r="E37" s="64">
        <f>VLOOKUP(SUBSTITUTE(SUBSTITUTE(SUBSTITUTE(SUBSTITUTE(SUBSTITUTE(SUBSTITUTE(SUBSTITUTE(SUBSTITUTE(SUBSTITUTE(SUBSTITUTE(D37,"Nguyen Trung Hieu","hieu.nguyen-trung"),"Nguyen Tai Hau","hau.nguyen-tai"),"Nguyen Duy Bang","bang.nguyen-duy"),"Luu Cong Dac","dac.luu-cong"),"Nguyen Tuan Duong","duong.nguyen"),"Do Phu Loc","loc.do-phu"),"Nguyen Kim Thanh","thanh.nguyen-kim"),"Ly Chung","chung.ly"),"Do Anh Huy","huy.do-anh"),"Nguyen Thanh Phuong","phuong.nguyen-thanh"),Merged_COEM!$C$4:$H$13,3,0)</f>
        <v>7317</v>
      </c>
      <c r="F37" s="64">
        <f>VLOOKUP(SUBSTITUTE(SUBSTITUTE(SUBSTITUTE(SUBSTITUTE(SUBSTITUTE(SUBSTITUTE(SUBSTITUTE(SUBSTITUTE(SUBSTITUTE(SUBSTITUTE(D37,"Nguyen Trung Hieu","hieu.nguyen-trung"),"Nguyen Tai Hau","hau.nguyen-tai"),"Nguyen Duy Bang","bang.nguyen-duy"),"Luu Cong Dac","dac.luu-cong"),"Nguyen Tuan Duong","duong.nguyen"),"Do Phu Loc","loc.do-phu"),"Nguyen Kim Thanh","thanh.nguyen-kim"),"Ly Chung","chung.ly"),"Do Anh Huy","huy.do-anh"),"Nguyen Thanh Phuong","phuong.nguyen-thanh"),Merged_COEM!$C$19:$H$28,3,0)</f>
        <v>162</v>
      </c>
      <c r="G37" s="64">
        <f>E37/Table!$D$4</f>
        <v>16.260000000000002</v>
      </c>
      <c r="H37" s="64">
        <f>F37/Table!$C$4</f>
        <v>1.2461538461538462</v>
      </c>
      <c r="J37" s="82"/>
      <c r="M37" s="64">
        <v>7</v>
      </c>
      <c r="N37" s="29" t="s">
        <v>192</v>
      </c>
      <c r="O37" s="64">
        <f>VLOOKUP(SUBSTITUTE(SUBSTITUTE(SUBSTITUTE(SUBSTITUTE(SUBSTITUTE(SUBSTITUTE(SUBSTITUTE(SUBSTITUTE(SUBSTITUTE(SUBSTITUTE(N37,"Nguyen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7" s="64">
        <f>VLOOKUP(SUBSTITUTE(SUBSTITUTE(SUBSTITUTE(SUBSTITUTE(SUBSTITUTE(SUBSTITUTE(SUBSTITUTE(SUBSTITUTE(SUBSTITUTE(SUBSTITUTE(N37,"Nguyen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7" s="64">
        <f>O37/Table!$D$4</f>
        <v>0</v>
      </c>
      <c r="R37" s="64">
        <f>P37/Table!$C$4</f>
        <v>0</v>
      </c>
    </row>
    <row r="38" spans="2:18" x14ac:dyDescent="0.25">
      <c r="C38" s="64">
        <v>8</v>
      </c>
      <c r="D38" s="29" t="s">
        <v>193</v>
      </c>
      <c r="E38" s="64">
        <f>VLOOKUP(SUBSTITUTE(SUBSTITUTE(SUBSTITUTE(SUBSTITUTE(SUBSTITUTE(SUBSTITUTE(SUBSTITUTE(SUBSTITUTE(SUBSTITUTE(SUBSTITUTE(D38,"Nguyen Trung Hieu","hieu.nguyen-trung"),"Nguyen Tai Hau","hau.nguyen-tai"),"Nguyen Duy Bang","bang.nguyen-duy"),"Luu Cong Dac","dac.luu-cong"),"Nguyen Tuan Duong","duong.nguyen"),"Do Phu Loc","loc.do-phu"),"Nguyen Kim Thanh","thanh.nguyen-kim"),"Ly Chung","chung.ly"),"Do Anh Huy","huy.do-anh"),"Nguyen Thanh Phuong","phuong.nguyen-thanh"),Merged_COEM!$C$4:$H$13,3,0)</f>
        <v>7543</v>
      </c>
      <c r="F38" s="64">
        <f>VLOOKUP(SUBSTITUTE(SUBSTITUTE(SUBSTITUTE(SUBSTITUTE(SUBSTITUTE(SUBSTITUTE(SUBSTITUTE(SUBSTITUTE(SUBSTITUTE(SUBSTITUTE(D38,"Nguyen Trung Hieu","hieu.nguyen-trung"),"Nguyen Tai Hau","hau.nguyen-tai"),"Nguyen Duy Bang","bang.nguyen-duy"),"Luu Cong Dac","dac.luu-cong"),"Nguyen Tuan Duong","duong.nguyen"),"Do Phu Loc","loc.do-phu"),"Nguyen Kim Thanh","thanh.nguyen-kim"),"Ly Chung","chung.ly"),"Do Anh Huy","huy.do-anh"),"Nguyen Thanh Phuong","phuong.nguyen-thanh"),Merged_COEM!$C$19:$H$28,3,0)</f>
        <v>11</v>
      </c>
      <c r="G38" s="64">
        <f>E38/Table!$D$4</f>
        <v>16.762222222222221</v>
      </c>
      <c r="H38" s="64">
        <f>F38/Table!$C$4</f>
        <v>8.461538461538462E-2</v>
      </c>
      <c r="J38" s="82"/>
      <c r="M38" s="64">
        <v>8</v>
      </c>
      <c r="N38" s="29" t="s">
        <v>193</v>
      </c>
      <c r="O38" s="64">
        <f>VLOOKUP(SUBSTITUTE(SUBSTITUTE(SUBSTITUTE(SUBSTITUTE(SUBSTITUTE(SUBSTITUTE(SUBSTITUTE(SUBSTITUTE(SUBSTITUTE(SUBSTITUTE(N38,"Nguyen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8" s="64">
        <f>VLOOKUP(SUBSTITUTE(SUBSTITUTE(SUBSTITUTE(SUBSTITUTE(SUBSTITUTE(SUBSTITUTE(SUBSTITUTE(SUBSTITUTE(SUBSTITUTE(SUBSTITUTE(N38,"Nguyen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8" s="64">
        <f>O38/Table!$D$4</f>
        <v>0</v>
      </c>
      <c r="R38" s="64">
        <f>P38/Table!$C$4</f>
        <v>0</v>
      </c>
    </row>
    <row r="39" spans="2:18" x14ac:dyDescent="0.25">
      <c r="C39" s="64">
        <v>9</v>
      </c>
      <c r="D39" s="29" t="s">
        <v>180</v>
      </c>
      <c r="E39" s="64">
        <f>VLOOKUP(SUBSTITUTE(SUBSTITUTE(SUBSTITUTE(SUBSTITUTE(SUBSTITUTE(SUBSTITUTE(SUBSTITUTE(SUBSTITUTE(SUBSTITUTE(SUBSTITUTE(D39,"Nguyen Trung Hieu","hieu.nguyen-trung"),"Nguyen Tai Hau","hau.nguyen-tai"),"Nguyen Duy Bang","bang.nguyen-duy"),"Luu Cong Dac","dac.luu-cong"),"Nguyen Tuan Duong","duong.nguyen"),"Do Phu Loc","loc.do-phu"),"Nguyen Kim Thanh","thanh.nguyen-kim"),"Ly Chung","chung.ly"),"Do Anh Huy","huy.do-anh"),"Nguyen Thanh Phuong","phuong.nguyen-thanh"),Merged_COEM!$C$4:$H$13,3,0)</f>
        <v>0</v>
      </c>
      <c r="F39" s="64">
        <f>VLOOKUP(SUBSTITUTE(SUBSTITUTE(SUBSTITUTE(SUBSTITUTE(SUBSTITUTE(SUBSTITUTE(SUBSTITUTE(SUBSTITUTE(SUBSTITUTE(SUBSTITUTE(D39,"Nguyen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9" s="64">
        <f>E39/Table!$D$4</f>
        <v>0</v>
      </c>
      <c r="H39" s="64">
        <f>F39/Table!$C$4</f>
        <v>0</v>
      </c>
      <c r="J39" s="82"/>
      <c r="M39" s="64">
        <v>9</v>
      </c>
      <c r="N39" s="29" t="s">
        <v>180</v>
      </c>
      <c r="O39" s="64">
        <f>VLOOKUP(SUBSTITUTE(SUBSTITUTE(SUBSTITUTE(SUBSTITUTE(SUBSTITUTE(SUBSTITUTE(SUBSTITUTE(SUBSTITUTE(SUBSTITUTE(SUBSTITUTE(N39,"Nguyen Trung Hieu","hieu.nguyen-trung"),"Nguyen Tai Hau","hau.nguyen-tai"),"Nguyen Duy Bang","bang.nguyen-duy"),"Luu Cong Dac","dac.luu-cong"),"Nguyen Tuan Duong","duong.nguyen"),"Do Phu Loc","loc.do-phu"),"Nguyen Kim Thanh","thanh.nguyen-kim"),"Ly Chung","chung.ly"),"Do Anh Huy","huy.do-anh"),"Nguyen Thanh Phuong","phuong.nguyen-thanh"),Merged_JOEM!$C$4:$H$13,3,0)</f>
        <v>5027.8500000000004</v>
      </c>
      <c r="P39" s="64">
        <f>VLOOKUP(SUBSTITUTE(SUBSTITUTE(SUBSTITUTE(SUBSTITUTE(SUBSTITUTE(SUBSTITUTE(SUBSTITUTE(SUBSTITUTE(SUBSTITUTE(SUBSTITUTE(N39,"Nguyen Trung Hieu","hieu.nguyen-trung"),"Nguyen Tai Hau","hau.nguyen-tai"),"Nguyen Duy Bang","bang.nguyen-duy"),"Luu Cong Dac","dac.luu-cong"),"Nguyen Tuan Duong","duong.nguyen"),"Do Phu Loc","loc.do-phu"),"Nguyen Kim Thanh","thanh.nguyen-kim"),"Ly Chung","chung.ly"),"Do Anh Huy","huy.do-anh"),"Nguyen Thanh Phuong","phuong.nguyen-thanh"),Merged_JOEM!$C$19:$H$28,3,0)</f>
        <v>384.8</v>
      </c>
      <c r="Q39" s="64">
        <f>O39/Table!$D$4</f>
        <v>11.173</v>
      </c>
      <c r="R39" s="64">
        <f>P39/Table!$C$4</f>
        <v>2.96</v>
      </c>
    </row>
    <row r="40" spans="2:18" x14ac:dyDescent="0.25">
      <c r="C40" s="64">
        <v>10</v>
      </c>
      <c r="D40" s="29" t="s">
        <v>179</v>
      </c>
      <c r="E40" s="64">
        <f>VLOOKUP(SUBSTITUTE(SUBSTITUTE(SUBSTITUTE(SUBSTITUTE(SUBSTITUTE(SUBSTITUTE(SUBSTITUTE(SUBSTITUTE(SUBSTITUTE(SUBSTITUTE(D40,"Nguyen Trung Hieu","hieu.nguyen-trung"),"Nguyen Tai Hau","hau.nguyen-tai"),"Nguyen Duy Bang","bang.nguyen-duy"),"Luu Cong Dac","dac.luu-cong"),"Nguyen Tuan Duong","duong.nguyen"),"Do Phu Loc","loc.do-phu"),"Nguyen Kim Thanh","thanh.nguyen-kim"),"Ly Chung","chung.ly"),"Do Anh Huy","huy.do-anh"),"Nguyen Thanh Phuong","phuong.nguyen-thanh"),Merged_COEM!$C$4:$H$13,3,0)</f>
        <v>5016</v>
      </c>
      <c r="F40" s="64">
        <f>VLOOKUP(SUBSTITUTE(SUBSTITUTE(SUBSTITUTE(SUBSTITUTE(SUBSTITUTE(SUBSTITUTE(SUBSTITUTE(SUBSTITUTE(SUBSTITUTE(SUBSTITUTE(D40,"Nguyen Trung Hieu","hieu.nguyen-trung"),"Nguyen Tai Hau","hau.nguyen-tai"),"Nguyen Duy Bang","bang.nguyen-duy"),"Luu Cong Dac","dac.luu-cong"),"Nguyen Tuan Duong","duong.nguyen"),"Do Phu Loc","loc.do-phu"),"Nguyen Kim Thanh","thanh.nguyen-kim"),"Ly Chung","chung.ly"),"Do Anh Huy","huy.do-anh"),"Nguyen Thanh Phuong","phuong.nguyen-thanh"),Merged_COEM!$C$19:$H$28,3,0)</f>
        <v>97</v>
      </c>
      <c r="G40" s="64">
        <f>E40/Table!$D$4</f>
        <v>11.146666666666667</v>
      </c>
      <c r="H40" s="64">
        <f>F40/Table!$C$4</f>
        <v>0.74615384615384617</v>
      </c>
      <c r="J40" s="82"/>
      <c r="M40" s="64">
        <v>10</v>
      </c>
      <c r="N40" s="29" t="s">
        <v>179</v>
      </c>
      <c r="O40" s="64">
        <f>VLOOKUP(SUBSTITUTE(SUBSTITUTE(SUBSTITUTE(SUBSTITUTE(SUBSTITUTE(SUBSTITUTE(SUBSTITUTE(SUBSTITUTE(SUBSTITUTE(SUBSTITUTE(N40,"Nguyen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40" s="64">
        <f>VLOOKUP(SUBSTITUTE(SUBSTITUTE(SUBSTITUTE(SUBSTITUTE(SUBSTITUTE(SUBSTITUTE(SUBSTITUTE(SUBSTITUTE(SUBSTITUTE(SUBSTITUTE(N40,"Nguyen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40" s="64">
        <f>O40/Table!$D$4</f>
        <v>0</v>
      </c>
      <c r="R40" s="64">
        <f>P40/Table!$C$4</f>
        <v>0</v>
      </c>
    </row>
    <row r="41" spans="2:18" x14ac:dyDescent="0.25">
      <c r="C41" s="30"/>
      <c r="D41" s="30"/>
      <c r="E41" s="31"/>
      <c r="F41" s="31"/>
      <c r="J41" s="82"/>
      <c r="M41" s="30"/>
      <c r="N41" s="30"/>
      <c r="O41" s="31"/>
      <c r="P41" s="31"/>
    </row>
    <row r="42" spans="2:18" x14ac:dyDescent="0.25">
      <c r="B42" s="1" t="s">
        <v>34</v>
      </c>
      <c r="J42" s="82"/>
      <c r="L42" s="1" t="s">
        <v>34</v>
      </c>
    </row>
    <row r="43" spans="2:18" x14ac:dyDescent="0.25">
      <c r="C43" s="59" t="s">
        <v>25</v>
      </c>
      <c r="D43" s="54" t="s">
        <v>35</v>
      </c>
      <c r="E43" s="55"/>
      <c r="F43" s="56"/>
      <c r="J43" s="82"/>
      <c r="M43" s="59" t="s">
        <v>25</v>
      </c>
      <c r="N43" s="54" t="s">
        <v>35</v>
      </c>
      <c r="O43" s="55"/>
      <c r="P43" s="56"/>
    </row>
    <row r="44" spans="2:18" x14ac:dyDescent="0.25">
      <c r="C44" s="64">
        <v>1</v>
      </c>
      <c r="D44" s="38" t="s">
        <v>61</v>
      </c>
      <c r="E44" s="39"/>
      <c r="F44" s="40"/>
      <c r="J44" s="82"/>
      <c r="M44" s="64">
        <v>1</v>
      </c>
      <c r="N44" s="38" t="s">
        <v>61</v>
      </c>
      <c r="O44" s="39"/>
      <c r="P44" s="40"/>
    </row>
    <row r="45" spans="2:18" x14ac:dyDescent="0.25">
      <c r="C45" s="64">
        <v>2</v>
      </c>
      <c r="D45" s="38" t="s">
        <v>61</v>
      </c>
      <c r="E45" s="39"/>
      <c r="F45" s="40"/>
      <c r="J45" s="82"/>
      <c r="M45" s="64">
        <v>2</v>
      </c>
      <c r="N45" s="38" t="s">
        <v>61</v>
      </c>
      <c r="O45" s="39"/>
      <c r="P45" s="40"/>
    </row>
    <row r="46" spans="2:18" x14ac:dyDescent="0.25">
      <c r="C46" s="64">
        <v>3</v>
      </c>
      <c r="D46" s="38" t="s">
        <v>61</v>
      </c>
      <c r="E46" s="39"/>
      <c r="F46" s="40"/>
      <c r="J46" s="82"/>
      <c r="M46" s="64">
        <v>3</v>
      </c>
      <c r="N46" s="38" t="s">
        <v>61</v>
      </c>
      <c r="O46" s="39"/>
      <c r="P46" s="40"/>
    </row>
    <row r="47" spans="2:18" x14ac:dyDescent="0.25">
      <c r="C47" s="64">
        <v>4</v>
      </c>
      <c r="D47" s="38" t="s">
        <v>61</v>
      </c>
      <c r="E47" s="39"/>
      <c r="F47" s="40"/>
      <c r="J47" s="82"/>
      <c r="M47" s="64">
        <v>4</v>
      </c>
      <c r="N47" s="38" t="s">
        <v>61</v>
      </c>
      <c r="O47" s="39"/>
      <c r="P47" s="40"/>
    </row>
    <row r="48" spans="2:18" x14ac:dyDescent="0.25">
      <c r="J48" s="82"/>
    </row>
    <row r="49" spans="2:16" x14ac:dyDescent="0.25">
      <c r="B49" s="1" t="s">
        <v>406</v>
      </c>
      <c r="J49" s="82"/>
      <c r="L49" s="1" t="s">
        <v>406</v>
      </c>
    </row>
    <row r="50" spans="2:16" x14ac:dyDescent="0.25">
      <c r="C50" s="51" t="s">
        <v>25</v>
      </c>
      <c r="D50" s="51" t="s">
        <v>31</v>
      </c>
      <c r="E50" s="9" t="s">
        <v>137</v>
      </c>
      <c r="F50" s="9" t="s">
        <v>138</v>
      </c>
      <c r="J50" s="82"/>
      <c r="M50" s="59" t="s">
        <v>25</v>
      </c>
      <c r="N50" s="59" t="s">
        <v>31</v>
      </c>
      <c r="O50" s="9" t="s">
        <v>137</v>
      </c>
      <c r="P50" s="9" t="s">
        <v>138</v>
      </c>
    </row>
    <row r="51" spans="2:16" x14ac:dyDescent="0.25">
      <c r="C51" s="64">
        <v>1</v>
      </c>
      <c r="D51" s="29" t="s">
        <v>117</v>
      </c>
      <c r="E51" s="52">
        <f>VLOOKUP(SUBSTITUTE(SUBSTITUTE(SUBSTITUTE(SUBSTITUTE(SUBSTITUTE(SUBSTITUTE(SUBSTITUTE(SUBSTITUTE(SUBSTITUTE(SUBSTITUTE(D51,"Nguyen Trung Hieu","hieu.nguyen-trung"),"Nguyen Tai Hau","hau.nguyen-tai"),"Nguyen Duy Bang","bang.nguyen-duy"),"Luu Cong Dac","dac.luu-cong"),"Nguyen Tuan Duong","duong.nguyen"),"Do Phu Loc","loc.do-phu"),"Nguyen Kim Thanh","thanh.nguyen-kim"),"Ly Chung","chung.ly"),"Do Anh Huy","huy.do-anh"),"Nguyen Thanh Phuong","phuong.nguyen-thanh"),Merged_COEM!$C$34:$J$43,7,0)</f>
        <v>1</v>
      </c>
      <c r="F51" s="60">
        <f>VLOOKUP(SUBSTITUTE(SUBSTITUTE(SUBSTITUTE(SUBSTITUTE(SUBSTITUTE(SUBSTITUTE(SUBSTITUTE(SUBSTITUTE(SUBSTITUTE(SUBSTITUTE(D51,"Nguyen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1" s="82"/>
      <c r="M51" s="64">
        <v>1</v>
      </c>
      <c r="N51" s="29" t="s">
        <v>117</v>
      </c>
      <c r="O51" s="63">
        <f>VLOOKUP(SUBSTITUTE(SUBSTITUTE(SUBSTITUTE(SUBSTITUTE(SUBSTITUTE(SUBSTITUTE(SUBSTITUTE(SUBSTITUTE(SUBSTITUTE(SUBSTITUTE(N51,"Nguyen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1" s="64">
        <f>VLOOKUP(SUBSTITUTE(SUBSTITUTE(SUBSTITUTE(SUBSTITUTE(SUBSTITUTE(SUBSTITUTE(SUBSTITUTE(SUBSTITUTE(SUBSTITUTE(SUBSTITUTE(N51,"Nguyen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2" spans="2:16" x14ac:dyDescent="0.25">
      <c r="C52" s="64">
        <v>2</v>
      </c>
      <c r="D52" s="29" t="s">
        <v>118</v>
      </c>
      <c r="E52" s="63">
        <f>VLOOKUP(SUBSTITUTE(SUBSTITUTE(SUBSTITUTE(SUBSTITUTE(SUBSTITUTE(SUBSTITUTE(SUBSTITUTE(SUBSTITUTE(SUBSTITUTE(SUBSTITUTE(D52,"Nguyen Trung Hieu","hieu.nguyen-trung"),"Nguyen Tai Hau","hau.nguyen-tai"),"Nguyen Duy Bang","bang.nguyen-duy"),"Luu Cong Dac","dac.luu-cong"),"Nguyen Tuan Duong","duong.nguyen"),"Do Phu Loc","loc.do-phu"),"Nguyen Kim Thanh","thanh.nguyen-kim"),"Ly Chung","chung.ly"),"Do Anh Huy","huy.do-anh"),"Nguyen Thanh Phuong","phuong.nguyen-thanh"),Merged_COEM!$C$34:$J$43,7,0)</f>
        <v>4</v>
      </c>
      <c r="F52" s="64">
        <f>VLOOKUP(SUBSTITUTE(SUBSTITUTE(SUBSTITUTE(SUBSTITUTE(SUBSTITUTE(SUBSTITUTE(SUBSTITUTE(SUBSTITUTE(SUBSTITUTE(SUBSTITUTE(D52,"Nguyen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2" s="82"/>
      <c r="M52" s="64">
        <v>2</v>
      </c>
      <c r="N52" s="29" t="s">
        <v>118</v>
      </c>
      <c r="O52" s="63">
        <f>VLOOKUP(SUBSTITUTE(SUBSTITUTE(SUBSTITUTE(SUBSTITUTE(SUBSTITUTE(SUBSTITUTE(SUBSTITUTE(SUBSTITUTE(SUBSTITUTE(SUBSTITUTE(N52,"Nguyen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2" s="64">
        <f>VLOOKUP(SUBSTITUTE(SUBSTITUTE(SUBSTITUTE(SUBSTITUTE(SUBSTITUTE(SUBSTITUTE(SUBSTITUTE(SUBSTITUTE(SUBSTITUTE(SUBSTITUTE(N52,"Nguyen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3" spans="2:16" x14ac:dyDescent="0.25">
      <c r="C53" s="64">
        <v>3</v>
      </c>
      <c r="D53" s="29" t="s">
        <v>119</v>
      </c>
      <c r="E53" s="63">
        <f>VLOOKUP(SUBSTITUTE(SUBSTITUTE(SUBSTITUTE(SUBSTITUTE(SUBSTITUTE(SUBSTITUTE(SUBSTITUTE(SUBSTITUTE(SUBSTITUTE(SUBSTITUTE(D53,"Nguyen Trung Hieu","hieu.nguyen-trung"),"Nguyen Tai Hau","hau.nguyen-tai"),"Nguyen Duy Bang","bang.nguyen-duy"),"Luu Cong Dac","dac.luu-cong"),"Nguyen Tuan Duong","duong.nguyen"),"Do Phu Loc","loc.do-phu"),"Nguyen Kim Thanh","thanh.nguyen-kim"),"Ly Chung","chung.ly"),"Do Anh Huy","huy.do-anh"),"Nguyen Thanh Phuong","phuong.nguyen-thanh"),Merged_COEM!$C$34:$J$43,7,0)</f>
        <v>4</v>
      </c>
      <c r="F53" s="64">
        <f>VLOOKUP(SUBSTITUTE(SUBSTITUTE(SUBSTITUTE(SUBSTITUTE(SUBSTITUTE(SUBSTITUTE(SUBSTITUTE(SUBSTITUTE(SUBSTITUTE(SUBSTITUTE(D53,"Nguyen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3" s="82"/>
      <c r="M53" s="64">
        <v>3</v>
      </c>
      <c r="N53" s="29" t="s">
        <v>119</v>
      </c>
      <c r="O53" s="63">
        <f>VLOOKUP(SUBSTITUTE(SUBSTITUTE(SUBSTITUTE(SUBSTITUTE(SUBSTITUTE(SUBSTITUTE(SUBSTITUTE(SUBSTITUTE(SUBSTITUTE(SUBSTITUTE(N53,"Nguyen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3" s="64">
        <f>VLOOKUP(SUBSTITUTE(SUBSTITUTE(SUBSTITUTE(SUBSTITUTE(SUBSTITUTE(SUBSTITUTE(SUBSTITUTE(SUBSTITUTE(SUBSTITUTE(SUBSTITUTE(N53,"Nguyen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4" spans="2:16" x14ac:dyDescent="0.25">
      <c r="C54" s="64">
        <v>4</v>
      </c>
      <c r="D54" s="29" t="s">
        <v>120</v>
      </c>
      <c r="E54" s="63">
        <f>VLOOKUP(SUBSTITUTE(SUBSTITUTE(SUBSTITUTE(SUBSTITUTE(SUBSTITUTE(SUBSTITUTE(SUBSTITUTE(SUBSTITUTE(SUBSTITUTE(SUBSTITUTE(D54,"Nguyen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54" s="64">
        <f>VLOOKUP(SUBSTITUTE(SUBSTITUTE(SUBSTITUTE(SUBSTITUTE(SUBSTITUTE(SUBSTITUTE(SUBSTITUTE(SUBSTITUTE(SUBSTITUTE(SUBSTITUTE(D54,"Nguyen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4" s="82"/>
      <c r="M54" s="64">
        <v>4</v>
      </c>
      <c r="N54" s="29" t="s">
        <v>120</v>
      </c>
      <c r="O54" s="63">
        <f>VLOOKUP(SUBSTITUTE(SUBSTITUTE(SUBSTITUTE(SUBSTITUTE(SUBSTITUTE(SUBSTITUTE(SUBSTITUTE(SUBSTITUTE(SUBSTITUTE(SUBSTITUTE(N54,"Nguyen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4" s="64">
        <f>VLOOKUP(SUBSTITUTE(SUBSTITUTE(SUBSTITUTE(SUBSTITUTE(SUBSTITUTE(SUBSTITUTE(SUBSTITUTE(SUBSTITUTE(SUBSTITUTE(SUBSTITUTE(N54,"Nguyen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5" spans="2:16" x14ac:dyDescent="0.25">
      <c r="C55" s="64">
        <v>5</v>
      </c>
      <c r="D55" s="29" t="s">
        <v>190</v>
      </c>
      <c r="E55" s="63">
        <f>VLOOKUP(SUBSTITUTE(SUBSTITUTE(SUBSTITUTE(SUBSTITUTE(SUBSTITUTE(SUBSTITUTE(SUBSTITUTE(SUBSTITUTE(SUBSTITUTE(SUBSTITUTE(D55,"Nguyen Trung Hieu","hieu.nguyen-trung"),"Nguyen Tai Hau","hau.nguyen-tai"),"Nguyen Duy Bang","bang.nguyen-duy"),"Luu Cong Dac","dac.luu-cong"),"Nguyen Tuan Duong","duong.nguyen"),"Do Phu Loc","loc.do-phu"),"Nguyen Kim Thanh","thanh.nguyen-kim"),"Ly Chung","chung.ly"),"Do Anh Huy","huy.do-anh"),"Nguyen Thanh Phuong","phuong.nguyen-thanh"),Merged_COEM!$C$34:$J$43,7,0)</f>
        <v>7</v>
      </c>
      <c r="F55" s="64">
        <f>VLOOKUP(SUBSTITUTE(SUBSTITUTE(SUBSTITUTE(SUBSTITUTE(SUBSTITUTE(SUBSTITUTE(SUBSTITUTE(SUBSTITUTE(SUBSTITUTE(SUBSTITUTE(D55,"Nguyen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5" s="82"/>
      <c r="M55" s="64">
        <v>5</v>
      </c>
      <c r="N55" s="29" t="s">
        <v>190</v>
      </c>
      <c r="O55" s="63">
        <f>VLOOKUP(SUBSTITUTE(SUBSTITUTE(SUBSTITUTE(SUBSTITUTE(SUBSTITUTE(SUBSTITUTE(SUBSTITUTE(SUBSTITUTE(SUBSTITUTE(SUBSTITUTE(N55,"Nguyen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5" s="64">
        <f>VLOOKUP(SUBSTITUTE(SUBSTITUTE(SUBSTITUTE(SUBSTITUTE(SUBSTITUTE(SUBSTITUTE(SUBSTITUTE(SUBSTITUTE(SUBSTITUTE(SUBSTITUTE(N55,"Nguyen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6" spans="2:16" x14ac:dyDescent="0.25">
      <c r="C56" s="64">
        <v>6</v>
      </c>
      <c r="D56" s="29" t="s">
        <v>191</v>
      </c>
      <c r="E56" s="63">
        <f>VLOOKUP(SUBSTITUTE(SUBSTITUTE(SUBSTITUTE(SUBSTITUTE(SUBSTITUTE(SUBSTITUTE(SUBSTITUTE(SUBSTITUTE(SUBSTITUTE(SUBSTITUTE(D56,"Nguyen Trung Hieu","hieu.nguyen-trung"),"Nguyen Tai Hau","hau.nguyen-tai"),"Nguyen Duy Bang","bang.nguyen-duy"),"Luu Cong Dac","dac.luu-cong"),"Nguyen Tuan Duong","duong.nguyen"),"Do Phu Loc","loc.do-phu"),"Nguyen Kim Thanh","thanh.nguyen-kim"),"Ly Chung","chung.ly"),"Do Anh Huy","huy.do-anh"),"Nguyen Thanh Phuong","phuong.nguyen-thanh"),Merged_COEM!$C$34:$J$43,7,0)</f>
        <v>5</v>
      </c>
      <c r="F56" s="64">
        <f>VLOOKUP(SUBSTITUTE(SUBSTITUTE(SUBSTITUTE(SUBSTITUTE(SUBSTITUTE(SUBSTITUTE(SUBSTITUTE(SUBSTITUTE(SUBSTITUTE(SUBSTITUTE(D56,"Nguyen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6" s="82"/>
      <c r="M56" s="64">
        <v>6</v>
      </c>
      <c r="N56" s="29" t="s">
        <v>191</v>
      </c>
      <c r="O56" s="63">
        <f>VLOOKUP(SUBSTITUTE(SUBSTITUTE(SUBSTITUTE(SUBSTITUTE(SUBSTITUTE(SUBSTITUTE(SUBSTITUTE(SUBSTITUTE(SUBSTITUTE(SUBSTITUTE(N56,"Nguyen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6" s="64">
        <f>VLOOKUP(SUBSTITUTE(SUBSTITUTE(SUBSTITUTE(SUBSTITUTE(SUBSTITUTE(SUBSTITUTE(SUBSTITUTE(SUBSTITUTE(SUBSTITUTE(SUBSTITUTE(N56,"Nguyen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7" spans="2:16" x14ac:dyDescent="0.25">
      <c r="C57" s="64">
        <v>7</v>
      </c>
      <c r="D57" s="29" t="s">
        <v>192</v>
      </c>
      <c r="E57" s="63">
        <f>VLOOKUP(SUBSTITUTE(SUBSTITUTE(SUBSTITUTE(SUBSTITUTE(SUBSTITUTE(SUBSTITUTE(SUBSTITUTE(SUBSTITUTE(SUBSTITUTE(SUBSTITUTE(D57,"Nguyen Trung Hieu","hieu.nguyen-trung"),"Nguyen Tai Hau","hau.nguyen-tai"),"Nguyen Duy Bang","bang.nguyen-duy"),"Luu Cong Dac","dac.luu-cong"),"Nguyen Tuan Duong","duong.nguyen"),"Do Phu Loc","loc.do-phu"),"Nguyen Kim Thanh","thanh.nguyen-kim"),"Ly Chung","chung.ly"),"Do Anh Huy","huy.do-anh"),"Nguyen Thanh Phuong","phuong.nguyen-thanh"),Merged_COEM!$C$34:$J$43,7,0)</f>
        <v>9</v>
      </c>
      <c r="F57" s="64">
        <f>VLOOKUP(SUBSTITUTE(SUBSTITUTE(SUBSTITUTE(SUBSTITUTE(SUBSTITUTE(SUBSTITUTE(SUBSTITUTE(SUBSTITUTE(SUBSTITUTE(SUBSTITUTE(D57,"Nguyen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7" s="82"/>
      <c r="M57" s="64">
        <v>7</v>
      </c>
      <c r="N57" s="29" t="s">
        <v>192</v>
      </c>
      <c r="O57" s="63">
        <f>VLOOKUP(SUBSTITUTE(SUBSTITUTE(SUBSTITUTE(SUBSTITUTE(SUBSTITUTE(SUBSTITUTE(SUBSTITUTE(SUBSTITUTE(SUBSTITUTE(SUBSTITUTE(N57,"Nguyen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7" s="64">
        <f>VLOOKUP(SUBSTITUTE(SUBSTITUTE(SUBSTITUTE(SUBSTITUTE(SUBSTITUTE(SUBSTITUTE(SUBSTITUTE(SUBSTITUTE(SUBSTITUTE(SUBSTITUTE(N57,"Nguyen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8" spans="2:16" x14ac:dyDescent="0.25">
      <c r="C58" s="64">
        <v>8</v>
      </c>
      <c r="D58" s="29" t="s">
        <v>193</v>
      </c>
      <c r="E58" s="63">
        <f>VLOOKUP(SUBSTITUTE(SUBSTITUTE(SUBSTITUTE(SUBSTITUTE(SUBSTITUTE(SUBSTITUTE(SUBSTITUTE(SUBSTITUTE(SUBSTITUTE(SUBSTITUTE(D58,"Nguyen Trung Hieu","hieu.nguyen-trung"),"Nguyen Tai Hau","hau.nguyen-tai"),"Nguyen Duy Bang","bang.nguyen-duy"),"Luu Cong Dac","dac.luu-cong"),"Nguyen Tuan Duong","duong.nguyen"),"Do Phu Loc","loc.do-phu"),"Nguyen Kim Thanh","thanh.nguyen-kim"),"Ly Chung","chung.ly"),"Do Anh Huy","huy.do-anh"),"Nguyen Thanh Phuong","phuong.nguyen-thanh"),Merged_COEM!$C$34:$J$43,7,0)</f>
        <v>5</v>
      </c>
      <c r="F58" s="64">
        <f>VLOOKUP(SUBSTITUTE(SUBSTITUTE(SUBSTITUTE(SUBSTITUTE(SUBSTITUTE(SUBSTITUTE(SUBSTITUTE(SUBSTITUTE(SUBSTITUTE(SUBSTITUTE(D58,"Nguyen Trung Hieu","hieu.nguyen-trung"),"Nguyen Tai Hau","hau.nguyen-tai"),"Nguyen Duy Bang","bang.nguyen-duy"),"Luu Cong Dac","dac.luu-cong"),"Nguyen Tuan Duong","duong.nguyen"),"Do Phu Loc","loc.do-phu"),"Nguyen Kim Thanh","thanh.nguyen-kim"),"Ly Chung","chung.ly"),"Do Anh Huy","huy.do-anh"),"Nguyen Thanh Phuong","phuong.nguyen-thanh"),Merged_COEM!$C$34:$J$43,8,0)</f>
        <v>1</v>
      </c>
      <c r="J58" s="82"/>
      <c r="M58" s="64">
        <v>8</v>
      </c>
      <c r="N58" s="29" t="s">
        <v>193</v>
      </c>
      <c r="O58" s="63">
        <f>VLOOKUP(SUBSTITUTE(SUBSTITUTE(SUBSTITUTE(SUBSTITUTE(SUBSTITUTE(SUBSTITUTE(SUBSTITUTE(SUBSTITUTE(SUBSTITUTE(SUBSTITUTE(N58,"Nguyen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8" s="64">
        <f>VLOOKUP(SUBSTITUTE(SUBSTITUTE(SUBSTITUTE(SUBSTITUTE(SUBSTITUTE(SUBSTITUTE(SUBSTITUTE(SUBSTITUTE(SUBSTITUTE(SUBSTITUTE(N58,"Nguyen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9" spans="2:16" x14ac:dyDescent="0.25">
      <c r="C59" s="64">
        <v>9</v>
      </c>
      <c r="D59" s="29" t="s">
        <v>180</v>
      </c>
      <c r="E59" s="63">
        <f>VLOOKUP(SUBSTITUTE(SUBSTITUTE(SUBSTITUTE(SUBSTITUTE(SUBSTITUTE(SUBSTITUTE(SUBSTITUTE(SUBSTITUTE(SUBSTITUTE(SUBSTITUTE(D59,"Nguyen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59" s="64">
        <f>VLOOKUP(SUBSTITUTE(SUBSTITUTE(SUBSTITUTE(SUBSTITUTE(SUBSTITUTE(SUBSTITUTE(SUBSTITUTE(SUBSTITUTE(SUBSTITUTE(SUBSTITUTE(D59,"Nguyen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9" s="82"/>
      <c r="M59" s="64">
        <v>9</v>
      </c>
      <c r="N59" s="29" t="s">
        <v>180</v>
      </c>
      <c r="O59" s="63">
        <f>VLOOKUP(SUBSTITUTE(SUBSTITUTE(SUBSTITUTE(SUBSTITUTE(SUBSTITUTE(SUBSTITUTE(SUBSTITUTE(SUBSTITUTE(SUBSTITUTE(SUBSTITUTE(N59,"Nguyen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9" s="64">
        <f>VLOOKUP(SUBSTITUTE(SUBSTITUTE(SUBSTITUTE(SUBSTITUTE(SUBSTITUTE(SUBSTITUTE(SUBSTITUTE(SUBSTITUTE(SUBSTITUTE(SUBSTITUTE(N59,"Nguyen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60" spans="2:16" x14ac:dyDescent="0.25">
      <c r="C60" s="64">
        <v>10</v>
      </c>
      <c r="D60" s="29" t="s">
        <v>179</v>
      </c>
      <c r="E60" s="63">
        <f>VLOOKUP(SUBSTITUTE(SUBSTITUTE(SUBSTITUTE(SUBSTITUTE(SUBSTITUTE(SUBSTITUTE(SUBSTITUTE(SUBSTITUTE(SUBSTITUTE(SUBSTITUTE(D60,"Nguyen Trung Hieu","hieu.nguyen-trung"),"Nguyen Tai Hau","hau.nguyen-tai"),"Nguyen Duy Bang","bang.nguyen-duy"),"Luu Cong Dac","dac.luu-cong"),"Nguyen Tuan Duong","duong.nguyen"),"Do Phu Loc","loc.do-phu"),"Nguyen Kim Thanh","thanh.nguyen-kim"),"Ly Chung","chung.ly"),"Do Anh Huy","huy.do-anh"),"Nguyen Thanh Phuong","phuong.nguyen-thanh"),Merged_COEM!$C$34:$J$43,7,0)</f>
        <v>8</v>
      </c>
      <c r="F60" s="64">
        <f>VLOOKUP(SUBSTITUTE(SUBSTITUTE(SUBSTITUTE(SUBSTITUTE(SUBSTITUTE(SUBSTITUTE(SUBSTITUTE(SUBSTITUTE(SUBSTITUTE(SUBSTITUTE(D60,"Nguyen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60" s="82"/>
      <c r="M60" s="64">
        <v>10</v>
      </c>
      <c r="N60" s="29" t="s">
        <v>179</v>
      </c>
      <c r="O60" s="63">
        <f>VLOOKUP(SUBSTITUTE(SUBSTITUTE(SUBSTITUTE(SUBSTITUTE(SUBSTITUTE(SUBSTITUTE(SUBSTITUTE(SUBSTITUTE(SUBSTITUTE(SUBSTITUTE(N60,"Nguyen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60" s="64">
        <f>VLOOKUP(SUBSTITUTE(SUBSTITUTE(SUBSTITUTE(SUBSTITUTE(SUBSTITUTE(SUBSTITUTE(SUBSTITUTE(SUBSTITUTE(SUBSTITUTE(SUBSTITUTE(N60,"Nguyen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61" spans="2:16" x14ac:dyDescent="0.25">
      <c r="C61" s="31"/>
      <c r="D61" s="30"/>
      <c r="E61" s="65"/>
      <c r="F61" s="31"/>
      <c r="J61" s="82"/>
      <c r="M61" s="31"/>
      <c r="N61" s="30"/>
      <c r="O61" s="65"/>
      <c r="P61" s="31"/>
    </row>
    <row r="62" spans="2:16" x14ac:dyDescent="0.25">
      <c r="B62" s="1" t="s">
        <v>407</v>
      </c>
      <c r="J62" s="82"/>
      <c r="L62" s="1" t="s">
        <v>407</v>
      </c>
    </row>
    <row r="63" spans="2:16" x14ac:dyDescent="0.25">
      <c r="C63" s="51" t="s">
        <v>25</v>
      </c>
      <c r="D63" s="51" t="s">
        <v>31</v>
      </c>
      <c r="E63" s="9" t="s">
        <v>36</v>
      </c>
      <c r="F63" s="9" t="s">
        <v>37</v>
      </c>
      <c r="J63" s="82"/>
      <c r="M63" s="59" t="s">
        <v>25</v>
      </c>
      <c r="N63" s="59" t="s">
        <v>31</v>
      </c>
      <c r="O63" s="9" t="s">
        <v>36</v>
      </c>
      <c r="P63" s="9" t="s">
        <v>37</v>
      </c>
    </row>
    <row r="64" spans="2:16" x14ac:dyDescent="0.25">
      <c r="C64" s="64">
        <v>1</v>
      </c>
      <c r="D64" s="29" t="s">
        <v>117</v>
      </c>
      <c r="E64" s="52" t="s">
        <v>61</v>
      </c>
      <c r="F64" s="52" t="s">
        <v>61</v>
      </c>
      <c r="J64" s="82"/>
      <c r="M64" s="64">
        <v>1</v>
      </c>
      <c r="N64" s="29" t="s">
        <v>117</v>
      </c>
      <c r="O64" s="63" t="s">
        <v>61</v>
      </c>
      <c r="P64" s="63" t="s">
        <v>61</v>
      </c>
    </row>
    <row r="65" spans="2:16" x14ac:dyDescent="0.25">
      <c r="C65" s="64">
        <v>2</v>
      </c>
      <c r="D65" s="29" t="s">
        <v>118</v>
      </c>
      <c r="E65" s="52" t="s">
        <v>61</v>
      </c>
      <c r="F65" s="52" t="s">
        <v>61</v>
      </c>
      <c r="J65" s="82"/>
      <c r="M65" s="64">
        <v>2</v>
      </c>
      <c r="N65" s="29" t="s">
        <v>118</v>
      </c>
      <c r="O65" s="63" t="s">
        <v>61</v>
      </c>
      <c r="P65" s="63" t="s">
        <v>61</v>
      </c>
    </row>
    <row r="66" spans="2:16" x14ac:dyDescent="0.25">
      <c r="C66" s="64">
        <v>3</v>
      </c>
      <c r="D66" s="29" t="s">
        <v>119</v>
      </c>
      <c r="E66" s="52" t="s">
        <v>61</v>
      </c>
      <c r="F66" s="63" t="s">
        <v>61</v>
      </c>
      <c r="J66" s="82"/>
      <c r="M66" s="64">
        <v>3</v>
      </c>
      <c r="N66" s="29" t="s">
        <v>119</v>
      </c>
      <c r="O66" s="63" t="s">
        <v>61</v>
      </c>
      <c r="P66" s="63" t="s">
        <v>61</v>
      </c>
    </row>
    <row r="67" spans="2:16" x14ac:dyDescent="0.25">
      <c r="C67" s="64">
        <v>4</v>
      </c>
      <c r="D67" s="29" t="s">
        <v>120</v>
      </c>
      <c r="E67" s="52" t="s">
        <v>61</v>
      </c>
      <c r="F67" s="52" t="s">
        <v>61</v>
      </c>
      <c r="J67" s="82"/>
      <c r="M67" s="64">
        <v>4</v>
      </c>
      <c r="N67" s="29" t="s">
        <v>120</v>
      </c>
      <c r="O67" s="63" t="s">
        <v>61</v>
      </c>
      <c r="P67" s="63" t="s">
        <v>61</v>
      </c>
    </row>
    <row r="68" spans="2:16" x14ac:dyDescent="0.25">
      <c r="C68" s="64">
        <v>5</v>
      </c>
      <c r="D68" s="29" t="s">
        <v>190</v>
      </c>
      <c r="E68" s="63" t="s">
        <v>61</v>
      </c>
      <c r="F68" s="63" t="s">
        <v>61</v>
      </c>
      <c r="J68" s="82"/>
      <c r="M68" s="64">
        <v>5</v>
      </c>
      <c r="N68" s="29" t="s">
        <v>190</v>
      </c>
      <c r="O68" s="63" t="s">
        <v>61</v>
      </c>
      <c r="P68" s="63" t="s">
        <v>61</v>
      </c>
    </row>
    <row r="69" spans="2:16" x14ac:dyDescent="0.25">
      <c r="C69" s="64">
        <v>6</v>
      </c>
      <c r="D69" s="29" t="s">
        <v>191</v>
      </c>
      <c r="E69" s="63" t="s">
        <v>61</v>
      </c>
      <c r="F69" s="63" t="s">
        <v>61</v>
      </c>
      <c r="J69" s="82"/>
      <c r="M69" s="64">
        <v>6</v>
      </c>
      <c r="N69" s="29" t="s">
        <v>191</v>
      </c>
      <c r="O69" s="63" t="s">
        <v>61</v>
      </c>
      <c r="P69" s="63" t="s">
        <v>61</v>
      </c>
    </row>
    <row r="70" spans="2:16" x14ac:dyDescent="0.25">
      <c r="C70" s="64">
        <v>7</v>
      </c>
      <c r="D70" s="29" t="s">
        <v>192</v>
      </c>
      <c r="E70" s="63" t="s">
        <v>61</v>
      </c>
      <c r="F70" s="63" t="s">
        <v>61</v>
      </c>
      <c r="J70" s="82"/>
      <c r="M70" s="64">
        <v>7</v>
      </c>
      <c r="N70" s="29" t="s">
        <v>192</v>
      </c>
      <c r="O70" s="63" t="s">
        <v>61</v>
      </c>
      <c r="P70" s="63" t="s">
        <v>61</v>
      </c>
    </row>
    <row r="71" spans="2:16" x14ac:dyDescent="0.25">
      <c r="C71" s="64">
        <v>8</v>
      </c>
      <c r="D71" s="29" t="s">
        <v>193</v>
      </c>
      <c r="E71" s="63">
        <v>2</v>
      </c>
      <c r="F71" s="63" t="s">
        <v>888</v>
      </c>
      <c r="J71" s="82"/>
      <c r="M71" s="64">
        <v>8</v>
      </c>
      <c r="N71" s="29" t="s">
        <v>193</v>
      </c>
      <c r="O71" s="63" t="s">
        <v>61</v>
      </c>
      <c r="P71" s="63" t="s">
        <v>61</v>
      </c>
    </row>
    <row r="72" spans="2:16" x14ac:dyDescent="0.25">
      <c r="C72" s="64">
        <v>9</v>
      </c>
      <c r="D72" s="29" t="s">
        <v>180</v>
      </c>
      <c r="E72" s="63" t="s">
        <v>61</v>
      </c>
      <c r="F72" s="63" t="s">
        <v>61</v>
      </c>
      <c r="J72" s="82"/>
      <c r="M72" s="64">
        <v>9</v>
      </c>
      <c r="N72" s="29" t="s">
        <v>180</v>
      </c>
      <c r="O72" s="63" t="s">
        <v>61</v>
      </c>
      <c r="P72" s="63" t="s">
        <v>61</v>
      </c>
    </row>
    <row r="73" spans="2:16" x14ac:dyDescent="0.25">
      <c r="C73" s="64">
        <v>10</v>
      </c>
      <c r="D73" s="29" t="s">
        <v>179</v>
      </c>
      <c r="E73" s="63" t="s">
        <v>61</v>
      </c>
      <c r="F73" s="63" t="s">
        <v>61</v>
      </c>
      <c r="J73" s="82"/>
      <c r="M73" s="64">
        <v>10</v>
      </c>
      <c r="N73" s="29" t="s">
        <v>179</v>
      </c>
      <c r="O73" s="63" t="s">
        <v>61</v>
      </c>
      <c r="P73" s="63" t="s">
        <v>61</v>
      </c>
    </row>
    <row r="74" spans="2:16" x14ac:dyDescent="0.25">
      <c r="C74" s="31"/>
      <c r="D74" s="30"/>
      <c r="E74" s="65"/>
      <c r="F74" s="65"/>
      <c r="J74" s="82"/>
      <c r="M74" s="31"/>
      <c r="N74" s="30"/>
      <c r="O74" s="65"/>
      <c r="P74" s="65"/>
    </row>
    <row r="75" spans="2:16" x14ac:dyDescent="0.25">
      <c r="C75" s="31"/>
      <c r="D75" s="30"/>
      <c r="E75" s="65"/>
      <c r="F75" s="65"/>
      <c r="J75" s="82"/>
      <c r="M75" s="31"/>
      <c r="N75" s="30"/>
      <c r="O75" s="65"/>
      <c r="P75" s="65"/>
    </row>
    <row r="76" spans="2:16" x14ac:dyDescent="0.25">
      <c r="B76" s="1" t="s">
        <v>39</v>
      </c>
      <c r="J76" s="82"/>
      <c r="L76" s="1" t="s">
        <v>39</v>
      </c>
    </row>
    <row r="77" spans="2:16" x14ac:dyDescent="0.25">
      <c r="C77" s="1" t="s">
        <v>41</v>
      </c>
      <c r="J77" s="82"/>
      <c r="M77" s="1" t="s">
        <v>41</v>
      </c>
    </row>
    <row r="78" spans="2:16" x14ac:dyDescent="0.25">
      <c r="D78" t="s">
        <v>40</v>
      </c>
      <c r="J78" s="82"/>
      <c r="N78" t="s">
        <v>40</v>
      </c>
    </row>
    <row r="79" spans="2:16" x14ac:dyDescent="0.25">
      <c r="D79" t="s">
        <v>100</v>
      </c>
      <c r="J79" s="82"/>
      <c r="N79" t="s">
        <v>100</v>
      </c>
    </row>
    <row r="80" spans="2:16" x14ac:dyDescent="0.25">
      <c r="C80" s="1" t="s">
        <v>42</v>
      </c>
      <c r="J80" s="82"/>
      <c r="M80" s="1" t="s">
        <v>42</v>
      </c>
    </row>
    <row r="81" spans="2:14" x14ac:dyDescent="0.25">
      <c r="D81" t="s">
        <v>43</v>
      </c>
      <c r="J81" s="82"/>
      <c r="N81" t="s">
        <v>43</v>
      </c>
    </row>
    <row r="82" spans="2:14" x14ac:dyDescent="0.25">
      <c r="D82" t="s">
        <v>44</v>
      </c>
      <c r="J82" s="82"/>
      <c r="N82" t="s">
        <v>44</v>
      </c>
    </row>
    <row r="83" spans="2:14" x14ac:dyDescent="0.25">
      <c r="C83" s="1" t="s">
        <v>187</v>
      </c>
      <c r="J83" s="82"/>
      <c r="M83" s="1" t="s">
        <v>187</v>
      </c>
    </row>
    <row r="84" spans="2:14" x14ac:dyDescent="0.25">
      <c r="D84" t="s">
        <v>188</v>
      </c>
      <c r="J84" s="82"/>
      <c r="N84" t="s">
        <v>188</v>
      </c>
    </row>
    <row r="85" spans="2:14" x14ac:dyDescent="0.25">
      <c r="D85" t="s">
        <v>189</v>
      </c>
      <c r="J85" s="82"/>
      <c r="N85" t="s">
        <v>189</v>
      </c>
    </row>
    <row r="86" spans="2:14" x14ac:dyDescent="0.25">
      <c r="J86" s="82"/>
    </row>
    <row r="87" spans="2:14" x14ac:dyDescent="0.25">
      <c r="J87" s="82"/>
    </row>
    <row r="88" spans="2:14" x14ac:dyDescent="0.25">
      <c r="B88" t="s">
        <v>332</v>
      </c>
      <c r="C88" t="s">
        <v>186</v>
      </c>
      <c r="J88" s="82"/>
      <c r="K88" t="s">
        <v>185</v>
      </c>
    </row>
    <row r="89" spans="2:14" x14ac:dyDescent="0.25">
      <c r="D89" s="29" t="s">
        <v>117</v>
      </c>
      <c r="J89" s="82"/>
      <c r="L89" s="29" t="s">
        <v>120</v>
      </c>
    </row>
    <row r="90" spans="2:14" x14ac:dyDescent="0.25">
      <c r="D90" s="29" t="s">
        <v>118</v>
      </c>
      <c r="J90" s="82"/>
      <c r="L90" s="29" t="s">
        <v>180</v>
      </c>
    </row>
    <row r="91" spans="2:14" x14ac:dyDescent="0.25">
      <c r="D91" s="29" t="s">
        <v>119</v>
      </c>
      <c r="J91" s="82"/>
    </row>
    <row r="92" spans="2:14" x14ac:dyDescent="0.25">
      <c r="D92" s="29" t="s">
        <v>190</v>
      </c>
      <c r="J92" s="82"/>
    </row>
    <row r="93" spans="2:14" x14ac:dyDescent="0.25">
      <c r="D93" s="29" t="s">
        <v>191</v>
      </c>
      <c r="J93" s="82"/>
    </row>
    <row r="94" spans="2:14" x14ac:dyDescent="0.25">
      <c r="D94" s="29" t="s">
        <v>192</v>
      </c>
      <c r="J94" s="82"/>
    </row>
    <row r="95" spans="2:14" x14ac:dyDescent="0.25">
      <c r="D95" s="29" t="s">
        <v>193</v>
      </c>
      <c r="J95" s="82"/>
    </row>
    <row r="96" spans="2:14" x14ac:dyDescent="0.25">
      <c r="D96" s="29" t="s">
        <v>179</v>
      </c>
      <c r="J96" s="82"/>
    </row>
  </sheetData>
  <customSheetViews>
    <customSheetView guid="{250915DF-0B97-45D7-B29D-7EED4C89C1C1}" scale="85">
      <selection activeCell="K10" sqref="K10"/>
      <pageMargins left="0.7" right="0.7" top="0.75" bottom="0.75" header="0.3" footer="0.3"/>
      <pageSetup orientation="portrait" horizontalDpi="300" r:id="rId1"/>
    </customSheetView>
    <customSheetView guid="{7E0EA425-A420-4443-B9E0-CDF0AA9E5D09}" scale="85" topLeftCell="A4">
      <selection activeCell="D7" sqref="D7"/>
      <pageMargins left="0.7" right="0.7" top="0.75" bottom="0.75" header="0.3" footer="0.3"/>
      <pageSetup orientation="portrait" horizontalDpi="300" verticalDpi="0" r:id="rId2"/>
    </customSheetView>
    <customSheetView guid="{3B3E6719-EACB-4D2C-89C1-05FFAB6020FD}" scale="85">
      <selection activeCell="Q1" sqref="Q1:Q1048576"/>
      <pageMargins left="0.7" right="0.7" top="0.75" bottom="0.75" header="0.3" footer="0.3"/>
      <pageSetup orientation="portrait" horizontalDpi="300" verticalDpi="0" r:id="rId3"/>
    </customSheetView>
    <customSheetView guid="{72A6EB0A-84D5-4B8A-AC51-54CCD061630B}" scale="85">
      <selection activeCell="D13" sqref="D13"/>
      <pageMargins left="0.7" right="0.7" top="0.75" bottom="0.75" header="0.3" footer="0.3"/>
      <pageSetup orientation="portrait" horizontalDpi="300" verticalDpi="0" r:id="rId4"/>
    </customSheetView>
    <customSheetView guid="{4E06BDBF-2CED-473B-850B-2A6C7311FF41}" scale="85" topLeftCell="A34">
      <selection activeCell="H89" sqref="H89"/>
      <pageMargins left="0.7" right="0.7" top="0.75" bottom="0.75" header="0.3" footer="0.3"/>
      <pageSetup orientation="portrait" horizontalDpi="300" verticalDpi="0" r:id="rId5"/>
    </customSheetView>
    <customSheetView guid="{7ECC2B8E-6A82-42F5-8AB0-4A51C54EA5EC}" scale="85">
      <selection activeCell="D10" sqref="D10"/>
      <pageMargins left="0.7" right="0.7" top="0.75" bottom="0.75" header="0.3" footer="0.3"/>
      <pageSetup orientation="portrait" horizontalDpi="300" verticalDpi="0" r:id="rId6"/>
    </customSheetView>
    <customSheetView guid="{A2C66332-A809-458E-971B-FDB6D62C74C3}" scale="85" topLeftCell="A76">
      <selection activeCell="G6" sqref="G6"/>
      <pageMargins left="0.7" right="0.7" top="0.75" bottom="0.75" header="0.3" footer="0.3"/>
      <pageSetup orientation="portrait" horizontalDpi="300" verticalDpi="0" r:id="rId7"/>
    </customSheetView>
    <customSheetView guid="{60D2C030-4E31-4E07-8E1C-44D2EE84B177}" scale="85" topLeftCell="A58">
      <selection activeCell="G38" sqref="G38"/>
      <pageMargins left="0.7" right="0.7" top="0.75" bottom="0.75" header="0.3" footer="0.3"/>
      <pageSetup orientation="portrait" horizontalDpi="300" verticalDpi="0" r:id="rId8"/>
    </customSheetView>
    <customSheetView guid="{D33AC7AF-C8AB-4CE9-94C7-9237011A5FC3}" scale="85">
      <selection activeCell="K21" sqref="K21"/>
      <pageMargins left="0.7" right="0.7" top="0.75" bottom="0.75" header="0.3" footer="0.3"/>
      <pageSetup orientation="portrait" horizontalDpi="300" verticalDpi="0" r:id="rId9"/>
    </customSheetView>
    <customSheetView guid="{336B6883-2145-4B58-921E-CEC7185A847E}" scale="85">
      <selection activeCell="K21" sqref="K21"/>
      <pageMargins left="0.7" right="0.7" top="0.75" bottom="0.75" header="0.3" footer="0.3"/>
      <pageSetup orientation="portrait" horizontalDpi="300" verticalDpi="0" r:id="rId10"/>
    </customSheetView>
  </customSheetViews>
  <conditionalFormatting sqref="H26:H27">
    <cfRule type="cellIs" dxfId="15" priority="23" operator="equal">
      <formula>1</formula>
    </cfRule>
    <cfRule type="cellIs" dxfId="14" priority="24" operator="lessThan">
      <formula>1</formula>
    </cfRule>
  </conditionalFormatting>
  <conditionalFormatting sqref="R26:R27">
    <cfRule type="cellIs" dxfId="13" priority="13" operator="equal">
      <formula>1</formula>
    </cfRule>
    <cfRule type="cellIs" dxfId="12" priority="14" operator="lessThan">
      <formula>1</formula>
    </cfRule>
  </conditionalFormatting>
  <conditionalFormatting sqref="H14">
    <cfRule type="cellIs" dxfId="11" priority="1" operator="equal">
      <formula>1</formula>
    </cfRule>
    <cfRule type="cellIs" dxfId="10" priority="2" operator="lessThan">
      <formula>1</formula>
    </cfRule>
  </conditionalFormatting>
  <conditionalFormatting sqref="H4">
    <cfRule type="cellIs" dxfId="9" priority="5" operator="equal">
      <formula>1</formula>
    </cfRule>
    <cfRule type="cellIs" dxfId="8" priority="6" operator="lessThan">
      <formula>1</formula>
    </cfRule>
  </conditionalFormatting>
  <conditionalFormatting sqref="H5:H13">
    <cfRule type="cellIs" dxfId="7" priority="3" operator="equal">
      <formula>1</formula>
    </cfRule>
    <cfRule type="cellIs" dxfId="6" priority="4" operator="lessThan">
      <formula>1</formula>
    </cfRule>
  </conditionalFormatting>
  <pageMargins left="0.7" right="0.7" top="0.75" bottom="0.75" header="0.3" footer="0.3"/>
  <pageSetup orientation="portrait" horizontalDpi="300" r:id="rId11"/>
  <extLst>
    <ext xmlns:x14="http://schemas.microsoft.com/office/spreadsheetml/2009/9/main" uri="{78C0D931-6437-407d-A8EE-F0AAD7539E65}">
      <x14:conditionalFormattings>
        <x14:conditionalFormatting xmlns:xm="http://schemas.microsoft.com/office/excel/2006/main">
          <x14:cfRule type="cellIs" priority="11" operator="greaterThanOrEqual" id="{AB332625-2C78-42D1-BCBA-02B5FD48AA05}">
            <xm:f>Table!$D$4</xm:f>
            <x14:dxf>
              <font>
                <color rgb="FF006100"/>
              </font>
              <fill>
                <patternFill>
                  <bgColor rgb="FFC6EFCE"/>
                </patternFill>
              </fill>
            </x14:dxf>
          </x14:cfRule>
          <x14:cfRule type="cellIs" priority="12" operator="lessThan" id="{1E93C942-BB2F-462A-A99C-2305A078DAA8}">
            <xm:f>Table!$D$4</xm:f>
            <x14:dxf>
              <font>
                <color rgb="FF9C0006"/>
              </font>
              <fill>
                <patternFill>
                  <bgColor rgb="FFFFC7CE"/>
                </patternFill>
              </fill>
            </x14:dxf>
          </x14:cfRule>
          <xm:sqref>G14</xm:sqref>
        </x14:conditionalFormatting>
        <x14:conditionalFormatting xmlns:xm="http://schemas.microsoft.com/office/excel/2006/main">
          <x14:cfRule type="cellIs" priority="9" operator="greaterThanOrEqual" id="{4B346809-FC6E-4052-825C-9EECC10D071B}">
            <xm:f>Table!$D$4</xm:f>
            <x14:dxf>
              <font>
                <color rgb="FF006100"/>
              </font>
              <fill>
                <patternFill>
                  <bgColor rgb="FFC6EFCE"/>
                </patternFill>
              </fill>
            </x14:dxf>
          </x14:cfRule>
          <x14:cfRule type="cellIs" priority="10" operator="lessThan" id="{5CFD224B-CAA0-4685-8DB1-64A0D653A763}">
            <xm:f>Table!$D$4</xm:f>
            <x14:dxf>
              <font>
                <color rgb="FF9C0006"/>
              </font>
              <fill>
                <patternFill>
                  <bgColor rgb="FFFFC7CE"/>
                </patternFill>
              </fill>
            </x14:dxf>
          </x14:cfRule>
          <xm:sqref>G4</xm:sqref>
        </x14:conditionalFormatting>
        <x14:conditionalFormatting xmlns:xm="http://schemas.microsoft.com/office/excel/2006/main">
          <x14:cfRule type="cellIs" priority="7" operator="greaterThanOrEqual" id="{D32FD3CD-2742-4E2D-A1E0-1D9D8E790342}">
            <xm:f>Table!$D$4</xm:f>
            <x14:dxf>
              <font>
                <color rgb="FF006100"/>
              </font>
              <fill>
                <patternFill>
                  <bgColor rgb="FFC6EFCE"/>
                </patternFill>
              </fill>
            </x14:dxf>
          </x14:cfRule>
          <x14:cfRule type="cellIs" priority="8" operator="lessThan" id="{6A6817B6-F442-4CC7-8A5E-214EF3759B7C}">
            <xm:f>Table!$D$4</xm:f>
            <x14:dxf>
              <font>
                <color rgb="FF9C0006"/>
              </font>
              <fill>
                <patternFill>
                  <bgColor rgb="FFFFC7CE"/>
                </patternFill>
              </fill>
            </x14:dxf>
          </x14:cfRule>
          <xm:sqref>G5:G13</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E48"/>
  <sheetViews>
    <sheetView workbookViewId="0">
      <selection activeCell="C13" sqref="C13:C22"/>
    </sheetView>
  </sheetViews>
  <sheetFormatPr defaultRowHeight="15" x14ac:dyDescent="0.25"/>
  <cols>
    <col min="2" max="2" width="11.7109375" bestFit="1" customWidth="1"/>
    <col min="3" max="3" width="18.7109375" bestFit="1" customWidth="1"/>
    <col min="4" max="4" width="20.140625" customWidth="1"/>
    <col min="5" max="5" width="33.85546875" customWidth="1"/>
  </cols>
  <sheetData>
    <row r="2" spans="2:5" x14ac:dyDescent="0.25">
      <c r="B2" s="10" t="s">
        <v>11</v>
      </c>
    </row>
    <row r="3" spans="2:5" x14ac:dyDescent="0.25">
      <c r="B3" s="2" t="s">
        <v>4</v>
      </c>
      <c r="C3" s="11" t="s">
        <v>2</v>
      </c>
      <c r="D3" s="11" t="s">
        <v>3</v>
      </c>
    </row>
    <row r="4" spans="2:5" x14ac:dyDescent="0.25">
      <c r="B4" s="11">
        <v>1</v>
      </c>
      <c r="C4" s="12">
        <v>130</v>
      </c>
      <c r="D4" s="12">
        <v>450</v>
      </c>
    </row>
    <row r="6" spans="2:5" x14ac:dyDescent="0.25">
      <c r="B6" s="1" t="s">
        <v>45</v>
      </c>
    </row>
    <row r="7" spans="2:5" x14ac:dyDescent="0.25">
      <c r="B7" s="2" t="s">
        <v>0</v>
      </c>
      <c r="C7" s="2" t="s">
        <v>1</v>
      </c>
      <c r="D7" s="2" t="s">
        <v>50</v>
      </c>
      <c r="E7" s="4" t="s">
        <v>47</v>
      </c>
    </row>
    <row r="8" spans="2:5" ht="60" x14ac:dyDescent="0.25">
      <c r="B8" s="13">
        <v>1</v>
      </c>
      <c r="C8" s="13" t="s">
        <v>2</v>
      </c>
      <c r="D8" s="13" t="s">
        <v>48</v>
      </c>
      <c r="E8" s="14" t="s">
        <v>9</v>
      </c>
    </row>
    <row r="9" spans="2:5" ht="75" x14ac:dyDescent="0.25">
      <c r="B9" s="13">
        <v>2</v>
      </c>
      <c r="C9" s="13" t="s">
        <v>3</v>
      </c>
      <c r="D9" s="13" t="s">
        <v>49</v>
      </c>
      <c r="E9" s="14" t="s">
        <v>10</v>
      </c>
    </row>
    <row r="11" spans="2:5" x14ac:dyDescent="0.25">
      <c r="B11" s="1" t="s">
        <v>46</v>
      </c>
    </row>
    <row r="12" spans="2:5" x14ac:dyDescent="0.25">
      <c r="B12" s="2" t="s">
        <v>0</v>
      </c>
      <c r="C12" s="2" t="s">
        <v>5</v>
      </c>
    </row>
    <row r="13" spans="2:5" x14ac:dyDescent="0.25">
      <c r="B13" s="3">
        <v>1</v>
      </c>
      <c r="C13" s="3" t="s">
        <v>6</v>
      </c>
    </row>
    <row r="14" spans="2:5" x14ac:dyDescent="0.25">
      <c r="B14" s="3">
        <v>2</v>
      </c>
      <c r="C14" s="3" t="s">
        <v>64</v>
      </c>
    </row>
    <row r="15" spans="2:5" x14ac:dyDescent="0.25">
      <c r="B15" s="3">
        <v>3</v>
      </c>
      <c r="C15" s="3" t="s">
        <v>65</v>
      </c>
    </row>
    <row r="16" spans="2:5" x14ac:dyDescent="0.25">
      <c r="B16" s="3">
        <v>4</v>
      </c>
      <c r="C16" s="3" t="s">
        <v>66</v>
      </c>
    </row>
    <row r="17" spans="2:5" x14ac:dyDescent="0.25">
      <c r="B17" s="3">
        <v>5</v>
      </c>
      <c r="C17" s="3" t="s">
        <v>67</v>
      </c>
    </row>
    <row r="18" spans="2:5" x14ac:dyDescent="0.25">
      <c r="B18" s="3">
        <v>6</v>
      </c>
      <c r="C18" s="3" t="s">
        <v>68</v>
      </c>
    </row>
    <row r="19" spans="2:5" x14ac:dyDescent="0.25">
      <c r="B19" s="3">
        <v>7</v>
      </c>
      <c r="C19" s="3" t="s">
        <v>69</v>
      </c>
    </row>
    <row r="20" spans="2:5" x14ac:dyDescent="0.25">
      <c r="B20" s="3">
        <v>8</v>
      </c>
      <c r="C20" s="3" t="s">
        <v>70</v>
      </c>
    </row>
    <row r="21" spans="2:5" x14ac:dyDescent="0.25">
      <c r="B21" s="3">
        <v>9</v>
      </c>
      <c r="C21" s="3" t="s">
        <v>156</v>
      </c>
    </row>
    <row r="22" spans="2:5" x14ac:dyDescent="0.25">
      <c r="B22" s="3">
        <v>10</v>
      </c>
      <c r="C22" s="3" t="s">
        <v>157</v>
      </c>
    </row>
    <row r="24" spans="2:5" x14ac:dyDescent="0.25">
      <c r="B24" s="10" t="s">
        <v>19</v>
      </c>
    </row>
    <row r="25" spans="2:5" x14ac:dyDescent="0.25">
      <c r="B25" s="2" t="s">
        <v>0</v>
      </c>
      <c r="C25" s="2" t="s">
        <v>17</v>
      </c>
    </row>
    <row r="26" spans="2:5" x14ac:dyDescent="0.25">
      <c r="B26" s="2">
        <v>1</v>
      </c>
      <c r="C26" s="3" t="s">
        <v>20</v>
      </c>
      <c r="E26" s="24"/>
    </row>
    <row r="27" spans="2:5" x14ac:dyDescent="0.25">
      <c r="B27" s="2">
        <v>2</v>
      </c>
      <c r="C27" s="3" t="s">
        <v>23</v>
      </c>
    </row>
    <row r="28" spans="2:5" x14ac:dyDescent="0.25">
      <c r="B28" s="2">
        <v>3</v>
      </c>
      <c r="C28" s="3" t="s">
        <v>18</v>
      </c>
    </row>
    <row r="29" spans="2:5" x14ac:dyDescent="0.25">
      <c r="B29" s="2">
        <v>4</v>
      </c>
      <c r="C29" s="3" t="s">
        <v>73</v>
      </c>
    </row>
    <row r="30" spans="2:5" x14ac:dyDescent="0.25">
      <c r="B30" s="2">
        <v>5</v>
      </c>
      <c r="C30" s="3" t="s">
        <v>21</v>
      </c>
    </row>
    <row r="31" spans="2:5" x14ac:dyDescent="0.25">
      <c r="B31" s="2">
        <v>6</v>
      </c>
      <c r="C31" s="3" t="s">
        <v>93</v>
      </c>
    </row>
    <row r="32" spans="2:5" x14ac:dyDescent="0.25">
      <c r="B32" s="2">
        <v>7</v>
      </c>
      <c r="C32" s="3" t="s">
        <v>74</v>
      </c>
    </row>
    <row r="34" spans="2:3" x14ac:dyDescent="0.25">
      <c r="B34" s="10" t="s">
        <v>163</v>
      </c>
    </row>
    <row r="35" spans="2:3" x14ac:dyDescent="0.25">
      <c r="B35" s="2" t="s">
        <v>0</v>
      </c>
      <c r="C35" s="2" t="s">
        <v>17</v>
      </c>
    </row>
    <row r="36" spans="2:3" x14ac:dyDescent="0.25">
      <c r="B36" s="2">
        <v>1</v>
      </c>
      <c r="C36" s="3" t="s">
        <v>149</v>
      </c>
    </row>
    <row r="37" spans="2:3" x14ac:dyDescent="0.25">
      <c r="B37" s="2">
        <v>2</v>
      </c>
      <c r="C37" s="3" t="s">
        <v>164</v>
      </c>
    </row>
    <row r="38" spans="2:3" x14ac:dyDescent="0.25">
      <c r="B38" s="2">
        <v>3</v>
      </c>
      <c r="C38" s="3" t="s">
        <v>165</v>
      </c>
    </row>
    <row r="40" spans="2:3" x14ac:dyDescent="0.25">
      <c r="B40" s="1" t="s">
        <v>77</v>
      </c>
    </row>
    <row r="41" spans="2:3" x14ac:dyDescent="0.25">
      <c r="B41" s="2" t="s">
        <v>0</v>
      </c>
      <c r="C41" s="2" t="s">
        <v>17</v>
      </c>
    </row>
    <row r="42" spans="2:3" x14ac:dyDescent="0.25">
      <c r="B42" s="2">
        <v>1</v>
      </c>
      <c r="C42" s="3" t="s">
        <v>335</v>
      </c>
    </row>
    <row r="43" spans="2:3" x14ac:dyDescent="0.25">
      <c r="B43" s="2">
        <v>2</v>
      </c>
      <c r="C43" s="3" t="s">
        <v>336</v>
      </c>
    </row>
    <row r="45" spans="2:3" x14ac:dyDescent="0.25">
      <c r="B45" s="1" t="s">
        <v>159</v>
      </c>
    </row>
    <row r="46" spans="2:3" x14ac:dyDescent="0.25">
      <c r="B46" s="2" t="s">
        <v>0</v>
      </c>
      <c r="C46" s="2" t="s">
        <v>17</v>
      </c>
    </row>
    <row r="47" spans="2:3" x14ac:dyDescent="0.25">
      <c r="B47" s="2">
        <v>1</v>
      </c>
      <c r="C47" s="3" t="s">
        <v>161</v>
      </c>
    </row>
    <row r="48" spans="2:3" x14ac:dyDescent="0.25">
      <c r="B48" s="2">
        <v>2</v>
      </c>
      <c r="C48" s="3" t="s">
        <v>353</v>
      </c>
    </row>
  </sheetData>
  <customSheetViews>
    <customSheetView guid="{250915DF-0B97-45D7-B29D-7EED4C89C1C1}">
      <selection activeCell="C13" sqref="C13:C22"/>
      <pageMargins left="0.7" right="0.7" top="0.75" bottom="0.75" header="0.3" footer="0.3"/>
      <pageSetup orientation="portrait" horizontalDpi="300" verticalDpi="0" r:id="rId1"/>
    </customSheetView>
    <customSheetView guid="{7E0EA425-A420-4443-B9E0-CDF0AA9E5D09}">
      <selection activeCell="D4" sqref="D4"/>
      <pageMargins left="0.7" right="0.7" top="0.75" bottom="0.75" header="0.3" footer="0.3"/>
      <pageSetup orientation="portrait" horizontalDpi="300" verticalDpi="0" r:id="rId2"/>
    </customSheetView>
    <customSheetView guid="{3B3E6719-EACB-4D2C-89C1-05FFAB6020FD}">
      <selection activeCell="C12" sqref="C12"/>
      <pageMargins left="0.7" right="0.7" top="0.75" bottom="0.75" header="0.3" footer="0.3"/>
    </customSheetView>
    <customSheetView guid="{72A6EB0A-84D5-4B8A-AC51-54CCD061630B}">
      <selection activeCell="C49" sqref="C49"/>
      <pageMargins left="0.7" right="0.7" top="0.75" bottom="0.75" header="0.3" footer="0.3"/>
      <pageSetup orientation="portrait" horizontalDpi="300" verticalDpi="0" r:id="rId3"/>
    </customSheetView>
    <customSheetView guid="{4E06BDBF-2CED-473B-850B-2A6C7311FF41}" topLeftCell="A13">
      <selection activeCell="B24" sqref="B24:C29"/>
      <pageMargins left="0.7" right="0.7" top="0.75" bottom="0.75" header="0.3" footer="0.3"/>
    </customSheetView>
    <customSheetView guid="{7ECC2B8E-6A82-42F5-8AB0-4A51C54EA5EC}" topLeftCell="A7">
      <selection activeCell="C39" sqref="C39"/>
      <pageMargins left="0.7" right="0.7" top="0.75" bottom="0.75" header="0.3" footer="0.3"/>
    </customSheetView>
    <customSheetView guid="{A2C66332-A809-458E-971B-FDB6D62C74C3}" topLeftCell="A16">
      <selection activeCell="C37" sqref="C37"/>
      <pageMargins left="0.7" right="0.7" top="0.75" bottom="0.75" header="0.3" footer="0.3"/>
    </customSheetView>
    <customSheetView guid="{60D2C030-4E31-4E07-8E1C-44D2EE84B177}">
      <selection activeCell="E40" sqref="E40"/>
      <pageMargins left="0.7" right="0.7" top="0.75" bottom="0.75" header="0.3" footer="0.3"/>
    </customSheetView>
    <customSheetView guid="{D33AC7AF-C8AB-4CE9-94C7-9237011A5FC3}">
      <selection activeCell="C12" sqref="C12"/>
      <pageMargins left="0.7" right="0.7" top="0.75" bottom="0.75" header="0.3" footer="0.3"/>
    </customSheetView>
    <customSheetView guid="{336B6883-2145-4B58-921E-CEC7185A847E}" topLeftCell="A13">
      <selection activeCell="B24" sqref="B24:C29"/>
      <pageMargins left="0.7" right="0.7" top="0.75" bottom="0.75" header="0.3" footer="0.3"/>
    </customSheetView>
  </customSheetViews>
  <pageMargins left="0.7" right="0.7" top="0.75" bottom="0.75" header="0.3" footer="0.3"/>
  <pageSetup orientation="portrait" horizontalDpi="300" verticalDpi="0"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9"/>
  <sheetViews>
    <sheetView workbookViewId="0">
      <selection activeCell="B11" sqref="B11:F15"/>
    </sheetView>
  </sheetViews>
  <sheetFormatPr defaultRowHeight="15" x14ac:dyDescent="0.25"/>
  <cols>
    <col min="2" max="2" width="33.42578125" customWidth="1"/>
    <col min="3" max="3" width="82.140625" bestFit="1" customWidth="1"/>
    <col min="4" max="4" width="11.28515625" bestFit="1" customWidth="1"/>
    <col min="5" max="5" width="11.5703125" bestFit="1" customWidth="1"/>
  </cols>
  <sheetData>
    <row r="1" spans="1:9" x14ac:dyDescent="0.25">
      <c r="A1" s="1" t="s">
        <v>84</v>
      </c>
    </row>
    <row r="2" spans="1:9" x14ac:dyDescent="0.25">
      <c r="B2" s="23" t="s">
        <v>86</v>
      </c>
      <c r="C2" t="s">
        <v>87</v>
      </c>
    </row>
    <row r="3" spans="1:9" x14ac:dyDescent="0.25">
      <c r="B3" s="23" t="s">
        <v>89</v>
      </c>
      <c r="C3" t="s">
        <v>88</v>
      </c>
    </row>
    <row r="4" spans="1:9" x14ac:dyDescent="0.25">
      <c r="B4" s="23"/>
    </row>
    <row r="5" spans="1:9" x14ac:dyDescent="0.25">
      <c r="B5" s="22" t="s">
        <v>82</v>
      </c>
    </row>
    <row r="6" spans="1:9" x14ac:dyDescent="0.25">
      <c r="B6" s="23" t="s">
        <v>90</v>
      </c>
      <c r="C6" t="s">
        <v>91</v>
      </c>
    </row>
    <row r="7" spans="1:9" x14ac:dyDescent="0.25">
      <c r="B7" s="23"/>
    </row>
    <row r="8" spans="1:9" x14ac:dyDescent="0.25">
      <c r="B8" s="22" t="s">
        <v>83</v>
      </c>
      <c r="C8" t="s">
        <v>85</v>
      </c>
    </row>
    <row r="11" spans="1:9" x14ac:dyDescent="0.25">
      <c r="B11" s="25" t="s">
        <v>56</v>
      </c>
      <c r="C11" s="25" t="s">
        <v>8</v>
      </c>
      <c r="D11" s="25" t="s">
        <v>101</v>
      </c>
      <c r="E11" s="25" t="s">
        <v>102</v>
      </c>
      <c r="F11" s="25" t="s">
        <v>103</v>
      </c>
    </row>
    <row r="12" spans="1:9" x14ac:dyDescent="0.25">
      <c r="B12" s="26" t="s">
        <v>503</v>
      </c>
      <c r="C12" s="3" t="s">
        <v>108</v>
      </c>
      <c r="D12" s="3" t="s">
        <v>98</v>
      </c>
      <c r="E12" s="3">
        <v>0.65</v>
      </c>
      <c r="F12" s="3" t="s">
        <v>105</v>
      </c>
      <c r="I12" t="s">
        <v>104</v>
      </c>
    </row>
    <row r="13" spans="1:9" x14ac:dyDescent="0.25">
      <c r="B13" s="27"/>
      <c r="C13" s="3" t="s">
        <v>504</v>
      </c>
      <c r="D13" s="15" t="s">
        <v>99</v>
      </c>
      <c r="E13" s="3">
        <v>1.6</v>
      </c>
      <c r="F13" s="3" t="s">
        <v>105</v>
      </c>
      <c r="I13" t="s">
        <v>106</v>
      </c>
    </row>
    <row r="14" spans="1:9" x14ac:dyDescent="0.25">
      <c r="B14" s="27"/>
      <c r="C14" s="3" t="s">
        <v>107</v>
      </c>
      <c r="D14" s="15" t="s">
        <v>97</v>
      </c>
      <c r="E14" s="3">
        <v>0.75</v>
      </c>
      <c r="F14" s="3" t="s">
        <v>105</v>
      </c>
      <c r="I14" t="s">
        <v>107</v>
      </c>
    </row>
    <row r="15" spans="1:9" x14ac:dyDescent="0.25">
      <c r="B15" s="28"/>
      <c r="C15" s="3" t="s">
        <v>108</v>
      </c>
      <c r="D15" s="15" t="s">
        <v>141</v>
      </c>
      <c r="E15" s="3">
        <v>1.2</v>
      </c>
      <c r="F15" s="3" t="s">
        <v>105</v>
      </c>
      <c r="I15" t="s">
        <v>108</v>
      </c>
    </row>
    <row r="16" spans="1:9" x14ac:dyDescent="0.25">
      <c r="I16" t="s">
        <v>504</v>
      </c>
    </row>
    <row r="18" spans="1:1" x14ac:dyDescent="0.25">
      <c r="A18" s="1" t="s">
        <v>114</v>
      </c>
    </row>
    <row r="38" spans="2:2" x14ac:dyDescent="0.25">
      <c r="B38" t="s">
        <v>115</v>
      </c>
    </row>
    <row r="39" spans="2:2" x14ac:dyDescent="0.25">
      <c r="B39" t="s">
        <v>116</v>
      </c>
    </row>
  </sheetData>
  <customSheetViews>
    <customSheetView guid="{250915DF-0B97-45D7-B29D-7EED4C89C1C1}">
      <selection activeCell="B11" sqref="B11:F15"/>
      <pageMargins left="0.7" right="0.7" top="0.75" bottom="0.75" header="0.3" footer="0.3"/>
    </customSheetView>
    <customSheetView guid="{7E0EA425-A420-4443-B9E0-CDF0AA9E5D09}">
      <selection activeCell="C12" sqref="C12"/>
      <pageMargins left="0.7" right="0.7" top="0.75" bottom="0.75" header="0.3" footer="0.3"/>
    </customSheetView>
    <customSheetView guid="{3B3E6719-EACB-4D2C-89C1-05FFAB6020FD}">
      <selection activeCell="D14" sqref="D14"/>
      <pageMargins left="0.7" right="0.7" top="0.75" bottom="0.75" header="0.3" footer="0.3"/>
    </customSheetView>
    <customSheetView guid="{72A6EB0A-84D5-4B8A-AC51-54CCD061630B}">
      <selection activeCell="C12" sqref="C12"/>
      <pageMargins left="0.7" right="0.7" top="0.75" bottom="0.75" header="0.3" footer="0.3"/>
    </customSheetView>
    <customSheetView guid="{4E06BDBF-2CED-473B-850B-2A6C7311FF41}">
      <selection activeCell="B6" sqref="B6:C6"/>
      <pageMargins left="0.7" right="0.7" top="0.75" bottom="0.75" header="0.3" footer="0.3"/>
    </customSheetView>
    <customSheetView guid="{7ECC2B8E-6A82-42F5-8AB0-4A51C54EA5EC}">
      <selection activeCell="C12" sqref="C12"/>
      <pageMargins left="0.7" right="0.7" top="0.75" bottom="0.75" header="0.3" footer="0.3"/>
    </customSheetView>
    <customSheetView guid="{A2C66332-A809-458E-971B-FDB6D62C74C3}">
      <selection activeCell="D14" sqref="D14"/>
      <pageMargins left="0.7" right="0.7" top="0.75" bottom="0.75" header="0.3" footer="0.3"/>
    </customSheetView>
    <customSheetView guid="{60D2C030-4E31-4E07-8E1C-44D2EE84B177}">
      <selection activeCell="I27" sqref="I27"/>
      <pageMargins left="0.7" right="0.7" top="0.75" bottom="0.75" header="0.3" footer="0.3"/>
    </customSheetView>
    <customSheetView guid="{D33AC7AF-C8AB-4CE9-94C7-9237011A5FC3}">
      <selection activeCell="D14" sqref="D14"/>
      <pageMargins left="0.7" right="0.7" top="0.75" bottom="0.75" header="0.3" footer="0.3"/>
    </customSheetView>
    <customSheetView guid="{336B6883-2145-4B58-921E-CEC7185A847E}">
      <selection activeCell="B6" sqref="B6:C6"/>
      <pageMargins left="0.7" right="0.7" top="0.75" bottom="0.75" header="0.3" footer="0.3"/>
    </customSheetView>
  </customSheetView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P30" sqref="P30"/>
    </sheetView>
  </sheetViews>
  <sheetFormatPr defaultRowHeight="15" x14ac:dyDescent="0.25"/>
  <sheetData/>
  <customSheetViews>
    <customSheetView guid="{250915DF-0B97-45D7-B29D-7EED4C89C1C1}">
      <selection activeCell="P30" sqref="P30"/>
      <pageMargins left="0.7" right="0.7" top="0.75" bottom="0.75" header="0.3" footer="0.3"/>
    </customSheetView>
    <customSheetView guid="{7E0EA425-A420-4443-B9E0-CDF0AA9E5D09}">
      <selection activeCell="P30" sqref="P30"/>
      <pageMargins left="0.7" right="0.7" top="0.75" bottom="0.75" header="0.3" footer="0.3"/>
    </customSheetView>
    <customSheetView guid="{3B3E6719-EACB-4D2C-89C1-05FFAB6020FD}">
      <selection activeCell="P30" sqref="P30"/>
      <pageMargins left="0.7" right="0.7" top="0.75" bottom="0.75" header="0.3" footer="0.3"/>
    </customSheetView>
    <customSheetView guid="{72A6EB0A-84D5-4B8A-AC51-54CCD061630B}">
      <selection activeCell="P30" sqref="P30"/>
      <pageMargins left="0.7" right="0.7" top="0.75" bottom="0.75" header="0.3" footer="0.3"/>
    </customSheetView>
    <customSheetView guid="{4E06BDBF-2CED-473B-850B-2A6C7311FF41}">
      <selection activeCell="P30" sqref="P30"/>
      <pageMargins left="0.7" right="0.7" top="0.75" bottom="0.75" header="0.3" footer="0.3"/>
    </customSheetView>
    <customSheetView guid="{7ECC2B8E-6A82-42F5-8AB0-4A51C54EA5EC}">
      <selection activeCell="P30" sqref="P30"/>
      <pageMargins left="0.7" right="0.7" top="0.75" bottom="0.75" header="0.3" footer="0.3"/>
    </customSheetView>
    <customSheetView guid="{A2C66332-A809-458E-971B-FDB6D62C74C3}">
      <selection activeCell="P30" sqref="P30"/>
      <pageMargins left="0.7" right="0.7" top="0.75" bottom="0.75" header="0.3" footer="0.3"/>
    </customSheetView>
    <customSheetView guid="{60D2C030-4E31-4E07-8E1C-44D2EE84B177}">
      <selection activeCell="P30" sqref="P30"/>
      <pageMargins left="0.7" right="0.7" top="0.75" bottom="0.75" header="0.3" footer="0.3"/>
    </customSheetView>
    <customSheetView guid="{D33AC7AF-C8AB-4CE9-94C7-9237011A5FC3}">
      <selection activeCell="P30" sqref="P30"/>
      <pageMargins left="0.7" right="0.7" top="0.75" bottom="0.75" header="0.3" footer="0.3"/>
    </customSheetView>
    <customSheetView guid="{336B6883-2145-4B58-921E-CEC7185A847E}">
      <selection activeCell="P30" sqref="P30"/>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80"/>
  <sheetViews>
    <sheetView topLeftCell="A64" workbookViewId="0">
      <selection activeCell="H21" sqref="H21"/>
    </sheetView>
  </sheetViews>
  <sheetFormatPr defaultRowHeight="15" x14ac:dyDescent="0.25"/>
  <cols>
    <col min="1" max="1" width="10" bestFit="1" customWidth="1"/>
    <col min="2" max="2" width="13.28515625" customWidth="1"/>
    <col min="4" max="4" width="25" customWidth="1"/>
    <col min="5" max="5" width="14.85546875" bestFit="1" customWidth="1"/>
    <col min="6" max="6" width="27.85546875" bestFit="1" customWidth="1"/>
    <col min="8" max="8" width="19" customWidth="1"/>
  </cols>
  <sheetData>
    <row r="1" spans="1:18" x14ac:dyDescent="0.25">
      <c r="A1" s="81" t="s">
        <v>337</v>
      </c>
      <c r="B1" s="81" t="s">
        <v>186</v>
      </c>
      <c r="J1" s="82"/>
      <c r="K1" s="81" t="s">
        <v>337</v>
      </c>
      <c r="L1" s="81" t="s">
        <v>185</v>
      </c>
    </row>
    <row r="2" spans="1:18" x14ac:dyDescent="0.25">
      <c r="J2" s="82"/>
    </row>
    <row r="3" spans="1:18" x14ac:dyDescent="0.25">
      <c r="A3" s="1" t="s">
        <v>38</v>
      </c>
      <c r="B3" s="36">
        <v>43952</v>
      </c>
      <c r="D3" s="36">
        <v>43955</v>
      </c>
      <c r="F3" s="6"/>
      <c r="J3" s="82"/>
      <c r="K3" s="1" t="s">
        <v>38</v>
      </c>
      <c r="L3" s="36">
        <v>43952</v>
      </c>
      <c r="N3" s="36">
        <v>43955</v>
      </c>
      <c r="P3" s="6"/>
    </row>
    <row r="4" spans="1:18" x14ac:dyDescent="0.25">
      <c r="A4" s="1" t="s">
        <v>30</v>
      </c>
      <c r="B4" s="7">
        <v>2</v>
      </c>
      <c r="J4" s="82"/>
      <c r="K4" s="1" t="s">
        <v>30</v>
      </c>
      <c r="L4" s="7">
        <v>2</v>
      </c>
    </row>
    <row r="5" spans="1:18" x14ac:dyDescent="0.25">
      <c r="A5" s="1" t="s">
        <v>145</v>
      </c>
      <c r="B5" s="7">
        <v>1</v>
      </c>
      <c r="C5" t="s">
        <v>318</v>
      </c>
      <c r="J5" s="82"/>
      <c r="K5" s="1" t="s">
        <v>145</v>
      </c>
      <c r="L5" s="7">
        <v>1</v>
      </c>
      <c r="M5" t="s">
        <v>318</v>
      </c>
    </row>
    <row r="6" spans="1:18" x14ac:dyDescent="0.25">
      <c r="A6" s="1" t="s">
        <v>111</v>
      </c>
      <c r="B6">
        <v>1</v>
      </c>
      <c r="J6" s="82"/>
      <c r="K6" s="1" t="s">
        <v>111</v>
      </c>
      <c r="L6">
        <v>1</v>
      </c>
    </row>
    <row r="7" spans="1:18" x14ac:dyDescent="0.25">
      <c r="A7" s="1"/>
      <c r="J7" s="82"/>
      <c r="K7" s="1"/>
    </row>
    <row r="8" spans="1:18" x14ac:dyDescent="0.25">
      <c r="B8" s="1" t="s">
        <v>404</v>
      </c>
      <c r="J8" s="82"/>
      <c r="L8" s="1" t="s">
        <v>404</v>
      </c>
    </row>
    <row r="9" spans="1:18" ht="75" x14ac:dyDescent="0.25">
      <c r="C9" s="59" t="s">
        <v>25</v>
      </c>
      <c r="D9" s="59" t="s">
        <v>26</v>
      </c>
      <c r="E9" s="59" t="s">
        <v>27</v>
      </c>
      <c r="F9" s="59" t="s">
        <v>28</v>
      </c>
      <c r="G9" s="9" t="s">
        <v>102</v>
      </c>
      <c r="H9" s="9" t="s">
        <v>29</v>
      </c>
      <c r="J9" s="82"/>
      <c r="M9" s="59" t="s">
        <v>25</v>
      </c>
      <c r="N9" s="59" t="s">
        <v>26</v>
      </c>
      <c r="O9" s="59" t="s">
        <v>27</v>
      </c>
      <c r="P9" s="59" t="s">
        <v>28</v>
      </c>
      <c r="Q9" s="9" t="s">
        <v>102</v>
      </c>
      <c r="R9" s="9" t="s">
        <v>29</v>
      </c>
    </row>
    <row r="10" spans="1:18" x14ac:dyDescent="0.25">
      <c r="C10" s="64">
        <v>1</v>
      </c>
      <c r="D10" s="64" t="s">
        <v>3</v>
      </c>
      <c r="E10" s="64">
        <v>11319</v>
      </c>
      <c r="F10" s="64">
        <v>0</v>
      </c>
      <c r="G10" s="64">
        <v>25.153333333333332</v>
      </c>
      <c r="H10" s="42">
        <v>0</v>
      </c>
      <c r="J10" s="82"/>
      <c r="M10" s="64">
        <v>1</v>
      </c>
      <c r="N10" s="64" t="s">
        <v>3</v>
      </c>
      <c r="O10" s="64">
        <v>3852.2249999999999</v>
      </c>
      <c r="P10" s="64">
        <v>0</v>
      </c>
      <c r="Q10" s="64">
        <v>8.5604999999999993</v>
      </c>
      <c r="R10" s="42">
        <v>0</v>
      </c>
    </row>
    <row r="11" spans="1:18" x14ac:dyDescent="0.25">
      <c r="C11" s="64">
        <v>2</v>
      </c>
      <c r="D11" s="64" t="s">
        <v>2</v>
      </c>
      <c r="E11" s="64">
        <v>136</v>
      </c>
      <c r="F11" s="64">
        <v>18</v>
      </c>
      <c r="G11" s="64">
        <v>1.0461538461538462</v>
      </c>
      <c r="H11" s="42">
        <v>0.13235294117647059</v>
      </c>
      <c r="J11" s="82"/>
      <c r="M11" s="64">
        <v>2</v>
      </c>
      <c r="N11" s="64" t="s">
        <v>2</v>
      </c>
      <c r="O11" s="64">
        <v>299</v>
      </c>
      <c r="P11" s="64">
        <v>0</v>
      </c>
      <c r="Q11" s="64">
        <v>2.2999999999999998</v>
      </c>
      <c r="R11" s="42">
        <v>0</v>
      </c>
    </row>
    <row r="12" spans="1:18" x14ac:dyDescent="0.25">
      <c r="C12" s="33"/>
      <c r="D12" s="31"/>
      <c r="E12" s="31"/>
      <c r="F12" s="31"/>
      <c r="G12" s="34"/>
      <c r="J12" s="82"/>
      <c r="M12" s="33"/>
      <c r="N12" s="31"/>
      <c r="O12" s="31"/>
      <c r="P12" s="31"/>
      <c r="Q12" s="34"/>
    </row>
    <row r="13" spans="1:18" x14ac:dyDescent="0.25">
      <c r="B13" s="1" t="s">
        <v>405</v>
      </c>
      <c r="J13" s="82"/>
      <c r="L13" s="1" t="s">
        <v>405</v>
      </c>
    </row>
    <row r="14" spans="1:18" ht="45" x14ac:dyDescent="0.25">
      <c r="C14" s="59" t="s">
        <v>25</v>
      </c>
      <c r="D14" s="59" t="s">
        <v>31</v>
      </c>
      <c r="E14" s="9" t="s">
        <v>32</v>
      </c>
      <c r="F14" s="9" t="s">
        <v>33</v>
      </c>
      <c r="G14" s="9" t="s">
        <v>139</v>
      </c>
      <c r="H14" s="9" t="s">
        <v>140</v>
      </c>
      <c r="J14" s="82"/>
      <c r="M14" s="59" t="s">
        <v>25</v>
      </c>
      <c r="N14" s="59" t="s">
        <v>31</v>
      </c>
      <c r="O14" s="9" t="s">
        <v>32</v>
      </c>
      <c r="P14" s="9" t="s">
        <v>33</v>
      </c>
      <c r="Q14" s="9" t="s">
        <v>139</v>
      </c>
      <c r="R14" s="9" t="s">
        <v>140</v>
      </c>
    </row>
    <row r="15" spans="1:18" x14ac:dyDescent="0.25">
      <c r="C15" s="64">
        <v>1</v>
      </c>
      <c r="D15" s="29" t="s">
        <v>117</v>
      </c>
      <c r="E15" s="64">
        <v>0</v>
      </c>
      <c r="F15" s="64">
        <v>0</v>
      </c>
      <c r="G15" s="64">
        <v>0</v>
      </c>
      <c r="H15" s="64">
        <v>0</v>
      </c>
      <c r="J15" s="82"/>
      <c r="M15" s="64">
        <v>1</v>
      </c>
      <c r="N15" s="29" t="s">
        <v>117</v>
      </c>
      <c r="O15" s="64">
        <v>0</v>
      </c>
      <c r="P15" s="64">
        <v>0</v>
      </c>
      <c r="Q15" s="64">
        <v>0</v>
      </c>
      <c r="R15" s="64">
        <v>0</v>
      </c>
    </row>
    <row r="16" spans="1:18" x14ac:dyDescent="0.25">
      <c r="C16" s="64">
        <v>2</v>
      </c>
      <c r="D16" s="29" t="s">
        <v>118</v>
      </c>
      <c r="E16" s="64">
        <v>0</v>
      </c>
      <c r="F16" s="64">
        <v>0</v>
      </c>
      <c r="G16" s="64">
        <v>0</v>
      </c>
      <c r="H16" s="64">
        <v>0</v>
      </c>
      <c r="J16" s="82"/>
      <c r="M16" s="64">
        <v>2</v>
      </c>
      <c r="N16" s="29" t="s">
        <v>118</v>
      </c>
      <c r="O16" s="64">
        <v>0</v>
      </c>
      <c r="P16" s="64">
        <v>0</v>
      </c>
      <c r="Q16" s="64">
        <v>0</v>
      </c>
      <c r="R16" s="64">
        <v>0</v>
      </c>
    </row>
    <row r="17" spans="2:18" x14ac:dyDescent="0.25">
      <c r="C17" s="64">
        <v>3</v>
      </c>
      <c r="D17" s="29" t="s">
        <v>119</v>
      </c>
      <c r="E17" s="64">
        <v>0</v>
      </c>
      <c r="F17" s="64">
        <v>0</v>
      </c>
      <c r="G17" s="64">
        <v>0</v>
      </c>
      <c r="H17" s="64">
        <v>0</v>
      </c>
      <c r="J17" s="82"/>
      <c r="M17" s="64">
        <v>3</v>
      </c>
      <c r="N17" s="29" t="s">
        <v>119</v>
      </c>
      <c r="O17" s="64">
        <v>0</v>
      </c>
      <c r="P17" s="64">
        <v>0</v>
      </c>
      <c r="Q17" s="64">
        <v>0</v>
      </c>
      <c r="R17" s="64">
        <v>0</v>
      </c>
    </row>
    <row r="18" spans="2:18" x14ac:dyDescent="0.25">
      <c r="C18" s="64">
        <v>4</v>
      </c>
      <c r="D18" s="29" t="s">
        <v>120</v>
      </c>
      <c r="E18" s="64">
        <v>0</v>
      </c>
      <c r="F18" s="64">
        <v>0</v>
      </c>
      <c r="G18" s="64">
        <v>0</v>
      </c>
      <c r="H18" s="64">
        <v>0</v>
      </c>
      <c r="J18" s="82"/>
      <c r="M18" s="64">
        <v>4</v>
      </c>
      <c r="N18" s="29" t="s">
        <v>120</v>
      </c>
      <c r="O18" s="64">
        <v>0</v>
      </c>
      <c r="P18" s="64">
        <v>0</v>
      </c>
      <c r="Q18" s="64">
        <v>0</v>
      </c>
      <c r="R18" s="64">
        <v>0</v>
      </c>
    </row>
    <row r="19" spans="2:18" x14ac:dyDescent="0.25">
      <c r="C19" s="64">
        <v>5</v>
      </c>
      <c r="D19" s="29" t="s">
        <v>190</v>
      </c>
      <c r="E19" s="64">
        <v>0</v>
      </c>
      <c r="F19" s="64">
        <v>0</v>
      </c>
      <c r="G19" s="64">
        <v>0</v>
      </c>
      <c r="H19" s="64">
        <v>0</v>
      </c>
      <c r="J19" s="82"/>
      <c r="M19" s="64">
        <v>5</v>
      </c>
      <c r="N19" s="29" t="s">
        <v>190</v>
      </c>
      <c r="O19" s="64">
        <v>0</v>
      </c>
      <c r="P19" s="64">
        <v>0</v>
      </c>
      <c r="Q19" s="64">
        <v>0</v>
      </c>
      <c r="R19" s="64">
        <v>0</v>
      </c>
    </row>
    <row r="20" spans="2:18" x14ac:dyDescent="0.25">
      <c r="C20" s="64">
        <v>6</v>
      </c>
      <c r="D20" s="29" t="s">
        <v>191</v>
      </c>
      <c r="E20" s="64">
        <v>0</v>
      </c>
      <c r="F20" s="64">
        <v>0</v>
      </c>
      <c r="G20" s="64">
        <v>0</v>
      </c>
      <c r="H20" s="64">
        <v>0</v>
      </c>
      <c r="J20" s="82"/>
      <c r="M20" s="64">
        <v>6</v>
      </c>
      <c r="N20" s="29" t="s">
        <v>191</v>
      </c>
      <c r="O20" s="64">
        <v>0</v>
      </c>
      <c r="P20" s="64">
        <v>0</v>
      </c>
      <c r="Q20" s="64">
        <v>0</v>
      </c>
      <c r="R20" s="64">
        <v>0</v>
      </c>
    </row>
    <row r="21" spans="2:18" x14ac:dyDescent="0.25">
      <c r="C21" s="64">
        <v>7</v>
      </c>
      <c r="D21" s="29" t="s">
        <v>192</v>
      </c>
      <c r="E21" s="64">
        <v>0</v>
      </c>
      <c r="F21" s="64">
        <v>18</v>
      </c>
      <c r="G21" s="64">
        <v>0</v>
      </c>
      <c r="H21" s="64">
        <v>0.13846153846153847</v>
      </c>
      <c r="J21" s="82"/>
      <c r="M21" s="64">
        <v>7</v>
      </c>
      <c r="N21" s="29" t="s">
        <v>192</v>
      </c>
      <c r="O21" s="64">
        <v>0</v>
      </c>
      <c r="P21" s="64">
        <v>0</v>
      </c>
      <c r="Q21" s="64">
        <v>0</v>
      </c>
      <c r="R21" s="64">
        <v>0</v>
      </c>
    </row>
    <row r="22" spans="2:18" x14ac:dyDescent="0.25">
      <c r="C22" s="64">
        <v>8</v>
      </c>
      <c r="D22" s="29" t="s">
        <v>193</v>
      </c>
      <c r="E22" s="64">
        <v>0</v>
      </c>
      <c r="F22" s="64">
        <v>0</v>
      </c>
      <c r="G22" s="64">
        <v>0</v>
      </c>
      <c r="H22" s="64">
        <v>0</v>
      </c>
      <c r="J22" s="82"/>
      <c r="M22" s="64">
        <v>8</v>
      </c>
      <c r="N22" s="29" t="s">
        <v>193</v>
      </c>
      <c r="O22" s="64">
        <v>0</v>
      </c>
      <c r="P22" s="64">
        <v>0</v>
      </c>
      <c r="Q22" s="64">
        <v>0</v>
      </c>
      <c r="R22" s="64">
        <v>0</v>
      </c>
    </row>
    <row r="23" spans="2:18" x14ac:dyDescent="0.25">
      <c r="C23" s="64">
        <v>9</v>
      </c>
      <c r="D23" s="29" t="s">
        <v>180</v>
      </c>
      <c r="E23" s="64">
        <v>0</v>
      </c>
      <c r="F23" s="64">
        <v>0</v>
      </c>
      <c r="G23" s="64">
        <v>0</v>
      </c>
      <c r="H23" s="64">
        <v>0</v>
      </c>
      <c r="J23" s="82"/>
      <c r="M23" s="64">
        <v>9</v>
      </c>
      <c r="N23" s="29" t="s">
        <v>180</v>
      </c>
      <c r="O23" s="64">
        <v>0</v>
      </c>
      <c r="P23" s="64">
        <v>0</v>
      </c>
      <c r="Q23" s="64">
        <v>0</v>
      </c>
      <c r="R23" s="64">
        <v>0</v>
      </c>
    </row>
    <row r="24" spans="2:18" x14ac:dyDescent="0.25">
      <c r="C24" s="64">
        <v>10</v>
      </c>
      <c r="D24" s="29" t="s">
        <v>179</v>
      </c>
      <c r="E24" s="64">
        <v>0</v>
      </c>
      <c r="F24" s="64">
        <v>0</v>
      </c>
      <c r="G24" s="64">
        <v>0</v>
      </c>
      <c r="H24" s="64">
        <v>0</v>
      </c>
      <c r="J24" s="82"/>
      <c r="M24" s="64">
        <v>10</v>
      </c>
      <c r="N24" s="29" t="s">
        <v>179</v>
      </c>
      <c r="O24" s="64">
        <v>0</v>
      </c>
      <c r="P24" s="64">
        <v>0</v>
      </c>
      <c r="Q24" s="64">
        <v>0</v>
      </c>
      <c r="R24" s="64">
        <v>0</v>
      </c>
    </row>
    <row r="25" spans="2:18" x14ac:dyDescent="0.25">
      <c r="C25" s="30"/>
      <c r="D25" s="30"/>
      <c r="E25" s="31"/>
      <c r="F25" s="31"/>
      <c r="J25" s="82"/>
      <c r="M25" s="30"/>
      <c r="N25" s="30"/>
      <c r="O25" s="31"/>
      <c r="P25" s="31"/>
    </row>
    <row r="26" spans="2:18" x14ac:dyDescent="0.25">
      <c r="B26" s="1" t="s">
        <v>34</v>
      </c>
      <c r="J26" s="82"/>
      <c r="L26" s="1" t="s">
        <v>34</v>
      </c>
    </row>
    <row r="27" spans="2:18" x14ac:dyDescent="0.25">
      <c r="C27" s="59" t="s">
        <v>25</v>
      </c>
      <c r="D27" s="54" t="s">
        <v>35</v>
      </c>
      <c r="E27" s="55"/>
      <c r="F27" s="56"/>
      <c r="J27" s="82"/>
      <c r="M27" s="59" t="s">
        <v>25</v>
      </c>
      <c r="N27" s="54" t="s">
        <v>35</v>
      </c>
      <c r="O27" s="55"/>
      <c r="P27" s="56"/>
    </row>
    <row r="28" spans="2:18" x14ac:dyDescent="0.25">
      <c r="C28" s="64">
        <v>1</v>
      </c>
      <c r="D28" s="38" t="s">
        <v>61</v>
      </c>
      <c r="E28" s="39"/>
      <c r="F28" s="40"/>
      <c r="J28" s="82"/>
      <c r="M28" s="64">
        <v>1</v>
      </c>
      <c r="N28" s="38" t="s">
        <v>61</v>
      </c>
      <c r="O28" s="39"/>
      <c r="P28" s="40"/>
    </row>
    <row r="29" spans="2:18" x14ac:dyDescent="0.25">
      <c r="C29" s="64">
        <v>2</v>
      </c>
      <c r="D29" s="38" t="s">
        <v>61</v>
      </c>
      <c r="E29" s="39"/>
      <c r="F29" s="40"/>
      <c r="J29" s="82"/>
      <c r="M29" s="64">
        <v>2</v>
      </c>
      <c r="N29" s="38" t="s">
        <v>61</v>
      </c>
      <c r="O29" s="39"/>
      <c r="P29" s="40"/>
    </row>
    <row r="30" spans="2:18" x14ac:dyDescent="0.25">
      <c r="C30" s="64">
        <v>3</v>
      </c>
      <c r="D30" s="38" t="s">
        <v>61</v>
      </c>
      <c r="E30" s="39"/>
      <c r="F30" s="40"/>
      <c r="J30" s="82"/>
      <c r="M30" s="64">
        <v>3</v>
      </c>
      <c r="N30" s="38" t="s">
        <v>61</v>
      </c>
      <c r="O30" s="39"/>
      <c r="P30" s="40"/>
    </row>
    <row r="31" spans="2:18" x14ac:dyDescent="0.25">
      <c r="C31" s="64">
        <v>4</v>
      </c>
      <c r="D31" s="38" t="s">
        <v>61</v>
      </c>
      <c r="E31" s="39"/>
      <c r="F31" s="40"/>
      <c r="J31" s="82"/>
      <c r="M31" s="64">
        <v>4</v>
      </c>
      <c r="N31" s="38" t="s">
        <v>61</v>
      </c>
      <c r="O31" s="39"/>
      <c r="P31" s="40"/>
    </row>
    <row r="32" spans="2:18" x14ac:dyDescent="0.25">
      <c r="J32" s="82"/>
    </row>
    <row r="33" spans="2:16" x14ac:dyDescent="0.25">
      <c r="B33" s="1" t="s">
        <v>406</v>
      </c>
      <c r="J33" s="82"/>
      <c r="L33" s="1" t="s">
        <v>406</v>
      </c>
    </row>
    <row r="34" spans="2:16" ht="30" x14ac:dyDescent="0.25">
      <c r="C34" s="59" t="s">
        <v>25</v>
      </c>
      <c r="D34" s="59" t="s">
        <v>31</v>
      </c>
      <c r="E34" s="9" t="s">
        <v>137</v>
      </c>
      <c r="F34" s="9" t="s">
        <v>138</v>
      </c>
      <c r="J34" s="82"/>
      <c r="M34" s="59" t="s">
        <v>25</v>
      </c>
      <c r="N34" s="59" t="s">
        <v>31</v>
      </c>
      <c r="O34" s="9" t="s">
        <v>137</v>
      </c>
      <c r="P34" s="9" t="s">
        <v>138</v>
      </c>
    </row>
    <row r="35" spans="2:16" x14ac:dyDescent="0.25">
      <c r="C35" s="64">
        <v>1</v>
      </c>
      <c r="D35" s="29" t="s">
        <v>117</v>
      </c>
      <c r="E35" s="63">
        <v>0</v>
      </c>
      <c r="F35" s="64">
        <v>0</v>
      </c>
      <c r="J35" s="82"/>
      <c r="M35" s="64">
        <v>1</v>
      </c>
      <c r="N35" s="29" t="s">
        <v>117</v>
      </c>
      <c r="O35" s="63">
        <v>0</v>
      </c>
      <c r="P35" s="64">
        <v>0</v>
      </c>
    </row>
    <row r="36" spans="2:16" x14ac:dyDescent="0.25">
      <c r="C36" s="64">
        <v>2</v>
      </c>
      <c r="D36" s="29" t="s">
        <v>118</v>
      </c>
      <c r="E36" s="63">
        <v>0</v>
      </c>
      <c r="F36" s="64">
        <v>0</v>
      </c>
      <c r="J36" s="82"/>
      <c r="M36" s="64">
        <v>2</v>
      </c>
      <c r="N36" s="29" t="s">
        <v>118</v>
      </c>
      <c r="O36" s="63">
        <v>0</v>
      </c>
      <c r="P36" s="64">
        <v>0</v>
      </c>
    </row>
    <row r="37" spans="2:16" x14ac:dyDescent="0.25">
      <c r="C37" s="64">
        <v>3</v>
      </c>
      <c r="D37" s="29" t="s">
        <v>119</v>
      </c>
      <c r="E37" s="63">
        <v>0</v>
      </c>
      <c r="F37" s="64">
        <v>0</v>
      </c>
      <c r="J37" s="82"/>
      <c r="M37" s="64">
        <v>3</v>
      </c>
      <c r="N37" s="29" t="s">
        <v>119</v>
      </c>
      <c r="O37" s="63">
        <v>0</v>
      </c>
      <c r="P37" s="64">
        <v>0</v>
      </c>
    </row>
    <row r="38" spans="2:16" x14ac:dyDescent="0.25">
      <c r="C38" s="64">
        <v>4</v>
      </c>
      <c r="D38" s="29" t="s">
        <v>120</v>
      </c>
      <c r="E38" s="63">
        <v>0</v>
      </c>
      <c r="F38" s="64">
        <v>0</v>
      </c>
      <c r="J38" s="82"/>
      <c r="M38" s="64">
        <v>4</v>
      </c>
      <c r="N38" s="29" t="s">
        <v>120</v>
      </c>
      <c r="O38" s="63">
        <v>0</v>
      </c>
      <c r="P38" s="64">
        <v>0</v>
      </c>
    </row>
    <row r="39" spans="2:16" x14ac:dyDescent="0.25">
      <c r="C39" s="64">
        <v>5</v>
      </c>
      <c r="D39" s="29" t="s">
        <v>190</v>
      </c>
      <c r="E39" s="63">
        <v>0</v>
      </c>
      <c r="F39" s="64">
        <v>0</v>
      </c>
      <c r="J39" s="82"/>
      <c r="M39" s="64">
        <v>5</v>
      </c>
      <c r="N39" s="29" t="s">
        <v>190</v>
      </c>
      <c r="O39" s="63">
        <v>0</v>
      </c>
      <c r="P39" s="64">
        <v>0</v>
      </c>
    </row>
    <row r="40" spans="2:16" x14ac:dyDescent="0.25">
      <c r="C40" s="64">
        <v>6</v>
      </c>
      <c r="D40" s="29" t="s">
        <v>191</v>
      </c>
      <c r="E40" s="63">
        <v>0</v>
      </c>
      <c r="F40" s="64">
        <v>0</v>
      </c>
      <c r="J40" s="82"/>
      <c r="M40" s="64">
        <v>6</v>
      </c>
      <c r="N40" s="29" t="s">
        <v>191</v>
      </c>
      <c r="O40" s="63">
        <v>0</v>
      </c>
      <c r="P40" s="64">
        <v>0</v>
      </c>
    </row>
    <row r="41" spans="2:16" x14ac:dyDescent="0.25">
      <c r="C41" s="64">
        <v>7</v>
      </c>
      <c r="D41" s="29" t="s">
        <v>192</v>
      </c>
      <c r="E41" s="63">
        <v>0</v>
      </c>
      <c r="F41" s="64">
        <v>0</v>
      </c>
      <c r="J41" s="82"/>
      <c r="M41" s="64">
        <v>7</v>
      </c>
      <c r="N41" s="29" t="s">
        <v>192</v>
      </c>
      <c r="O41" s="63">
        <v>0</v>
      </c>
      <c r="P41" s="64">
        <v>0</v>
      </c>
    </row>
    <row r="42" spans="2:16" x14ac:dyDescent="0.25">
      <c r="C42" s="64">
        <v>8</v>
      </c>
      <c r="D42" s="29" t="s">
        <v>193</v>
      </c>
      <c r="E42" s="63">
        <v>0</v>
      </c>
      <c r="F42" s="64">
        <v>0</v>
      </c>
      <c r="J42" s="82"/>
      <c r="M42" s="64">
        <v>8</v>
      </c>
      <c r="N42" s="29" t="s">
        <v>193</v>
      </c>
      <c r="O42" s="63">
        <v>0</v>
      </c>
      <c r="P42" s="64">
        <v>0</v>
      </c>
    </row>
    <row r="43" spans="2:16" x14ac:dyDescent="0.25">
      <c r="C43" s="64">
        <v>9</v>
      </c>
      <c r="D43" s="29" t="s">
        <v>180</v>
      </c>
      <c r="E43" s="63">
        <v>0</v>
      </c>
      <c r="F43" s="64">
        <v>0</v>
      </c>
      <c r="J43" s="82"/>
      <c r="M43" s="64">
        <v>9</v>
      </c>
      <c r="N43" s="29" t="s">
        <v>180</v>
      </c>
      <c r="O43" s="63">
        <v>0</v>
      </c>
      <c r="P43" s="64">
        <v>0</v>
      </c>
    </row>
    <row r="44" spans="2:16" x14ac:dyDescent="0.25">
      <c r="C44" s="64">
        <v>10</v>
      </c>
      <c r="D44" s="29" t="s">
        <v>179</v>
      </c>
      <c r="E44" s="63">
        <v>0</v>
      </c>
      <c r="F44" s="64">
        <v>0</v>
      </c>
      <c r="J44" s="82"/>
      <c r="M44" s="64">
        <v>10</v>
      </c>
      <c r="N44" s="29" t="s">
        <v>179</v>
      </c>
      <c r="O44" s="63">
        <v>0</v>
      </c>
      <c r="P44" s="64">
        <v>0</v>
      </c>
    </row>
    <row r="45" spans="2:16" x14ac:dyDescent="0.25">
      <c r="C45" s="31"/>
      <c r="D45" s="30"/>
      <c r="E45" s="65"/>
      <c r="F45" s="31"/>
      <c r="J45" s="82"/>
      <c r="M45" s="31"/>
      <c r="N45" s="30"/>
      <c r="O45" s="65"/>
      <c r="P45" s="31"/>
    </row>
    <row r="46" spans="2:16" x14ac:dyDescent="0.25">
      <c r="B46" s="1" t="s">
        <v>407</v>
      </c>
      <c r="J46" s="82"/>
      <c r="L46" s="1" t="s">
        <v>407</v>
      </c>
    </row>
    <row r="47" spans="2:16" ht="30" x14ac:dyDescent="0.25">
      <c r="C47" s="59" t="s">
        <v>25</v>
      </c>
      <c r="D47" s="59" t="s">
        <v>31</v>
      </c>
      <c r="E47" s="9" t="s">
        <v>36</v>
      </c>
      <c r="F47" s="9" t="s">
        <v>37</v>
      </c>
      <c r="J47" s="82"/>
      <c r="M47" s="59" t="s">
        <v>25</v>
      </c>
      <c r="N47" s="59" t="s">
        <v>31</v>
      </c>
      <c r="O47" s="9" t="s">
        <v>36</v>
      </c>
      <c r="P47" s="9" t="s">
        <v>37</v>
      </c>
    </row>
    <row r="48" spans="2:16" x14ac:dyDescent="0.25">
      <c r="C48" s="64">
        <v>1</v>
      </c>
      <c r="D48" s="29" t="s">
        <v>117</v>
      </c>
      <c r="E48" s="63" t="s">
        <v>61</v>
      </c>
      <c r="F48" s="63" t="s">
        <v>61</v>
      </c>
      <c r="J48" s="82"/>
      <c r="M48" s="64">
        <v>1</v>
      </c>
      <c r="N48" s="29" t="s">
        <v>117</v>
      </c>
      <c r="O48" s="63" t="s">
        <v>61</v>
      </c>
      <c r="P48" s="63" t="s">
        <v>61</v>
      </c>
    </row>
    <row r="49" spans="2:16" x14ac:dyDescent="0.25">
      <c r="C49" s="64">
        <v>2</v>
      </c>
      <c r="D49" s="29" t="s">
        <v>118</v>
      </c>
      <c r="E49" s="63" t="s">
        <v>61</v>
      </c>
      <c r="F49" s="63" t="s">
        <v>61</v>
      </c>
      <c r="J49" s="82"/>
      <c r="M49" s="64">
        <v>2</v>
      </c>
      <c r="N49" s="29" t="s">
        <v>118</v>
      </c>
      <c r="O49" s="63" t="s">
        <v>61</v>
      </c>
      <c r="P49" s="63" t="s">
        <v>61</v>
      </c>
    </row>
    <row r="50" spans="2:16" x14ac:dyDescent="0.25">
      <c r="C50" s="64">
        <v>3</v>
      </c>
      <c r="D50" s="29" t="s">
        <v>119</v>
      </c>
      <c r="E50" s="63" t="s">
        <v>61</v>
      </c>
      <c r="F50" s="63" t="s">
        <v>61</v>
      </c>
      <c r="J50" s="82"/>
      <c r="M50" s="64">
        <v>3</v>
      </c>
      <c r="N50" s="29" t="s">
        <v>119</v>
      </c>
      <c r="O50" s="63" t="s">
        <v>61</v>
      </c>
      <c r="P50" s="63" t="s">
        <v>61</v>
      </c>
    </row>
    <row r="51" spans="2:16" x14ac:dyDescent="0.25">
      <c r="C51" s="64">
        <v>4</v>
      </c>
      <c r="D51" s="29" t="s">
        <v>120</v>
      </c>
      <c r="E51" s="63" t="s">
        <v>61</v>
      </c>
      <c r="F51" s="63" t="s">
        <v>61</v>
      </c>
      <c r="J51" s="82"/>
      <c r="M51" s="64">
        <v>4</v>
      </c>
      <c r="N51" s="29" t="s">
        <v>120</v>
      </c>
      <c r="O51" s="63" t="s">
        <v>61</v>
      </c>
      <c r="P51" s="63" t="s">
        <v>61</v>
      </c>
    </row>
    <row r="52" spans="2:16" x14ac:dyDescent="0.25">
      <c r="C52" s="64">
        <v>5</v>
      </c>
      <c r="D52" s="29" t="s">
        <v>190</v>
      </c>
      <c r="E52" s="63" t="s">
        <v>61</v>
      </c>
      <c r="F52" s="63" t="s">
        <v>61</v>
      </c>
      <c r="J52" s="82"/>
      <c r="M52" s="64">
        <v>5</v>
      </c>
      <c r="N52" s="29" t="s">
        <v>190</v>
      </c>
      <c r="O52" s="63" t="s">
        <v>61</v>
      </c>
      <c r="P52" s="63" t="s">
        <v>61</v>
      </c>
    </row>
    <row r="53" spans="2:16" x14ac:dyDescent="0.25">
      <c r="C53" s="64">
        <v>6</v>
      </c>
      <c r="D53" s="29" t="s">
        <v>191</v>
      </c>
      <c r="E53" s="63" t="s">
        <v>61</v>
      </c>
      <c r="F53" s="63" t="s">
        <v>61</v>
      </c>
      <c r="J53" s="82"/>
      <c r="M53" s="64">
        <v>6</v>
      </c>
      <c r="N53" s="29" t="s">
        <v>191</v>
      </c>
      <c r="O53" s="63" t="s">
        <v>61</v>
      </c>
      <c r="P53" s="63" t="s">
        <v>61</v>
      </c>
    </row>
    <row r="54" spans="2:16" x14ac:dyDescent="0.25">
      <c r="C54" s="64">
        <v>7</v>
      </c>
      <c r="D54" s="29" t="s">
        <v>192</v>
      </c>
      <c r="E54" s="63" t="s">
        <v>61</v>
      </c>
      <c r="F54" s="63" t="s">
        <v>61</v>
      </c>
      <c r="J54" s="82"/>
      <c r="M54" s="64">
        <v>7</v>
      </c>
      <c r="N54" s="29" t="s">
        <v>192</v>
      </c>
      <c r="O54" s="63" t="s">
        <v>61</v>
      </c>
      <c r="P54" s="63" t="s">
        <v>61</v>
      </c>
    </row>
    <row r="55" spans="2:16" x14ac:dyDescent="0.25">
      <c r="C55" s="64">
        <v>8</v>
      </c>
      <c r="D55" s="29" t="s">
        <v>193</v>
      </c>
      <c r="E55" s="63" t="s">
        <v>61</v>
      </c>
      <c r="F55" s="63" t="s">
        <v>61</v>
      </c>
      <c r="J55" s="82"/>
      <c r="M55" s="64">
        <v>8</v>
      </c>
      <c r="N55" s="29" t="s">
        <v>193</v>
      </c>
      <c r="O55" s="63" t="s">
        <v>61</v>
      </c>
      <c r="P55" s="63" t="s">
        <v>61</v>
      </c>
    </row>
    <row r="56" spans="2:16" x14ac:dyDescent="0.25">
      <c r="C56" s="64">
        <v>9</v>
      </c>
      <c r="D56" s="29" t="s">
        <v>180</v>
      </c>
      <c r="E56" s="63" t="s">
        <v>61</v>
      </c>
      <c r="F56" s="63" t="s">
        <v>61</v>
      </c>
      <c r="J56" s="82"/>
      <c r="M56" s="64">
        <v>9</v>
      </c>
      <c r="N56" s="29" t="s">
        <v>180</v>
      </c>
      <c r="O56" s="63" t="s">
        <v>61</v>
      </c>
      <c r="P56" s="63" t="s">
        <v>61</v>
      </c>
    </row>
    <row r="57" spans="2:16" x14ac:dyDescent="0.25">
      <c r="C57" s="64">
        <v>10</v>
      </c>
      <c r="D57" s="29" t="s">
        <v>179</v>
      </c>
      <c r="E57" s="63" t="s">
        <v>61</v>
      </c>
      <c r="F57" s="63" t="s">
        <v>61</v>
      </c>
      <c r="J57" s="82"/>
      <c r="M57" s="64">
        <v>10</v>
      </c>
      <c r="N57" s="29" t="s">
        <v>179</v>
      </c>
      <c r="O57" s="63" t="s">
        <v>61</v>
      </c>
      <c r="P57" s="63" t="s">
        <v>61</v>
      </c>
    </row>
    <row r="58" spans="2:16" x14ac:dyDescent="0.25">
      <c r="C58" s="31"/>
      <c r="D58" s="30"/>
      <c r="E58" s="65"/>
      <c r="F58" s="65"/>
      <c r="J58" s="82"/>
      <c r="M58" s="31"/>
      <c r="N58" s="30"/>
      <c r="O58" s="65"/>
      <c r="P58" s="65"/>
    </row>
    <row r="59" spans="2:16" x14ac:dyDescent="0.25">
      <c r="C59" s="31"/>
      <c r="D59" s="30"/>
      <c r="E59" s="65"/>
      <c r="F59" s="65"/>
      <c r="J59" s="82"/>
      <c r="M59" s="31"/>
      <c r="N59" s="30"/>
      <c r="O59" s="65"/>
      <c r="P59" s="65"/>
    </row>
    <row r="60" spans="2:16" x14ac:dyDescent="0.25">
      <c r="B60" s="1" t="s">
        <v>39</v>
      </c>
      <c r="J60" s="82"/>
      <c r="L60" s="1" t="s">
        <v>39</v>
      </c>
    </row>
    <row r="61" spans="2:16" x14ac:dyDescent="0.25">
      <c r="C61" s="1" t="s">
        <v>41</v>
      </c>
      <c r="J61" s="82"/>
      <c r="M61" s="1" t="s">
        <v>41</v>
      </c>
    </row>
    <row r="62" spans="2:16" x14ac:dyDescent="0.25">
      <c r="D62" t="s">
        <v>40</v>
      </c>
      <c r="J62" s="82"/>
      <c r="N62" t="s">
        <v>40</v>
      </c>
    </row>
    <row r="63" spans="2:16" x14ac:dyDescent="0.25">
      <c r="D63" t="s">
        <v>100</v>
      </c>
      <c r="J63" s="82"/>
      <c r="N63" t="s">
        <v>100</v>
      </c>
    </row>
    <row r="64" spans="2:16" x14ac:dyDescent="0.25">
      <c r="C64" s="1" t="s">
        <v>42</v>
      </c>
      <c r="J64" s="82"/>
      <c r="M64" s="1" t="s">
        <v>42</v>
      </c>
    </row>
    <row r="65" spans="2:14" x14ac:dyDescent="0.25">
      <c r="D65" t="s">
        <v>43</v>
      </c>
      <c r="J65" s="82"/>
      <c r="N65" t="s">
        <v>43</v>
      </c>
    </row>
    <row r="66" spans="2:14" x14ac:dyDescent="0.25">
      <c r="D66" t="s">
        <v>44</v>
      </c>
      <c r="J66" s="82"/>
      <c r="N66" t="s">
        <v>44</v>
      </c>
    </row>
    <row r="67" spans="2:14" x14ac:dyDescent="0.25">
      <c r="C67" s="1" t="s">
        <v>187</v>
      </c>
      <c r="J67" s="82"/>
      <c r="M67" s="1" t="s">
        <v>187</v>
      </c>
    </row>
    <row r="68" spans="2:14" x14ac:dyDescent="0.25">
      <c r="D68" t="s">
        <v>188</v>
      </c>
      <c r="J68" s="82"/>
      <c r="N68" t="s">
        <v>188</v>
      </c>
    </row>
    <row r="69" spans="2:14" x14ac:dyDescent="0.25">
      <c r="D69" t="s">
        <v>189</v>
      </c>
      <c r="J69" s="82"/>
      <c r="N69" t="s">
        <v>189</v>
      </c>
    </row>
    <row r="70" spans="2:14" x14ac:dyDescent="0.25">
      <c r="J70" s="82"/>
    </row>
    <row r="71" spans="2:14" x14ac:dyDescent="0.25">
      <c r="J71" s="82"/>
    </row>
    <row r="72" spans="2:14" x14ac:dyDescent="0.25">
      <c r="B72" t="s">
        <v>332</v>
      </c>
      <c r="C72" t="s">
        <v>186</v>
      </c>
      <c r="J72" s="82"/>
      <c r="K72" t="s">
        <v>185</v>
      </c>
    </row>
    <row r="73" spans="2:14" x14ac:dyDescent="0.25">
      <c r="D73" s="29" t="s">
        <v>117</v>
      </c>
      <c r="J73" s="82"/>
      <c r="L73" s="29" t="s">
        <v>120</v>
      </c>
    </row>
    <row r="74" spans="2:14" x14ac:dyDescent="0.25">
      <c r="D74" s="29" t="s">
        <v>118</v>
      </c>
      <c r="J74" s="82"/>
      <c r="L74" s="29" t="s">
        <v>180</v>
      </c>
    </row>
    <row r="75" spans="2:14" x14ac:dyDescent="0.25">
      <c r="D75" s="29" t="s">
        <v>119</v>
      </c>
      <c r="J75" s="82"/>
    </row>
    <row r="76" spans="2:14" x14ac:dyDescent="0.25">
      <c r="D76" s="29" t="s">
        <v>190</v>
      </c>
      <c r="J76" s="82"/>
    </row>
    <row r="77" spans="2:14" x14ac:dyDescent="0.25">
      <c r="D77" s="29" t="s">
        <v>191</v>
      </c>
      <c r="J77" s="82"/>
    </row>
    <row r="78" spans="2:14" x14ac:dyDescent="0.25">
      <c r="D78" s="29" t="s">
        <v>192</v>
      </c>
      <c r="J78" s="82"/>
    </row>
    <row r="79" spans="2:14" x14ac:dyDescent="0.25">
      <c r="D79" s="29" t="s">
        <v>193</v>
      </c>
      <c r="J79" s="82"/>
    </row>
    <row r="80" spans="2:14" x14ac:dyDescent="0.25">
      <c r="D80" s="29" t="s">
        <v>179</v>
      </c>
      <c r="J80" s="82"/>
    </row>
  </sheetData>
  <customSheetViews>
    <customSheetView guid="{250915DF-0B97-45D7-B29D-7EED4C89C1C1}" topLeftCell="A64">
      <selection activeCell="H21" sqref="H21"/>
      <pageMargins left="0.7" right="0.7" top="0.75" bottom="0.75" header="0.3" footer="0.3"/>
      <pageSetup orientation="portrait" horizontalDpi="300" verticalDpi="0" r:id="rId1"/>
    </customSheetView>
    <customSheetView guid="{7E0EA425-A420-4443-B9E0-CDF0AA9E5D09}" topLeftCell="A106">
      <selection activeCell="A6" sqref="A6:XFD6"/>
      <pageMargins left="0.7" right="0.7" top="0.75" bottom="0.75" header="0.3" footer="0.3"/>
      <pageSetup orientation="portrait" horizontalDpi="300" verticalDpi="0" r:id="rId2"/>
    </customSheetView>
    <customSheetView guid="{3B3E6719-EACB-4D2C-89C1-05FFAB6020FD}">
      <selection activeCell="A44" sqref="A44:XFD44"/>
      <pageMargins left="0.7" right="0.7" top="0.75" bottom="0.75" header="0.3" footer="0.3"/>
      <pageSetup orientation="portrait" horizontalDpi="300" verticalDpi="0" r:id="rId3"/>
    </customSheetView>
    <customSheetView guid="{72A6EB0A-84D5-4B8A-AC51-54CCD061630B}" topLeftCell="A43">
      <selection activeCell="H21" sqref="H21"/>
      <pageMargins left="0.7" right="0.7" top="0.75" bottom="0.75" header="0.3" footer="0.3"/>
      <pageSetup orientation="portrait" horizontalDpi="300" verticalDpi="0" r:id="rId4"/>
    </customSheetView>
    <customSheetView guid="{4E06BDBF-2CED-473B-850B-2A6C7311FF41}" topLeftCell="A106">
      <selection activeCell="D4" sqref="D4"/>
      <pageMargins left="0.7" right="0.7" top="0.75" bottom="0.75" header="0.3" footer="0.3"/>
      <pageSetup orientation="portrait" horizontalDpi="300" verticalDpi="0" r:id="rId5"/>
    </customSheetView>
    <customSheetView guid="{7ECC2B8E-6A82-42F5-8AB0-4A51C54EA5EC}" topLeftCell="A4">
      <selection activeCell="O10" sqref="O10"/>
      <pageMargins left="0.7" right="0.7" top="0.75" bottom="0.75" header="0.3" footer="0.3"/>
      <pageSetup orientation="portrait" horizontalDpi="300" verticalDpi="0" r:id="rId6"/>
    </customSheetView>
    <customSheetView guid="{A2C66332-A809-458E-971B-FDB6D62C74C3}">
      <selection activeCell="A31" sqref="A31"/>
      <pageMargins left="0.7" right="0.7" top="0.75" bottom="0.75" header="0.3" footer="0.3"/>
      <pageSetup orientation="portrait" horizontalDpi="300" verticalDpi="0" r:id="rId7"/>
    </customSheetView>
    <customSheetView guid="{60D2C030-4E31-4E07-8E1C-44D2EE84B177}" topLeftCell="A106">
      <selection activeCell="D4" sqref="D4"/>
      <pageMargins left="0.7" right="0.7" top="0.75" bottom="0.75" header="0.3" footer="0.3"/>
      <pageSetup orientation="portrait" horizontalDpi="300" verticalDpi="0" r:id="rId8"/>
    </customSheetView>
    <customSheetView guid="{D33AC7AF-C8AB-4CE9-94C7-9237011A5FC3}">
      <selection activeCell="A31" sqref="A31"/>
      <pageMargins left="0.7" right="0.7" top="0.75" bottom="0.75" header="0.3" footer="0.3"/>
      <pageSetup orientation="portrait" horizontalDpi="300" verticalDpi="0" r:id="rId9"/>
    </customSheetView>
    <customSheetView guid="{336B6883-2145-4B58-921E-CEC7185A847E}">
      <selection activeCell="A31" sqref="A31"/>
      <pageMargins left="0.7" right="0.7" top="0.75" bottom="0.75" header="0.3" footer="0.3"/>
      <pageSetup orientation="portrait" horizontalDpi="300" verticalDpi="0" r:id="rId10"/>
    </customSheetView>
  </customSheetViews>
  <pageMargins left="0.7" right="0.7" top="0.75" bottom="0.75" header="0.3" footer="0.3"/>
  <pageSetup orientation="portrait" horizontalDpi="300" verticalDpi="0" r:id="rId1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Merged_COEM</vt:lpstr>
      <vt:lpstr>Merged_JOEM</vt:lpstr>
      <vt:lpstr>|-&gt;</vt:lpstr>
      <vt:lpstr>Report_For_Each_Project_COEM</vt:lpstr>
      <vt:lpstr>Report_For_Each_Project_JOEM</vt:lpstr>
      <vt:lpstr>Template_Total_Report</vt:lpstr>
      <vt:lpstr>Table</vt:lpstr>
      <vt:lpstr>Check_List</vt:lpstr>
      <vt:lpstr>|--&gt;</vt:lpstr>
      <vt:lpstr>Monthly_20200520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EXTERNAL Nguyen Trung Hieu (Ban Vien, RBVH/EPS45)</dc:creator>
  <cp:lastModifiedBy>EXTERNAL Nguyen Trung Hieu (Ban Vien, RBVH/EPS45)</cp:lastModifiedBy>
  <dcterms:created xsi:type="dcterms:W3CDTF">2006-09-16T00:00:00Z</dcterms:created>
  <dcterms:modified xsi:type="dcterms:W3CDTF">2020-05-21T11:33:56Z</dcterms:modified>
</cp:coreProperties>
</file>