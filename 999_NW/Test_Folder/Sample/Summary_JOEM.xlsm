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eu.nguyen-trung\Desktop\Test_Folder\Sample\"/>
    </mc:Choice>
  </mc:AlternateContent>
  <xr:revisionPtr revIDLastSave="0" documentId="13_ncr:1_{D8C84566-7E90-437A-955D-BEC5C91EB8F4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JOEM_Package_20200305" sheetId="1" r:id="rId1"/>
    <sheet name="|-&gt;" sheetId="2" r:id="rId2"/>
    <sheet name="Report_For_Each_Project" sheetId="3" r:id="rId3"/>
    <sheet name="Template_Weekly_Report" sheetId="5" r:id="rId4"/>
    <sheet name="Table" sheetId="4" r:id="rId5"/>
    <sheet name="Sheet1" sheetId="6" r:id="rId6"/>
    <sheet name="Check_List" sheetId="7" r:id="rId7"/>
  </sheets>
  <functionGroups builtInGroupCount="19"/>
  <definedNames>
    <definedName name="_xlnm._FilterDatabase" localSheetId="0" hidden="1">JOEM_Package_20200305!$B$2:$AH$141</definedName>
    <definedName name="Z_0AF6B554_4F79_41B5_8703_A044EFBFC2D9_.wvu.FilterData" localSheetId="0" hidden="1">JOEM_Package_20200305!$P$2:$P$162</definedName>
    <definedName name="Z_0C90D550_B6B4_4D0D_AC5F_CBB72A0D4DD0_.wvu.FilterData" localSheetId="0" hidden="1">JOEM_Package_20200305!$B$2:$AH$144</definedName>
    <definedName name="Z_1168C744_4AB4_4E85_8A9A_9BBC73EE9AF5_.wvu.FilterData" localSheetId="0" hidden="1">JOEM_Package_20200305!$P$2:$P$163</definedName>
    <definedName name="Z_17568297_DE94_42DB_A62D_8B9302C2B85A_.wvu.FilterData" localSheetId="0" hidden="1">JOEM_Package_20200305!$B$2:$AG$144</definedName>
    <definedName name="Z_1E15BB3C_7168_4B10_A515_9444B5717103_.wvu.FilterData" localSheetId="0" hidden="1">JOEM_Package_20200305!$P$2:$P$162</definedName>
    <definedName name="Z_250915DF_0B97_45D7_B29D_7EED4C89C1C1_.wvu.FilterData" localSheetId="0" hidden="1">JOEM_Package_20200305!$B$2:$AH$141</definedName>
    <definedName name="Z_2796A872_74B9_41A6_AD05_2D7FFBF27D76_.wvu.FilterData" localSheetId="0" hidden="1">JOEM_Package_20200305!$B$2:$AG$144</definedName>
    <definedName name="Z_336B6883_2145_4B58_921E_CEC7185A847E_.wvu.Cols" localSheetId="0" hidden="1">JOEM_Package_20200305!$M:$N</definedName>
    <definedName name="Z_336B6883_2145_4B58_921E_CEC7185A847E_.wvu.FilterData" localSheetId="0" hidden="1">JOEM_Package_20200305!$B$2:$AL$141</definedName>
    <definedName name="Z_35B0B6AE_086F_4F08_9CA9_A72BF8F13B9D_.wvu.FilterData" localSheetId="0" hidden="1">JOEM_Package_20200305!$B$2:$AH$144</definedName>
    <definedName name="Z_383BF8A1_6C72_4EB7_9FAB_340FA4A1558F_.wvu.FilterData" localSheetId="0" hidden="1">JOEM_Package_20200305!$P$2:$P$162</definedName>
    <definedName name="Z_3EE173E3_F30C_4123_BA68_472D213EF7CF_.wvu.FilterData" localSheetId="0" hidden="1">JOEM_Package_20200305!$B$2:$AH$144</definedName>
    <definedName name="Z_4E06BDBF_2CED_473B_850B_2A6C7311FF41_.wvu.Cols" localSheetId="0" hidden="1">JOEM_Package_20200305!$M:$N</definedName>
    <definedName name="Z_4E06BDBF_2CED_473B_850B_2A6C7311FF41_.wvu.FilterData" localSheetId="0" hidden="1">JOEM_Package_20200305!$Q$2:$Q$162</definedName>
    <definedName name="Z_594856DB_1796_41BA_9D27_B22FF73A30E5_.wvu.FilterData" localSheetId="0" hidden="1">JOEM_Package_20200305!$B$2:$AH$144</definedName>
    <definedName name="Z_5A94BE08_69CF_430A_9594_9B8B7732302F_.wvu.FilterData" localSheetId="0" hidden="1">JOEM_Package_20200305!$B$2:$AH$141</definedName>
    <definedName name="Z_60D2C030_4E31_4E07_8E1C_44D2EE84B177_.wvu.Cols" localSheetId="0" hidden="1">JOEM_Package_20200305!$M:$N</definedName>
    <definedName name="Z_60D2C030_4E31_4E07_8E1C_44D2EE84B177_.wvu.FilterData" localSheetId="0" hidden="1">JOEM_Package_20200305!$B$2:$AG$144</definedName>
    <definedName name="Z_67C79A7D_F472_449C_9D1C_B7DCF65495C7_.wvu.FilterData" localSheetId="0" hidden="1">JOEM_Package_20200305!$P$2:$P$162</definedName>
    <definedName name="Z_69246D09_D21B_4AF4_99AA_028EEB2BF6C6_.wvu.FilterData" localSheetId="0" hidden="1">JOEM_Package_20200305!$B$2:$AH$71</definedName>
    <definedName name="Z_72A6EB0A_84D5_4B8A_AC51_54CCD061630B_.wvu.Cols" localSheetId="0" hidden="1">JOEM_Package_20200305!$M:$N</definedName>
    <definedName name="Z_72A6EB0A_84D5_4B8A_AC51_54CCD061630B_.wvu.FilterData" localSheetId="0" hidden="1">JOEM_Package_20200305!$B$2:$AH$144</definedName>
    <definedName name="Z_740DC6B1_F8A3_42A4_9DBA_B7F4B4302024_.wvu.FilterData" localSheetId="0" hidden="1">JOEM_Package_20200305!$B$2:$AG$10</definedName>
    <definedName name="Z_75EBBE3D_6BBB_4DA6_9D69_395330ADF817_.wvu.FilterData" localSheetId="0" hidden="1">JOEM_Package_20200305!$B$2:$AH$144</definedName>
    <definedName name="Z_7E0EA425_A420_4443_B9E0_CDF0AA9E5D09_.wvu.Cols" localSheetId="0" hidden="1">JOEM_Package_20200305!$M:$N</definedName>
    <definedName name="Z_7E0EA425_A420_4443_B9E0_CDF0AA9E5D09_.wvu.FilterData" localSheetId="0" hidden="1">JOEM_Package_20200305!$Q$2:$Q$162</definedName>
    <definedName name="Z_7ECC2B8E_6A82_42F5_8AB0_4A51C54EA5EC_.wvu.Cols" localSheetId="0" hidden="1">JOEM_Package_20200305!$M:$N</definedName>
    <definedName name="Z_7ECC2B8E_6A82_42F5_8AB0_4A51C54EA5EC_.wvu.FilterData" localSheetId="0" hidden="1">JOEM_Package_20200305!$P$2:$P$171</definedName>
    <definedName name="Z_839DFCBD_B2E4_4623_A615_58494692EC74_.wvu.FilterData" localSheetId="0" hidden="1">JOEM_Package_20200305!$Q$2:$Q$162</definedName>
    <definedName name="Z_9BBC5FBB_CEC7_4B7E_8FC1_DC9F240B7B1A_.wvu.FilterData" localSheetId="0" hidden="1">JOEM_Package_20200305!$B$2:$AG$144</definedName>
    <definedName name="Z_9ED4B296_E9A0_43D8_A56B_F4D7CC736352_.wvu.FilterData" localSheetId="0" hidden="1">JOEM_Package_20200305!$B$2:$AG$10</definedName>
    <definedName name="Z_A239C479_B2DC_4DCA_A930_634A835634B0_.wvu.FilterData" localSheetId="0" hidden="1">JOEM_Package_20200305!$B$2:$AG$144</definedName>
    <definedName name="Z_A2C66332_A809_458E_971B_FDB6D62C74C3_.wvu.FilterData" localSheetId="0" hidden="1">JOEM_Package_20200305!$B$2:$AH$141</definedName>
    <definedName name="Z_A51EBE84_CBC8_46F9_AE0C_B070690415D4_.wvu.FilterData" localSheetId="0" hidden="1">JOEM_Package_20200305!$Q$2:$Q$162</definedName>
    <definedName name="Z_BBAE6BD0_8958_494E_83AF_3471AF879750_.wvu.FilterData" localSheetId="0" hidden="1">JOEM_Package_20200305!$B$2:$AG$144</definedName>
    <definedName name="Z_BC540321_E8DB_4542_BCB2_E7256206718C_.wvu.FilterData" localSheetId="0" hidden="1">JOEM_Package_20200305!$P$2:$P$162</definedName>
    <definedName name="Z_D5F9A537_3EF6_4FA9_94D8_ABB431F3ED7F_.wvu.FilterData" localSheetId="0" hidden="1">JOEM_Package_20200305!$Q$2:$Q$162</definedName>
    <definedName name="Z_E5223EEB_1CC4_41F4_8F6A_1BF12F1A8814_.wvu.FilterData" localSheetId="0" hidden="1">JOEM_Package_20200305!$B$2:$AH$71</definedName>
    <definedName name="Z_E8991E61_6D05_4C3B_B928_FD787FF86F58_.wvu.FilterData" localSheetId="0" hidden="1">JOEM_Package_20200305!$Q$2:$Q$162</definedName>
    <definedName name="Z_F1CFDE0E_BA5F_49F4_A18C_858CC505F541_.wvu.FilterData" localSheetId="0" hidden="1">JOEM_Package_20200305!$P$2:$P$162</definedName>
    <definedName name="Z_F7FEA3D1_12D3_472F_AD10_9C075C650610_.wvu.FilterData" localSheetId="0" hidden="1">JOEM_Package_20200305!$P$2:$P$162</definedName>
  </definedNames>
  <calcPr calcId="191029"/>
  <customWorkbookViews>
    <customWorkbookView name="EXTERNAL Nguyen Trung Hieu (Ban Vien, RBVH/EPS45) - Personal View" guid="{250915DF-0B97-45D7-B29D-7EED4C89C1C1}" mergeInterval="0" personalView="1" maximized="1" xWindow="-8" yWindow="-8" windowWidth="1936" windowHeight="1176" activeSheetId="6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EXTERNAL Luu Cong Dac (Ban Vien, RBVH/EPS45) - Personal View" guid="{336B6883-2145-4B58-921E-CEC7185A847E}" mergeInterval="0" personalView="1" xWindow="9" yWindow="256" windowWidth="1353" windowHeight="951" tabRatio="428" activeSheetId="1"/>
    <customWorkbookView name="EXTERNAL Ly Chung (Ban Vien, RBVH/EPS45) - Personal View" guid="{60D2C030-4E31-4E07-8E1C-44D2EE84B177}" mergeInterval="0" personalView="1" maximized="1" xWindow="-8" yWindow="-8" windowWidth="1936" windowHeight="1186" tabRatio="428" activeSheetId="1"/>
    <customWorkbookView name="EXTERNAL Nguyen Tuan Duong (Ban Vien, RBVH/EPS45) - Personal View" guid="{7E0EA425-A420-4443-B9E0-CDF0AA9E5D09}" mergeInterval="0" personalView="1" maximized="1" xWindow="-8" yWindow="-8" windowWidth="1936" windowHeight="1176" activeSheetId="1"/>
    <customWorkbookView name="EXTERNAL Do Phu Loc (Ban Vien, RBVH/EPS45) - Personal View" guid="{72A6EB0A-84D5-4B8A-AC51-54CCD061630B}" mergeInterval="0" personalView="1" maximized="1" xWindow="-8" yWindow="-8" windowWidth="1936" windowHeight="1176" tabRatio="428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"/>
    <customWorkbookView name="EXTERNAL Nguyen Tai Hau (Ban Vien, RBVH/EPS45) - Personal View" guid="{7ECC2B8E-6A82-42F5-8AB0-4A51C54EA5EC}" mergeInterval="0" personalView="1" maximized="1" xWindow="-8" yWindow="-8" windowWidth="1936" windowHeight="1176" tabRatio="428" activeSheetId="1"/>
    <customWorkbookView name="Nguyen Trung Hieu - Personal View" guid="{5A94BE08-69CF-430A-9594-9B8B7732302F}" mergeInterval="0" personalView="1" maximized="1" xWindow="-11" yWindow="-11" windowWidth="1942" windowHeight="1042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4" i="1" l="1"/>
  <c r="E153" i="1"/>
  <c r="E151" i="1"/>
  <c r="E152" i="1"/>
  <c r="F150" i="1" l="1"/>
  <c r="C18" i="3" l="1"/>
  <c r="C19" i="3"/>
  <c r="C5" i="3"/>
  <c r="C32" i="3" l="1"/>
  <c r="C31" i="3"/>
  <c r="C4" i="3"/>
  <c r="T70" i="1" l="1"/>
  <c r="U70" i="1" s="1"/>
  <c r="T71" i="1"/>
  <c r="U71" i="1" s="1"/>
  <c r="H49" i="3" l="1"/>
  <c r="H48" i="3"/>
  <c r="H37" i="3"/>
  <c r="H36" i="3"/>
  <c r="G23" i="3"/>
  <c r="H24" i="3"/>
  <c r="H23" i="3"/>
  <c r="G10" i="3"/>
  <c r="A16" i="3"/>
  <c r="A29" i="3" s="1"/>
  <c r="A42" i="3" s="1"/>
  <c r="C44" i="3"/>
  <c r="B3" i="5"/>
  <c r="F168" i="1" s="1"/>
  <c r="B2" i="5"/>
  <c r="F171" i="1" l="1"/>
  <c r="F170" i="1"/>
  <c r="F169" i="1"/>
  <c r="G49" i="3"/>
  <c r="G48" i="3"/>
  <c r="F48" i="3"/>
  <c r="E48" i="3"/>
  <c r="I48" i="3" s="1"/>
  <c r="G37" i="3"/>
  <c r="G36" i="3"/>
  <c r="G24" i="3"/>
  <c r="C17" i="3" s="1"/>
  <c r="F23" i="3"/>
  <c r="E23" i="3"/>
  <c r="I23" i="3" s="1"/>
  <c r="H10" i="3"/>
  <c r="H9" i="3"/>
  <c r="G9" i="3"/>
  <c r="F9" i="3"/>
  <c r="E9" i="3"/>
  <c r="I9" i="3" s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U73" i="1" s="1"/>
  <c r="T72" i="1"/>
  <c r="U72" i="1" s="1"/>
  <c r="T69" i="1"/>
  <c r="T68" i="1"/>
  <c r="T67" i="1"/>
  <c r="T66" i="1"/>
  <c r="T65" i="1"/>
  <c r="T64" i="1"/>
  <c r="T63" i="1"/>
  <c r="T62" i="1"/>
  <c r="U62" i="1" s="1"/>
  <c r="T61" i="1"/>
  <c r="T60" i="1"/>
  <c r="T59" i="1"/>
  <c r="U59" i="1" s="1"/>
  <c r="T58" i="1"/>
  <c r="T57" i="1"/>
  <c r="C33" i="3" l="1"/>
  <c r="F49" i="3"/>
  <c r="C43" i="3"/>
  <c r="E49" i="3"/>
  <c r="C6" i="3"/>
  <c r="C30" i="3"/>
  <c r="C3" i="3"/>
  <c r="U57" i="1"/>
  <c r="I49" i="3" l="1"/>
  <c r="T47" i="1"/>
  <c r="T48" i="1"/>
  <c r="T49" i="1"/>
  <c r="U49" i="1" s="1"/>
  <c r="T50" i="1"/>
  <c r="U50" i="1" s="1"/>
  <c r="T51" i="1"/>
  <c r="U51" i="1" s="1"/>
  <c r="T52" i="1"/>
  <c r="T53" i="1"/>
  <c r="U53" i="1" s="1"/>
  <c r="T54" i="1"/>
  <c r="U54" i="1" s="1"/>
  <c r="U61" i="1" l="1"/>
  <c r="F151" i="1" l="1"/>
  <c r="F152" i="1"/>
  <c r="U60" i="1" l="1"/>
  <c r="U58" i="1"/>
  <c r="T56" i="1"/>
  <c r="U56" i="1" s="1"/>
  <c r="T55" i="1"/>
  <c r="U55" i="1" s="1"/>
  <c r="U69" i="1" l="1"/>
  <c r="T46" i="1" l="1"/>
  <c r="U48" i="1"/>
  <c r="U46" i="1" l="1"/>
  <c r="F36" i="3"/>
  <c r="E36" i="3"/>
  <c r="U68" i="1"/>
  <c r="I36" i="3" l="1"/>
  <c r="U67" i="1"/>
  <c r="U64" i="1" l="1"/>
  <c r="U47" i="1" l="1"/>
  <c r="T45" i="1"/>
  <c r="U45" i="1" s="1"/>
  <c r="T44" i="1"/>
  <c r="U44" i="1" l="1"/>
  <c r="E37" i="3"/>
  <c r="F37" i="3"/>
  <c r="I37" i="3" s="1"/>
  <c r="U66" i="1"/>
  <c r="U65" i="1"/>
  <c r="U63" i="1"/>
  <c r="H14" i="5" s="1"/>
  <c r="L160" i="1" l="1"/>
  <c r="L161" i="1"/>
  <c r="L162" i="1"/>
  <c r="L159" i="1"/>
  <c r="L151" i="1"/>
  <c r="M151" i="1"/>
  <c r="N151" i="1"/>
  <c r="L152" i="1"/>
  <c r="M152" i="1"/>
  <c r="N152" i="1"/>
  <c r="L153" i="1"/>
  <c r="L171" i="1" s="1"/>
  <c r="M153" i="1"/>
  <c r="N153" i="1"/>
  <c r="M150" i="1"/>
  <c r="L150" i="1"/>
  <c r="N171" i="1"/>
  <c r="N169" i="1"/>
  <c r="N168" i="1"/>
  <c r="N163" i="1"/>
  <c r="M163" i="1"/>
  <c r="L163" i="1"/>
  <c r="N162" i="1"/>
  <c r="M162" i="1"/>
  <c r="N161" i="1"/>
  <c r="N160" i="1"/>
  <c r="M160" i="1"/>
  <c r="N159" i="1"/>
  <c r="N154" i="1"/>
  <c r="M154" i="1"/>
  <c r="L154" i="1"/>
  <c r="N150" i="1"/>
  <c r="P162" i="1" l="1"/>
  <c r="P153" i="1"/>
  <c r="M169" i="1"/>
  <c r="O169" i="1" s="1"/>
  <c r="O151" i="1"/>
  <c r="P154" i="1"/>
  <c r="O154" i="1"/>
  <c r="P151" i="1"/>
  <c r="P160" i="1"/>
  <c r="O162" i="1"/>
  <c r="O150" i="1"/>
  <c r="P163" i="1"/>
  <c r="O152" i="1"/>
  <c r="L169" i="1"/>
  <c r="P150" i="1"/>
  <c r="P152" i="1"/>
  <c r="O153" i="1"/>
  <c r="O160" i="1"/>
  <c r="O163" i="1"/>
  <c r="M171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F24" i="3" l="1"/>
  <c r="E24" i="3"/>
  <c r="E10" i="3"/>
  <c r="F10" i="3"/>
  <c r="P169" i="1"/>
  <c r="F8" i="5"/>
  <c r="M159" i="1"/>
  <c r="L168" i="1"/>
  <c r="E163" i="1"/>
  <c r="F7" i="5" s="1"/>
  <c r="M161" i="1"/>
  <c r="P171" i="1"/>
  <c r="O171" i="1"/>
  <c r="D163" i="1"/>
  <c r="D154" i="1"/>
  <c r="E8" i="5" l="1"/>
  <c r="H8" i="5" s="1"/>
  <c r="G8" i="5"/>
  <c r="E7" i="5"/>
  <c r="G7" i="5"/>
  <c r="H7" i="5"/>
  <c r="I24" i="3"/>
  <c r="I10" i="3"/>
  <c r="M170" i="1"/>
  <c r="O161" i="1"/>
  <c r="P161" i="1"/>
  <c r="L170" i="1"/>
  <c r="P159" i="1"/>
  <c r="M168" i="1"/>
  <c r="O159" i="1"/>
  <c r="F163" i="1"/>
  <c r="F154" i="1"/>
  <c r="D152" i="1"/>
  <c r="F14" i="5"/>
  <c r="F153" i="1"/>
  <c r="D159" i="1"/>
  <c r="E12" i="5" s="1"/>
  <c r="E159" i="1"/>
  <c r="G12" i="5" s="1"/>
  <c r="F159" i="1"/>
  <c r="D160" i="1"/>
  <c r="E13" i="5" s="1"/>
  <c r="E160" i="1"/>
  <c r="G13" i="5" s="1"/>
  <c r="F160" i="1"/>
  <c r="D161" i="1"/>
  <c r="E14" i="5" s="1"/>
  <c r="E161" i="1"/>
  <c r="G14" i="5" s="1"/>
  <c r="I14" i="5" s="1"/>
  <c r="F161" i="1"/>
  <c r="D162" i="1"/>
  <c r="E15" i="5" s="1"/>
  <c r="E162" i="1"/>
  <c r="G15" i="5" s="1"/>
  <c r="F162" i="1"/>
  <c r="P170" i="1" l="1"/>
  <c r="O170" i="1"/>
  <c r="O168" i="1"/>
  <c r="P168" i="1"/>
  <c r="H162" i="1"/>
  <c r="G162" i="1"/>
  <c r="H161" i="1"/>
  <c r="G152" i="1"/>
  <c r="D170" i="1"/>
  <c r="E170" i="1"/>
  <c r="G160" i="1"/>
  <c r="H163" i="1"/>
  <c r="H154" i="1"/>
  <c r="G163" i="1"/>
  <c r="G154" i="1"/>
  <c r="G161" i="1"/>
  <c r="H152" i="1"/>
  <c r="H159" i="1"/>
  <c r="G159" i="1"/>
  <c r="H160" i="1"/>
  <c r="G170" i="1" l="1"/>
  <c r="H170" i="1"/>
  <c r="U39" i="1"/>
  <c r="U38" i="1"/>
  <c r="U43" i="1" l="1"/>
  <c r="U42" i="1"/>
  <c r="U41" i="1"/>
  <c r="U40" i="1"/>
  <c r="U37" i="1"/>
  <c r="U36" i="1"/>
  <c r="U35" i="1"/>
  <c r="U34" i="1"/>
  <c r="H15" i="5" s="1"/>
  <c r="I15" i="5" s="1"/>
  <c r="U25" i="1"/>
  <c r="U22" i="1"/>
  <c r="U20" i="1"/>
  <c r="U18" i="1"/>
  <c r="U17" i="1"/>
  <c r="U16" i="1"/>
  <c r="U12" i="1"/>
  <c r="U11" i="1"/>
  <c r="U10" i="1"/>
  <c r="U9" i="1"/>
  <c r="U8" i="1"/>
  <c r="U7" i="1"/>
  <c r="U6" i="1"/>
  <c r="U5" i="1"/>
  <c r="U4" i="1"/>
  <c r="H13" i="5" l="1"/>
  <c r="I13" i="5" s="1"/>
  <c r="D151" i="1"/>
  <c r="F15" i="5"/>
  <c r="D153" i="1"/>
  <c r="U3" i="1"/>
  <c r="E150" i="1" s="1"/>
  <c r="D150" i="1"/>
  <c r="U13" i="1"/>
  <c r="H12" i="5" l="1"/>
  <c r="I12" i="5" s="1"/>
  <c r="E168" i="1"/>
  <c r="F13" i="5"/>
  <c r="D171" i="1"/>
  <c r="D168" i="1"/>
  <c r="D169" i="1"/>
  <c r="E169" i="1"/>
  <c r="F12" i="5"/>
  <c r="G151" i="1"/>
  <c r="H151" i="1"/>
  <c r="G153" i="1"/>
  <c r="E171" i="1"/>
  <c r="H153" i="1"/>
  <c r="G169" i="1" l="1"/>
  <c r="H169" i="1"/>
  <c r="G150" i="1"/>
  <c r="H150" i="1"/>
  <c r="G171" i="1"/>
  <c r="H171" i="1"/>
  <c r="G168" i="1" l="1"/>
  <c r="H168" i="1"/>
</calcChain>
</file>

<file path=xl/sharedStrings.xml><?xml version="1.0" encoding="utf-8"?>
<sst xmlns="http://schemas.openxmlformats.org/spreadsheetml/2006/main" count="2126" uniqueCount="506">
  <si>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</si>
  <si>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</si>
  <si>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</si>
  <si>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</si>
  <si>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</si>
  <si>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</si>
  <si>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</si>
  <si>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</si>
  <si>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</si>
  <si>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</si>
  <si>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</si>
  <si>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</si>
  <si>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</si>
  <si>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</si>
  <si>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</si>
  <si>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</si>
  <si>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</si>
  <si>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Reason</t>
  </si>
  <si>
    <t>Status</t>
  </si>
  <si>
    <t>Ready for review</t>
  </si>
  <si>
    <t>Status Table</t>
  </si>
  <si>
    <t>N/A</t>
  </si>
  <si>
    <t>Ready for PLC</t>
  </si>
  <si>
    <t>KPI/days</t>
  </si>
  <si>
    <t>Total Day</t>
  </si>
  <si>
    <t>Ongoing</t>
  </si>
  <si>
    <t>Total Loc Assigned</t>
  </si>
  <si>
    <t>Total LOC Complete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</si>
  <si>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</si>
  <si>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</si>
  <si>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</si>
  <si>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</si>
  <si>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</si>
  <si>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</si>
  <si>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</si>
  <si>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</si>
  <si>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</si>
  <si>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</si>
  <si>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1. Completed ELOCs of the team from the beginning of Month (Mar) till Now:</t>
  </si>
  <si>
    <t>2. Completed ELOCs of each member from the beginning of Month (Mar) till Now:</t>
  </si>
  <si>
    <t>3. Risks/ Pending Issues:</t>
  </si>
  <si>
    <t>Risks/ Issues</t>
  </si>
  <si>
    <t>4. Found Defects/ OPLs in Month (Mar):</t>
  </si>
  <si>
    <t>5. Leave Plan (Mar):</t>
  </si>
  <si>
    <t>Defects / OPLs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</si>
  <si>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</si>
  <si>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</si>
  <si>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</si>
  <si>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</si>
  <si>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</si>
  <si>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</si>
  <si>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</si>
  <si>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</si>
  <si>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</si>
  <si>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</si>
  <si>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</si>
  <si>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</si>
  <si>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</si>
  <si>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</si>
  <si>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</si>
  <si>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</si>
  <si>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</si>
  <si>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</si>
  <si>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</si>
  <si>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</si>
  <si>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</si>
  <si>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</si>
  <si>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</si>
  <si>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</si>
  <si>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</si>
  <si>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</si>
  <si>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</si>
  <si>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</si>
  <si>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</si>
  <si>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</si>
  <si>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</si>
  <si>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</si>
  <si>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</si>
  <si>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</si>
  <si>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</si>
  <si>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</si>
  <si>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</si>
  <si>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</si>
  <si>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</si>
  <si>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</si>
  <si>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</si>
  <si>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</si>
  <si>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</si>
  <si>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</si>
  <si>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</si>
  <si>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</si>
  <si>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</si>
  <si>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</si>
  <si>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</si>
  <si>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</si>
  <si>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</si>
  <si>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</si>
  <si>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</si>
  <si>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</si>
  <si>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</si>
  <si>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</si>
  <si>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</si>
  <si>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</si>
  <si>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1.3.115.1</t>
  </si>
  <si>
    <t>1.2.115.1</t>
  </si>
  <si>
    <t>4.15.115.0</t>
  </si>
  <si>
    <t>1.3.115.0</t>
  </si>
  <si>
    <t>6.25.0.6.115.1</t>
  </si>
  <si>
    <t>1.47.115.0</t>
  </si>
  <si>
    <t>1.25.1.1.115.0</t>
  </si>
  <si>
    <t>1.0.1.5.115.0</t>
  </si>
  <si>
    <t>1.0.115.1</t>
  </si>
  <si>
    <t>1.2.5.0.115.1</t>
  </si>
  <si>
    <t>1.2.5.0.115.0</t>
  </si>
  <si>
    <t>1.23.115.1</t>
  </si>
  <si>
    <t>6.2.115.1</t>
  </si>
  <si>
    <t>1.7.115.0</t>
  </si>
  <si>
    <t>6.13.115.0</t>
  </si>
  <si>
    <t>1.0.115.0</t>
  </si>
  <si>
    <t>9.0.115.0</t>
  </si>
  <si>
    <t>1.1.115.2</t>
  </si>
  <si>
    <t>1.0.104.4.115.0</t>
  </si>
  <si>
    <t>4.2.115.6</t>
  </si>
  <si>
    <t>1.1.115.1</t>
  </si>
  <si>
    <t>MT_016</t>
  </si>
  <si>
    <t>MT_017</t>
  </si>
  <si>
    <t>MT_018</t>
  </si>
  <si>
    <t>MT_020</t>
  </si>
  <si>
    <t>MT_021</t>
  </si>
  <si>
    <t>MT_022</t>
  </si>
  <si>
    <t>MT_024</t>
  </si>
  <si>
    <t>MT_027</t>
  </si>
  <si>
    <t>MT_028</t>
  </si>
  <si>
    <t>MT_029</t>
  </si>
  <si>
    <t>MT_030</t>
  </si>
  <si>
    <t>MT_032</t>
  </si>
  <si>
    <t>MT_033</t>
  </si>
  <si>
    <t>MT_034</t>
  </si>
  <si>
    <t>MT_035</t>
  </si>
  <si>
    <t>MT_036</t>
  </si>
  <si>
    <t>MT_038</t>
  </si>
  <si>
    <t>MT_041</t>
  </si>
  <si>
    <t>MT_042</t>
  </si>
  <si>
    <t>MT_045</t>
  </si>
  <si>
    <t>MT_048</t>
  </si>
  <si>
    <t>MT_050</t>
  </si>
  <si>
    <t>MT_051</t>
  </si>
  <si>
    <t>MT_052</t>
  </si>
  <si>
    <t>MT_053</t>
  </si>
  <si>
    <t>MT_054</t>
  </si>
  <si>
    <t>MT_055</t>
  </si>
  <si>
    <t>MT_056</t>
  </si>
  <si>
    <t>MT_057</t>
  </si>
  <si>
    <t>MT_058</t>
  </si>
  <si>
    <t>MT_059</t>
  </si>
  <si>
    <t>MT_060</t>
  </si>
  <si>
    <t>MT_061</t>
  </si>
  <si>
    <t>MT_062</t>
  </si>
  <si>
    <t>MT_064</t>
  </si>
  <si>
    <t>MT_065</t>
  </si>
  <si>
    <t>MT_066</t>
  </si>
  <si>
    <t>MT_069</t>
  </si>
  <si>
    <t xml:space="preserve">PSA_PHEVv1_81ASW_10PSW </t>
  </si>
  <si>
    <t>PSA_Gen9_3_CarbonB3_PHEVv1_AscetDB</t>
  </si>
  <si>
    <t>GRCTrigger_Hold_to_Deactivate</t>
  </si>
  <si>
    <t>GRC_DeactivationStrategy</t>
  </si>
  <si>
    <t>cal_velocity_check</t>
  </si>
  <si>
    <t>CDD_FxGradLimGenerator</t>
  </si>
  <si>
    <t>StrategyCase2Mode_ESPhybrid</t>
  </si>
  <si>
    <t>ESPhybrid_StateMachine</t>
  </si>
  <si>
    <t>ESPhevX_QPrecontrol</t>
  </si>
  <si>
    <t>Dy_PCA_StandbyRamp_Arbitrator</t>
  </si>
  <si>
    <t>DBR_SF_Init_DebugData</t>
  </si>
  <si>
    <t>DBR_DynamicPressure_SL_Inhibition</t>
  </si>
  <si>
    <t>DBR_ControllerIntervention_HydBraking</t>
  </si>
  <si>
    <t>PressureLimiter_pGradLim</t>
  </si>
  <si>
    <t>CRB_ValidWheels</t>
  </si>
  <si>
    <t>CRB_StabilityMargin_Gradient</t>
  </si>
  <si>
    <t>CRB_StabilityMargin_Delay</t>
  </si>
  <si>
    <t>CRB_FbHydTargetDeadZone</t>
  </si>
  <si>
    <t>VehControl_Axle</t>
  </si>
  <si>
    <t>VLC_MPropwTrqConv_AP</t>
  </si>
  <si>
    <t>VLC_FxTarPTStatProp_AP</t>
  </si>
  <si>
    <t>Dy_CPK4_VLCAP_AxCtrlLimGradFx</t>
  </si>
  <si>
    <t>Psa_TCSPlus_TakeOffModeReq</t>
  </si>
  <si>
    <t>Psa_HADC_DTStateMMotCondition</t>
  </si>
  <si>
    <t>Pata_PassivRegler_Dy</t>
  </si>
  <si>
    <t>Pata_ModeSelectionOutput_Dy</t>
  </si>
  <si>
    <t>Pata_ModeEspNormalSport_EOR_Dy</t>
  </si>
  <si>
    <t>Pata_ModeEspNormalSport_Dy</t>
  </si>
  <si>
    <t>Pata_ModeEspNormal_Dy</t>
  </si>
  <si>
    <t>Pata_ModeASRPassiv_EOR_Dy</t>
  </si>
  <si>
    <t>Pata_ModeASRPassiv_Dy</t>
  </si>
  <si>
    <t>Pata_HMI_Interface_Dy</t>
  </si>
  <si>
    <t>Pata_ButtonPushed_Dy</t>
  </si>
  <si>
    <t>Dy_TCSPlus_Total_Max</t>
  </si>
  <si>
    <t>Dy_TCSPlus_SelectorDSM</t>
  </si>
  <si>
    <t>Dy_TCSPlus_ModeManagement</t>
  </si>
  <si>
    <t>Dy_CPK_AxRoadSlopeinDrivingDirectionProcessing</t>
  </si>
  <si>
    <t>CDD_nPumoLimitFix</t>
  </si>
  <si>
    <t>CDD_AXCMinLimdFxActuatorEna</t>
  </si>
  <si>
    <t>BEO_Accumulator</t>
  </si>
  <si>
    <t>T501</t>
  </si>
  <si>
    <t>T500</t>
  </si>
  <si>
    <t>T502</t>
  </si>
  <si>
    <t>OK</t>
  </si>
  <si>
    <t>NG</t>
  </si>
  <si>
    <t>Toy_PtsMessageCounter</t>
  </si>
  <si>
    <t>Toy_PtsSignalFilterInterpol</t>
  </si>
  <si>
    <t>Toyota_SspWss_MPropQualifier</t>
  </si>
  <si>
    <t>TOY_403B_MPT2_Integration37</t>
  </si>
  <si>
    <t>MT_008</t>
  </si>
  <si>
    <t>MT_009</t>
  </si>
  <si>
    <t>MT_010</t>
  </si>
  <si>
    <t>T02</t>
  </si>
  <si>
    <t xml:space="preserve">Halamani Prabhu (RBEI/ESJ-ATO) </t>
  </si>
  <si>
    <t>CSMosarASWMainstream93__TMC_403B_MPT2</t>
  </si>
  <si>
    <t>9 Data set</t>
  </si>
  <si>
    <t>ASW: 130 ELOCs</t>
  </si>
  <si>
    <t>Param2D Can't cover 100% C0/C1/MCDC</t>
  </si>
  <si>
    <t>NA</t>
  </si>
  <si>
    <t>None MCDC</t>
  </si>
  <si>
    <t>1 TC False output result is undefine</t>
  </si>
  <si>
    <t xml:space="preserve">Can't cover full MCDC at line #45. Because methods Ps_Switcher.calc(Slope,TCS_ParameterSet) and Ps_Switcher_TakeOff.calc(TCS_ParameterSet) isn't call in true case at line#42. =&gt; Ps_Switcher_TakeOff.Ps_TakeOff_AbsMDif_FA_Thr() always equal to zero.  </t>
  </si>
  <si>
    <t>none MCDC</t>
  </si>
  <si>
    <t>2 dataset: init, calc</t>
  </si>
  <si>
    <t>cannot cover false case at line 43:  (self-&gt;TCSPlus_DamageCounter_Value-&gt;val &lt;= (uint32)5999976U</t>
  </si>
  <si>
    <t>2 dataset</t>
  </si>
  <si>
    <t>Can't cover case default at line #79. Because switch (CRB_RollerBenchMode) at line #9 is full case for variable CRB_RollerBenchMode. None MCDC</t>
  </si>
  <si>
    <t>Task Group</t>
  </si>
  <si>
    <t>Effort (days)</t>
  </si>
  <si>
    <t>UT_Status</t>
  </si>
  <si>
    <t>Reviewer</t>
  </si>
  <si>
    <t>PSA_PHEVv1_81ASW_10PSW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</si>
  <si>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</si>
  <si>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</si>
  <si>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</si>
  <si>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</si>
  <si>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</si>
  <si>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Okahiro Kosuke (CC-AS/ESJ4-JP), Pham Thanh Hai (RBVH/EAS23, CC-AS/ESJ4-JP)</t>
  </si>
  <si>
    <t>CTRL_PadWearAdjustmentHandler</t>
  </si>
  <si>
    <t>AnregHAAbregHA</t>
  </si>
  <si>
    <t>Controller_Gain_evGi</t>
  </si>
  <si>
    <t>FilterCoefficientB_UnbrakedCase</t>
  </si>
  <si>
    <t>MzPotentialDeZo</t>
  </si>
  <si>
    <t>VDC_ETR_UndersteeringCoefficient</t>
  </si>
  <si>
    <t>ConditionForReleaseOfUndersteeringControl</t>
  </si>
  <si>
    <t>DetectionOfPulledSteering</t>
  </si>
  <si>
    <t>FilterCoefficientA_BrakedCase</t>
  </si>
  <si>
    <t>FilterCoefficientA_UnbrakedCase</t>
  </si>
  <si>
    <t>FilterCoefficientsBrakedCase</t>
  </si>
  <si>
    <t>LimitForDecreasingSteeringAngle</t>
  </si>
  <si>
    <t>LimitForIncreasingSteeringAngle</t>
  </si>
  <si>
    <t>LoadTransferMzControl</t>
  </si>
  <si>
    <t>MaxTotalForceDriver</t>
  </si>
  <si>
    <t>TargetSlipBase</t>
  </si>
  <si>
    <t>TotalForceSafety</t>
  </si>
  <si>
    <t>YawRateMax</t>
  </si>
  <si>
    <t>FHI_Pata_HMI_Interface</t>
  </si>
  <si>
    <t>FHI_Pata_ModeSelectionOutput</t>
  </si>
  <si>
    <t>Subaru_Pata_EnvironmentVariables</t>
  </si>
  <si>
    <t>Subaru_Pata_ModeSupperXmode1</t>
  </si>
  <si>
    <t>Subaru_Pata_ModeSupperXmode2</t>
  </si>
  <si>
    <t>Subaru_Pata_VDCbuzzer</t>
  </si>
  <si>
    <t>Subaru_VehicleDynamicModeSelection</t>
  </si>
  <si>
    <t>DIA_MonitoringDeactivation_FHI</t>
  </si>
  <si>
    <t>STM_FeatureDeactivation_FHI</t>
  </si>
  <si>
    <t>1.8.140.0</t>
  </si>
  <si>
    <t>1.1.140.1</t>
  </si>
  <si>
    <t>8.5.140.1</t>
  </si>
  <si>
    <t>4.3.140.0</t>
  </si>
  <si>
    <t>8.3.140.1</t>
  </si>
  <si>
    <t>8.1.140.0</t>
  </si>
  <si>
    <t>1.5.140.1</t>
  </si>
  <si>
    <t>8.2.140.0</t>
  </si>
  <si>
    <t>8.4.140.1</t>
  </si>
  <si>
    <t>8.1.140.1</t>
  </si>
  <si>
    <t>8.2.140.1</t>
  </si>
  <si>
    <t>9.0.140.0</t>
  </si>
  <si>
    <t>8.0.140.1</t>
  </si>
  <si>
    <t>2.0.0.1</t>
  </si>
  <si>
    <t>1.0</t>
  </si>
  <si>
    <t>1.1.0.1</t>
  </si>
  <si>
    <t>1.0.0.2</t>
  </si>
  <si>
    <t>1.1.0.4</t>
  </si>
  <si>
    <t>[UUID _5ZqNAENOEea778p6_nyRsA]</t>
  </si>
  <si>
    <t>[UUID _5bKo4ENOEea778p6_nyRsA]</t>
  </si>
  <si>
    <t>rb.as.ms.f30.app.asw.custtarball</t>
  </si>
  <si>
    <t>rb.as.ms.f30.dsmpr</t>
  </si>
  <si>
    <t>SBR_ESP9_3_Gxx_SIA_Dev5_GA9W_BL03</t>
  </si>
  <si>
    <t>Total</t>
  </si>
  <si>
    <t>Judge Total KPI</t>
  </si>
  <si>
    <t>Duration</t>
  </si>
  <si>
    <t>MT_Needed</t>
  </si>
  <si>
    <t>MT_Number</t>
  </si>
  <si>
    <t>UT_055</t>
  </si>
  <si>
    <t>UT_058</t>
  </si>
  <si>
    <t>MT_013</t>
  </si>
  <si>
    <t>MT_040</t>
  </si>
  <si>
    <t>MT_043</t>
  </si>
  <si>
    <t>MT_046</t>
  </si>
  <si>
    <t>MT_047</t>
  </si>
  <si>
    <t>MT_063</t>
  </si>
  <si>
    <t>MT_067</t>
  </si>
  <si>
    <t>MT_071</t>
  </si>
  <si>
    <t>MT_072</t>
  </si>
  <si>
    <t>MT_075</t>
  </si>
  <si>
    <t>MT_076</t>
  </si>
  <si>
    <t>MT_077</t>
  </si>
  <si>
    <t>MT_078</t>
  </si>
  <si>
    <t>MT_079</t>
  </si>
  <si>
    <t>UT_055_DIA_MonitoringDeactivation_FHI_BB99433</t>
  </si>
  <si>
    <t>UT_058_STM_FeatureDeactivation_FHI_BB99433</t>
  </si>
  <si>
    <t>rb.as.core.app.asw.apbmi.host</t>
  </si>
  <si>
    <t>rb.as.core.app.asw.vdc.vdcwaddons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</si>
  <si>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</si>
  <si>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</si>
  <si>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</si>
  <si>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</si>
  <si>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</si>
  <si>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</si>
  <si>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</si>
  <si>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RBVar_VariantHandling_FHI</t>
  </si>
  <si>
    <t>[UUID _mMRKYD0UEeaEcLwvmBdEmA]</t>
  </si>
  <si>
    <t>UT_048</t>
  </si>
  <si>
    <t>UT_048_RBVar_VariantHandling_FHI_BB99433</t>
  </si>
  <si>
    <t>T200</t>
  </si>
  <si>
    <t>T201</t>
  </si>
  <si>
    <t>T202</t>
  </si>
  <si>
    <t>T203</t>
  </si>
  <si>
    <t>rb.as.ms.f30.app.dsm</t>
  </si>
  <si>
    <t>CSMosarASWMainstream93_SUB_Gx9_BL01</t>
  </si>
  <si>
    <t>Param1D, Param2D can't cover full C0/C1</t>
  </si>
  <si>
    <t>- Param2D can not cover 100% coverage
- anreguha () return can not greater than 2 due to limit assignment by formula and range value of "l_vGiHA", "P_vGiduM" from 0 to 1</t>
  </si>
  <si>
    <t>Line 17, 21: can not cover because limit assignment of dMz at line 17 =&gt; never greater than 0</t>
  </si>
  <si>
    <t>- Line 215: if(RBFS_Project == RBFS_Project_GxxiBwithEyesightJPN || RBFS_Project == RBFS_Project_GxxiBwithoutEyesightJPN) is never true because it is fixed by:
#define RBFS_Project                           RBFS_Project_GB8withEyesight
- Line 598: if(RBFS_iBooster == RBFS_iBooster_Yes) is never false because it is fixed by:
#define RBFS_iBooster                          RBFS_iBooster_No
- Line 623: if(RBFS_iBooster == RBFS_iBooster_No) is never false because it is fixed by:
#define RBFS_iBooster                          RBFS_iBooster_No
- Line 651: if(RBFS_Vehicle == RBFS_Vehicle_Exx) is never true because it is fixed by:
#define RBFS_Vehicle                           RBFS_Vehicle_Gxx
- Line 678: if(RBFS_Vehicle == RBFS_Vehicle_Gxx) is never false because it is fixed by:
#define RBFS_Vehicle                           RBFS_Vehicle_Gxx</t>
  </si>
  <si>
    <t>Delta&gt;New</t>
  </si>
  <si>
    <t>New</t>
  </si>
  <si>
    <t>Delta</t>
  </si>
  <si>
    <t>MainstreamFHI</t>
  </si>
  <si>
    <t>cannot cover default of switch case at line 150</t>
  </si>
  <si>
    <t xml:space="preserve"> cannot at input to cover 4 cases :
(uint32)self-&gt;CovGiSon-&gt;val * (uint32)self-&gt;P_CocvGiSoFAn1-&gt;val &gt;   (uint32)131072U at line 24,36
(uint16)_t1sint32 &gt; (uint16)2048 at line 62, 66</t>
  </si>
  <si>
    <t>at line 33, cannot cover  P_CovGiSoFil_xmode-&gt;val &gt; (uint16)2048</t>
  </si>
  <si>
    <t>Line 46: dMzDeZoF += P_CoFiltDMzPot*( 2*l_dMzDeZo-dMzDeZoF); 
=&gt; Unable cover out range max, min. Because it is a filter and the range of P_CoFiltDMzPot is from 0 to 0.95</t>
  </si>
  <si>
    <t>8h00</t>
  </si>
  <si>
    <t>17h00</t>
  </si>
  <si>
    <t>15h00</t>
  </si>
  <si>
    <t>Num leave day</t>
  </si>
  <si>
    <t>Dy_BrakingInProgress</t>
  </si>
  <si>
    <t>WQ_WSS_Inpl</t>
  </si>
  <si>
    <t>WQ_vRadPPPmaxmin</t>
  </si>
  <si>
    <t>WQ_Norm_Whl</t>
  </si>
  <si>
    <t>WF_WheelvMinIdent</t>
  </si>
  <si>
    <t>WF_LiftedWheel</t>
  </si>
  <si>
    <t>WF_CalcFRad</t>
  </si>
  <si>
    <t>vxaxToOffKorrStdBeob</t>
  </si>
  <si>
    <t>TransVF20ms</t>
  </si>
  <si>
    <t>Trans_vyMin</t>
  </si>
  <si>
    <t>Trans_vRadLam</t>
  </si>
  <si>
    <t>Trans_vRadFreiLamVA</t>
  </si>
  <si>
    <t>Trans_vRadFreiLamHA</t>
  </si>
  <si>
    <t>Trans_vGiRadst</t>
  </si>
  <si>
    <t>SpecialSituationsRad</t>
  </si>
  <si>
    <t>SM_TempIdentification</t>
  </si>
  <si>
    <t>SM_CalcvFzRefHilfKorr</t>
  </si>
  <si>
    <t>SM_CalcaxToOff</t>
  </si>
  <si>
    <t>SM_CalcaxToFR</t>
  </si>
  <si>
    <t>SM_ABSbeiBlsW</t>
  </si>
  <si>
    <t>SM_AbhaengT</t>
  </si>
  <si>
    <t>SlopeEstimation</t>
  </si>
  <si>
    <t>Set_vFzRef_LastValid</t>
  </si>
  <si>
    <t>REFQualifierOut</t>
  </si>
  <si>
    <t>RefIniState</t>
  </si>
  <si>
    <t>REF_WSS_LWSinCos</t>
  </si>
  <si>
    <t>REF_Reconfiguration</t>
  </si>
  <si>
    <t>REF_Reconfig_Whl</t>
  </si>
  <si>
    <t>OffRoadAufseilSusp</t>
  </si>
  <si>
    <t>NoSignals2Log</t>
  </si>
  <si>
    <t>ISWheels</t>
  </si>
  <si>
    <t>Extra_vRadFreiLamRad</t>
  </si>
  <si>
    <t>Extra_vRad1NoInp</t>
  </si>
  <si>
    <t>Extra_vFzgF</t>
  </si>
  <si>
    <t>Extra_vFzg</t>
  </si>
  <si>
    <t>Extra_Rol</t>
  </si>
  <si>
    <t>Extra_RadSorterKorrektor</t>
  </si>
  <si>
    <t>Extra_RadSorter</t>
  </si>
  <si>
    <t>Extra_CalcvRadFreiLam</t>
  </si>
  <si>
    <t>DriveSituationIdentification</t>
  </si>
  <si>
    <t>CalcStuetz</t>
  </si>
  <si>
    <t>Bremsschlupf</t>
  </si>
  <si>
    <t>Backup2Log</t>
  </si>
  <si>
    <t>AnzABS</t>
  </si>
  <si>
    <t>ABS2REF_Confidence</t>
  </si>
  <si>
    <t>WF_VDCActive</t>
  </si>
  <si>
    <t>STM_REF_Adapter</t>
  </si>
  <si>
    <t>SpecialSituationsFahrzeug</t>
  </si>
  <si>
    <t>RMIstatemachine</t>
  </si>
  <si>
    <t>DySosOut_WheelMappingIn</t>
  </si>
  <si>
    <t>DySosEst_tFZRVAL</t>
  </si>
  <si>
    <t>DySosEst_LwCrit</t>
  </si>
  <si>
    <t>DySosEst_LoadTransferBdOn</t>
  </si>
  <si>
    <t>DySosEst_LMSusp</t>
  </si>
  <si>
    <t>DySosEst_KovGiSoRed</t>
  </si>
  <si>
    <t>DySosEst_DSignLw</t>
  </si>
  <si>
    <t>DySosEst_DBetaILw</t>
  </si>
  <si>
    <t>DySosCon_dMzDySosHMueFilter</t>
  </si>
  <si>
    <t>DySosCon_dMzDySosHMueEnd</t>
  </si>
  <si>
    <t>DySosCon_anreguhaRed</t>
  </si>
  <si>
    <t>BodyAndSideSlipAngleIntegration_Dy</t>
  </si>
  <si>
    <t>ax_Kalman</t>
  </si>
  <si>
    <t>TCSTar_Opt_TireStiffness_Est</t>
  </si>
  <si>
    <t>TCSbaseLib_BreakPoint</t>
  </si>
  <si>
    <t>TCS_Tar_Opt_slTarMyExtd</t>
  </si>
  <si>
    <t>TCS_Tar_Opt_ORD_CoslOffroad</t>
  </si>
  <si>
    <t>TCS_Tar_CoslTarTCS</t>
  </si>
  <si>
    <t>TCS_Tar_CoPropRed</t>
  </si>
  <si>
    <t>TCS_Sig_Perm_Axe_SlipSignals</t>
  </si>
  <si>
    <t>TCS_Sig_axModellError</t>
  </si>
  <si>
    <t>2.2</t>
  </si>
  <si>
    <t>8.0</t>
  </si>
  <si>
    <t>4.0</t>
  </si>
  <si>
    <t>5.0</t>
  </si>
  <si>
    <t>5.0.115.0</t>
  </si>
  <si>
    <t>6.2.115.2</t>
  </si>
  <si>
    <t>2.0</t>
  </si>
  <si>
    <t>2.1</t>
  </si>
  <si>
    <t>4.1</t>
  </si>
  <si>
    <t>3.2</t>
  </si>
  <si>
    <t>4.3</t>
  </si>
  <si>
    <t>4.0.115.0</t>
  </si>
  <si>
    <t>4.0.116.0</t>
  </si>
  <si>
    <t>Delta/New</t>
  </si>
  <si>
    <t>MT_031</t>
  </si>
  <si>
    <t>MT_037</t>
  </si>
  <si>
    <t>MT_039</t>
  </si>
  <si>
    <t>MT_044</t>
  </si>
  <si>
    <t>MT_049</t>
  </si>
  <si>
    <t>MT_068</t>
  </si>
  <si>
    <t>MT_070</t>
  </si>
  <si>
    <t>MT_073</t>
  </si>
  <si>
    <t>MT_074</t>
  </si>
  <si>
    <t>MT_080</t>
  </si>
  <si>
    <t>MT_081</t>
  </si>
  <si>
    <t>MT_082</t>
  </si>
  <si>
    <t>MT_083</t>
  </si>
  <si>
    <t>MT_084</t>
  </si>
  <si>
    <t>MT_085</t>
  </si>
  <si>
    <t>MT_086</t>
  </si>
  <si>
    <t>MT_087</t>
  </si>
  <si>
    <t>MT_088</t>
  </si>
  <si>
    <t>MT_089</t>
  </si>
  <si>
    <t>MT_090</t>
  </si>
  <si>
    <t>MT_091</t>
  </si>
  <si>
    <t>MT_092</t>
  </si>
  <si>
    <t>MT_093</t>
  </si>
  <si>
    <t>MT_094</t>
  </si>
  <si>
    <t>MT_095</t>
  </si>
  <si>
    <t>MT_096</t>
  </si>
  <si>
    <t>MT_097</t>
  </si>
  <si>
    <t>CW10_EMP2V3_SmartCar_MHEV_381</t>
  </si>
  <si>
    <t>TXX</t>
  </si>
  <si>
    <t xml:space="preserve">Can't cover case "vGiAct = 0" at line #47. Because of at line #34 "vGiAct = vGiAct.max(vGiMin);" the variable vGiMin is always greater than zero, and min of Thres_vxMin value is 1.
Can't cover out max assignment to YawRateRatio at line #55. Because of max value of P_FilCoYawRateRatio is 1, and max value of YawRateRatioRaw is 10. </t>
  </si>
  <si>
    <t>Can't cover case assignment to tmp2 greater than zero at line #12. Because of the variable DAbsLw &lt; 0 and temp1 is always greater zero
Can't cover case assignment to tmp2 greater than zero at line #18. Because of the variable DAbsLw &lt; 0 and temp1 is always greater zero.
Param1D, Param2D can't cover full C0/C1/MCDC</t>
  </si>
  <si>
    <t>Can't cover case  assignment to CovGiSob less than zero at line #23. Because of at line #3 "DvGiMax = (DvGiF.abs()).min(P_DvGiFAbhStabMax.getAt(mueF));" =&gt; DvGiMax always less than or qual to P_DvGiFAbhStabMax.getAt(mueF)
Param1D, Param2D can't cover full C0/C1</t>
  </si>
  <si>
    <t>Param1D can't cover full C0/C1.
Can't cover assignment to vGiSoAckUAckUF out range max and min at line #8. Because max value of P_CoAckuUeberzieh is qual to 1.
Can't cover check AbsvGiSoAckUAckUF == 0 at line#19. Because when condition at line #15 true, AbsvGiSoAckUAckUF &gt; 0
Can't cover assignment to Ueberz out range max at line #19. Because "vGiSoBegRohmod &lt; AbsvGiSoAckUAckUF"</t>
  </si>
  <si>
    <t>CovGiSon is never less than 0, and greater than 1 because:
+ Limit assignment for CovGiSon: [0; 1.0]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</si>
  <si>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</si>
  <si>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</si>
  <si>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</si>
  <si>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</si>
  <si>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</si>
  <si>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</si>
  <si>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</si>
  <si>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</si>
  <si>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9h00</t>
  </si>
  <si>
    <t>Ontime</t>
  </si>
  <si>
    <t>Can't cover assignment to vGiSoAckUAckUF out range max, min at line #8. Because when vGiSoAckUAckUF reach max value than P_CoAckuzvGiSo equal to 1. =&gt; vGiSoAckUAckUF(max) = vGiSoAckUF(max) = 4
Can’t cover  assignment to Ueberz out range max at line #19. Because "vGiSoBegRohmod &lt; AbsvGiSoAckUAckUF"</t>
  </si>
  <si>
    <t>cannot cover because of param1D and true case (slRadSoV &gt; 1024) at line 13
explain: slRadSoV   = (slRadSoV.min(P_slRadSoVMax)).max(0); // P_slRadSoVMax max = 891</t>
  </si>
  <si>
    <t>SKIP</t>
  </si>
  <si>
    <t>12h00</t>
  </si>
  <si>
    <t>Duration (Plan)</t>
  </si>
  <si>
    <t>Duration (Actual)</t>
  </si>
  <si>
    <t>Contact point: EXTERNAL Sooraj L Sankaranarayanan (Brigosha, RBEI/PJ-OM-NE2-VS); CC: Bincy Francis (RBEI/ESE31) ; Priyadarshini Sharma (RBEI/ESE31) ; Jawahar Ravichandran (RBEI/ESE31)</t>
  </si>
  <si>
    <t>Contact Point: EXTERNAL Sooraj L Sankaranarayanan (Brigosha, RBEI/PJ-OM-NE2-VS); CC: Bincy Francis (RBEI/ESE31) ; Priyadarshini Sharma (RBEI/ESE31) ; Jawahar Ravichandran (RBEI/ESE31</t>
  </si>
  <si>
    <t>[No1]: #Line 112 never false because when B_Goto_PrefillFromAcc is false, but B_Goto_PrefillFromAcc is false, # Line 99 will never reached =&gt; # Line 108 will false
[No2]: #Line 127, condition (state &lt;= ESPhybrid_State_PressCntrlBoth)  is never false because state must be greater than 15, therefore we have to control through condtion at #Line 112. However, #Line 112 is never false, so the variable state always less than value 15.
[No3]: Line 134, Line 135: condition "PressureControlEnable_Evra" is never reach effective false due to when state = 13, pTarget_FA must be value "0" and B_OverpResidual_TargetFA must be value "TRUE". However the limit assignment for pResidual_Hys_Estimated is [0-12800] so "B_OverpResidual_TargetFA" is always reset to value "FALSE"
[No4]: Line 20: pResidual_Hys_Estimated=pResidual_Estimated-pSmall is never reached overflow of the MAX value
+ pSmall = ESPhevX_pSmall = 0.5 (non-calib)
+ Limit assignment pResidual_Hys_Estimated: [0;12800]; pResidual_Estimated: [-640;12800]; pSmall: [-640;12800]
Therefore, the calcualation of "pResidual_Estimated-pSmall" is alway less than the MAX value of pResidual_Hys_Estimated</t>
  </si>
  <si>
    <t>Variable debugData always initialized with value "0" at line 6. Therefore, the output of variable debugData is never reached value MAX from line 12 to line 19</t>
  </si>
  <si>
    <t>Can't cover case min assignment for variable pTgtGradlim_RA_loc at line#102. Because of min value of Qlim_RA_loc is equal to zero.
Can't cover case min assignment for variable delta_p_fine_RA at line#103. Because of min value of pTgtGradlim_RA_loc is equal to zero.
Can't cover cases min max assignment for variable delta_p_fine_FA at line #113 and line #114. Because of " delta_p_fine_FA - ReImplement2Pressure_normal(delta_p_fine_FA)" is always less then max value of delta_p_fine_FA and greater than min value of delta_p_fine_FA.
Can't cover case max assignment for variable cCir at line#122. Because of max value of "cCir = (cFA * cRA) / (cRA + cFA);" when cFA = cRA; =&gt; max = cFA/2=cRA/2 &lt; max of cCir.
Param1D can't cover full C0/C1/MCDC</t>
  </si>
  <si>
    <t>Can't cover full MCDC at line #16. 
Because of C_TimeLowGradient = max(CRB_LowGradientTimeABS_FA,CRB_dT), cant create case "crb_sm_GradTimer &gt; C_TimeLowGradient &amp;&amp; crb_sm_GradTimer == C_dTCycle". 
None MCDC</t>
  </si>
  <si>
    <t>Param2D Cant cover 100% for C0/C1</t>
  </si>
  <si>
    <t>Param1D can't cover full C0/C1/MCDC.
Can't cover out max min assignment to varable VlcFxTarPTStatProp at line #20. Because of local variable VlcFxTarPTStatPropModel can't reach max or min value.
Can't cover true case at line #24 and line #28. Because when condition at line #22 is true then variable VlcFxTarPTStatPropModel always equal to varable VlcFxTarPTStatProp.</t>
  </si>
  <si>
    <t>cannot cover MCDC at line 47:   Vx &gt; self-&gt;C_SpeedThreshold_ASRPassivMotricity-&gt;val &lt;&lt; 3), because it is depended on line 36: Vx &lt;= self-&gt;C_SpeedThreshold_ASRPassivMotricity-&gt;val &lt;&lt; 3)
cannot cover MCDA at line 99, 110, 121: Vx &lt;= self-&gt;C_SpeedThreshold_ASRPlus-&gt;val &lt;&lt; 3), because it is depended on line 87:   Vx &lt;= self-&gt;C_SpeedThreshold_ASRPassiv-&gt;val &lt;&lt; 3)</t>
  </si>
  <si>
    <t>canot cover:
case false at line 17: _t1sint32 &gt;= (sint32)-125829120) ? (_t1sint32 &lt;= (sint32)125829120L) with   _t1sint32 = (sint32)AxRoadSlopeF * self-&gt;l_LwCosMean-&gt;val;
case false at line 26: _t1sint32 &gt;= (sint32)-503316480) ? (_t1sint32 &lt;= (sint32)503316480L with _t1sint32 = (sint32)ay_COG * self-&gt;l_LwSinMean-&gt;val / (sint32)16 * self-&gt;C_Dy_AxRoadSlopeDrvAyCompCoeff-&gt;val;
case false at line 47: _t1sint32 &gt;= (sint32)-30720) with _t1sint32 = (sint32)self-&gt;AxRoadSlopeFinDrivingDirection_axPart-&gt;val + self-&gt;AxRoadSlopeFinDrivingDirection_ayPart-&gt;val</t>
  </si>
  <si>
    <t>cannot cover 100% because of Param1D and case false at line 21: _t1sint32 &lt;= (sint16)2500 with _t1sint32 = self-&gt;CDDnPumoMax-&gt;val + CharTable1_getAt_sint16_sint16_dispatch(self-&gt;C_Dy_CddApNPumoMaxOffset_1D, vVeh, "C_Dy_CddApNPumoMaxOffset_1D.getAtOneD at calc: line #21 in component CDD_nPumoLimitFix::Impl");</t>
  </si>
  <si>
    <t>cannot cover C0,1, MCDC because of param1D and last discistion true at line 11:  !self-&gt;AXCMinLimdFxActuatorEna-&gt;val
because it depend on itself in front of condition :   self-&gt;AXCMinLimdFxActuatorEna-&gt;val = (uint8)(CddAXCActive &amp;&amp; !CddAbsOneWhl &amp;&amp; !ApEmergencyBrake &amp;&amp; CddAxCtrlDev &gt; CharTable1_getAt_uint16_sint16_dispatch(self-&gt;P_CddAxCtrlDevDisableLimActuator_1D, APAStopDist, "P_CddAxCtrlDevDisableLimActuator_1D.getAtOneD at calc: line #9 in component CDD_AXCMinLimdFxActuatorEna::Impl") &amp;&amp; (CdddAxCtrlDev &gt; self-&gt;Loc_CdddAxCtrlDevDisableLimActuatorEna-&gt;val &amp;&amp; self-&gt;AXCMinLimdFxActuatorEna-&gt;val || CdddAxCtrlDev &gt; self-&gt;Loc_CdddAxCtrlDevDisableLimActuatorDis-&gt;val &amp;&amp; !self-&gt;AXCMinLimdFxActuatorEna-&gt;val))</t>
  </si>
  <si>
    <t>- Took 1 days to fix Action Item of Peer Review on 16th Mar, 2020</t>
  </si>
  <si>
    <t>- Different process with COEM team</t>
  </si>
  <si>
    <t>- Lacked 1 person due to surgery, so we do task with 3 person</t>
  </si>
  <si>
    <t>- No comment</t>
  </si>
  <si>
    <t>Delayed</t>
  </si>
  <si>
    <t>Many of class diagrams lacks declaration of elements.</t>
  </si>
  <si>
    <t>Hau's PC got corrupted, so his PC took 0.5 days to install the software again.</t>
  </si>
  <si>
    <t>Count from 6 Mar =&gt; 13 Mar</t>
  </si>
  <si>
    <t>Effort ASW (days)</t>
  </si>
  <si>
    <t>Effort PSW (days)</t>
  </si>
  <si>
    <t>Effort Total (days)</t>
  </si>
  <si>
    <t>Actual Effort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</si>
</sst>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9C6500"/>
      <name val="Arial"/>
      <family val="2"/>
    </font>
    <font>
      <sz val="10"/>
      <color rgb="FF00610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9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0" fontId="0" fillId="0" borderId="1" xfId="0" applyNumberFormat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/>
    <xf numFmtId="0" fontId="0" fillId="0" borderId="0" xfId="0" applyNumberFormat="1"/>
    <xf numFmtId="0" fontId="0" fillId="0" borderId="1" xfId="0" applyFill="1" applyBorder="1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" fillId="2" borderId="1" xfId="0" applyFont="1" applyFill="1" applyBorder="1"/>
    <xf numFmtId="0" fontId="0" fillId="0" borderId="1" xfId="0" quotePrefix="1" applyBorder="1"/>
    <xf numFmtId="0" fontId="5" fillId="0" borderId="0" xfId="0" applyNumberFormat="1" applyFont="1" applyFill="1" applyBorder="1" applyAlignment="1" applyProtection="1"/>
    <xf numFmtId="0" fontId="4" fillId="0" borderId="0" xfId="0" applyFont="1" applyFill="1"/>
    <xf numFmtId="0" fontId="6" fillId="0" borderId="1" xfId="0" applyFont="1" applyFill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14" fontId="0" fillId="0" borderId="1" xfId="0" applyNumberFormat="1" applyFont="1" applyBorder="1" applyAlignment="1">
      <alignment horizontal="left" vertical="top"/>
    </xf>
    <xf numFmtId="0" fontId="6" fillId="0" borderId="1" xfId="0" applyNumberFormat="1" applyFont="1" applyFill="1" applyBorder="1" applyAlignment="1" applyProtection="1">
      <alignment horizontal="left" vertical="top"/>
    </xf>
    <xf numFmtId="0" fontId="6" fillId="0" borderId="0" xfId="0" applyNumberFormat="1" applyFont="1" applyFill="1" applyBorder="1" applyAlignment="1" applyProtection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vertical="top"/>
    </xf>
    <xf numFmtId="0" fontId="8" fillId="0" borderId="1" xfId="1" applyFont="1" applyBorder="1" applyAlignment="1"/>
    <xf numFmtId="0" fontId="10" fillId="2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left" vertical="top"/>
    </xf>
    <xf numFmtId="0" fontId="0" fillId="7" borderId="1" xfId="0" applyFont="1" applyFill="1" applyBorder="1" applyAlignment="1">
      <alignment horizontal="left" vertical="top"/>
    </xf>
    <xf numFmtId="0" fontId="8" fillId="0" borderId="1" xfId="1" applyFont="1" applyBorder="1" applyAlignment="1">
      <alignment wrapText="1"/>
    </xf>
    <xf numFmtId="0" fontId="0" fillId="8" borderId="0" xfId="0" applyFill="1"/>
    <xf numFmtId="0" fontId="0" fillId="8" borderId="1" xfId="0" applyFont="1" applyFill="1" applyBorder="1" applyAlignment="1">
      <alignment horizontal="left" vertical="top"/>
    </xf>
    <xf numFmtId="0" fontId="0" fillId="8" borderId="1" xfId="0" quotePrefix="1" applyFont="1" applyFill="1" applyBorder="1" applyAlignment="1">
      <alignment horizontal="left" vertical="top"/>
    </xf>
    <xf numFmtId="164" fontId="0" fillId="8" borderId="1" xfId="0" applyNumberFormat="1" applyFont="1" applyFill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10" fontId="0" fillId="0" borderId="1" xfId="0" applyNumberFormat="1" applyFont="1" applyBorder="1" applyAlignment="1">
      <alignment horizontal="left" vertical="top"/>
    </xf>
    <xf numFmtId="10" fontId="0" fillId="8" borderId="1" xfId="0" applyNumberFormat="1" applyFont="1" applyFill="1" applyBorder="1" applyAlignment="1">
      <alignment horizontal="left" vertical="top"/>
    </xf>
    <xf numFmtId="10" fontId="6" fillId="0" borderId="1" xfId="0" applyNumberFormat="1" applyFont="1" applyFill="1" applyBorder="1" applyAlignment="1" applyProtection="1">
      <alignment horizontal="left" vertical="top"/>
    </xf>
    <xf numFmtId="10" fontId="6" fillId="0" borderId="1" xfId="0" quotePrefix="1" applyNumberFormat="1" applyFont="1" applyFill="1" applyBorder="1" applyAlignment="1" applyProtection="1">
      <alignment horizontal="left" vertical="top"/>
    </xf>
    <xf numFmtId="10" fontId="7" fillId="0" borderId="1" xfId="0" applyNumberFormat="1" applyFont="1" applyFill="1" applyBorder="1" applyAlignment="1" applyProtection="1">
      <alignment horizontal="left" vertical="top"/>
    </xf>
    <xf numFmtId="10" fontId="9" fillId="0" borderId="1" xfId="0" applyNumberFormat="1" applyFont="1" applyFill="1" applyBorder="1" applyAlignment="1" applyProtection="1">
      <alignment horizontal="left"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9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/>
    <xf numFmtId="0" fontId="0" fillId="0" borderId="0" xfId="0" quotePrefix="1"/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 wrapText="1"/>
    </xf>
    <xf numFmtId="0" fontId="0" fillId="0" borderId="6" xfId="0" quotePrefix="1" applyFill="1" applyBorder="1" applyAlignment="1">
      <alignment horizontal="center" vertical="center" wrapText="1"/>
    </xf>
    <xf numFmtId="0" fontId="0" fillId="0" borderId="7" xfId="0" quotePrefix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5" xfId="0" quotePrefix="1" applyFill="1" applyBorder="1" applyAlignment="1">
      <alignment horizontal="center" vertical="center"/>
    </xf>
    <xf numFmtId="0" fontId="0" fillId="0" borderId="6" xfId="0" quotePrefix="1" applyFill="1" applyBorder="1" applyAlignment="1">
      <alignment horizontal="center" vertical="center"/>
    </xf>
    <xf numFmtId="0" fontId="0" fillId="0" borderId="7" xfId="0" quotePrefix="1" applyFill="1" applyBorder="1" applyAlignment="1">
      <alignment horizontal="center" vertical="center"/>
    </xf>
  </cellXfs>
  <cellStyles count="2">
    <cellStyle name="Normal" xfId="0" builtinId="0"/>
    <cellStyle name="Normal 3" xfId="1" xr:uid="{00000000-0005-0000-0000-000001000000}"/>
  </cellStyles>
  <dxfs count="37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L171"/>
  <sheetViews>
    <sheetView tabSelected="1" topLeftCell="A146" zoomScale="85" zoomScaleNormal="85" workbookViewId="0">
      <selection activeCell="H181" sqref="H181"/>
    </sheetView>
  </sheetViews>
  <sheetFormatPr defaultRowHeight="14.5" x14ac:dyDescent="0.35"/>
  <cols>
    <col min="3" max="3" width="18.7265625" customWidth="1"/>
    <col min="4" max="4" width="11.54296875" customWidth="1"/>
    <col min="5" max="5" width="27.81640625" customWidth="1"/>
    <col min="6" max="6" width="19.54296875" customWidth="1"/>
    <col min="7" max="7" width="12.26953125" bestFit="1" customWidth="1"/>
    <col min="8" max="8" width="30.453125" customWidth="1"/>
    <col min="9" max="9" width="16.7265625" customWidth="1"/>
    <col min="10" max="10" width="14.26953125" customWidth="1"/>
    <col min="11" max="11" width="44" bestFit="1" customWidth="1"/>
    <col min="12" max="12" width="18" customWidth="1"/>
    <col min="13" max="13" width="27.54296875" customWidth="1"/>
    <col min="14" max="14" width="12.81640625" customWidth="1"/>
    <col min="15" max="15" width="8.453125" customWidth="1"/>
    <col min="16" max="16" width="19.26953125" bestFit="1" customWidth="1"/>
    <col min="17" max="17" width="18.26953125" customWidth="1"/>
    <col min="18" max="18" width="16" bestFit="1" customWidth="1"/>
    <col min="19" max="19" width="13.54296875" bestFit="1" customWidth="1"/>
    <col min="20" max="20" width="14.81640625" customWidth="1"/>
    <col min="21" max="21" width="12.81640625" bestFit="1" customWidth="1"/>
    <col min="22" max="22" width="14" customWidth="1"/>
    <col min="23" max="23" width="11.1796875" bestFit="1" customWidth="1"/>
    <col min="24" max="24" width="19.26953125" bestFit="1" customWidth="1"/>
    <col min="25" max="25" width="18.26953125" bestFit="1" customWidth="1"/>
    <col min="26" max="26" width="16.54296875" bestFit="1" customWidth="1"/>
    <col min="27" max="27" width="14.26953125" bestFit="1" customWidth="1"/>
    <col min="28" max="28" width="13.81640625" bestFit="1" customWidth="1"/>
    <col min="29" max="29" width="17.1796875" bestFit="1" customWidth="1"/>
    <col min="30" max="31" width="12" bestFit="1" customWidth="1"/>
    <col min="32" max="32" width="13.54296875" bestFit="1" customWidth="1"/>
    <col min="33" max="34" width="44.453125" bestFit="1" customWidth="1"/>
    <col min="35" max="35" width="39.81640625" customWidth="1"/>
  </cols>
  <sheetData>
    <row r="2" spans="2:38" x14ac:dyDescent="0.35">
      <c r="B2" s="2" t="s">
        <v>0</v>
      </c>
      <c r="C2" s="2" t="s">
        <v>72</v>
      </c>
      <c r="D2" s="2" t="s">
        <v>1</v>
      </c>
      <c r="E2" s="2" t="s">
        <v>65</v>
      </c>
      <c r="F2" s="2" t="s">
        <v>66</v>
      </c>
      <c r="G2" s="2" t="s">
        <v>294</v>
      </c>
      <c r="H2" s="2" t="s">
        <v>67</v>
      </c>
      <c r="I2" s="2" t="s">
        <v>293</v>
      </c>
      <c r="J2" s="2" t="s">
        <v>81</v>
      </c>
      <c r="K2" s="2" t="s">
        <v>80</v>
      </c>
      <c r="L2" s="2" t="s">
        <v>71</v>
      </c>
      <c r="M2" s="2" t="s">
        <v>89</v>
      </c>
      <c r="N2" s="21" t="s">
        <v>64</v>
      </c>
      <c r="O2" s="4" t="s">
        <v>7</v>
      </c>
      <c r="P2" s="4" t="s">
        <v>8</v>
      </c>
      <c r="Q2" s="4" t="s">
        <v>87</v>
      </c>
      <c r="R2" s="4" t="s">
        <v>101</v>
      </c>
      <c r="S2" s="4" t="s">
        <v>84</v>
      </c>
      <c r="T2" s="4" t="s">
        <v>85</v>
      </c>
      <c r="U2" s="4" t="s">
        <v>62</v>
      </c>
      <c r="V2" s="4" t="s">
        <v>88</v>
      </c>
      <c r="W2" s="4" t="s">
        <v>63</v>
      </c>
      <c r="X2" s="4" t="s">
        <v>18</v>
      </c>
      <c r="Y2" s="4" t="s">
        <v>68</v>
      </c>
      <c r="Z2" s="4" t="s">
        <v>69</v>
      </c>
      <c r="AA2" s="2" t="s">
        <v>12</v>
      </c>
      <c r="AB2" s="2" t="s">
        <v>13</v>
      </c>
      <c r="AC2" s="2" t="s">
        <v>86</v>
      </c>
      <c r="AD2" s="2" t="s">
        <v>14</v>
      </c>
      <c r="AE2" s="2" t="s">
        <v>15</v>
      </c>
      <c r="AF2" s="4" t="s">
        <v>16</v>
      </c>
      <c r="AG2" s="4" t="s">
        <v>17</v>
      </c>
      <c r="AH2" s="4" t="s">
        <v>90</v>
      </c>
    </row>
    <row r="3" spans="2:38" x14ac:dyDescent="0.35">
      <c r="B3" s="51">
        <v>1</v>
      </c>
      <c r="C3" s="28">
        <v>20200305</v>
      </c>
      <c r="D3" s="27" t="s">
        <v>2</v>
      </c>
      <c r="E3" s="27" t="s">
        <v>162</v>
      </c>
      <c r="F3" s="29" t="s">
        <v>70</v>
      </c>
      <c r="G3" s="27" t="s">
        <v>124</v>
      </c>
      <c r="H3" s="27" t="s">
        <v>164</v>
      </c>
      <c r="I3" s="27" t="s">
        <v>70</v>
      </c>
      <c r="J3" s="29" t="s">
        <v>70</v>
      </c>
      <c r="K3" s="27" t="s">
        <v>163</v>
      </c>
      <c r="L3" s="29" t="s">
        <v>103</v>
      </c>
      <c r="M3" s="29" t="s">
        <v>483</v>
      </c>
      <c r="N3" s="30"/>
      <c r="O3" s="28" t="s">
        <v>203</v>
      </c>
      <c r="P3" s="27" t="s">
        <v>6</v>
      </c>
      <c r="Q3" s="27"/>
      <c r="R3" s="27"/>
      <c r="S3" s="27">
        <v>38</v>
      </c>
      <c r="T3" s="27">
        <f>IF(D3=Table!$C$3,V3*Table!$C$4/8,V3*Table!$D$4/8)</f>
        <v>37.293749999999996</v>
      </c>
      <c r="U3" s="27">
        <f>T3</f>
        <v>37.293749999999996</v>
      </c>
      <c r="V3" s="27">
        <v>2.2949999999999999</v>
      </c>
      <c r="W3" s="27">
        <v>2</v>
      </c>
      <c r="X3" s="27" t="s">
        <v>83</v>
      </c>
      <c r="Y3" s="31">
        <v>43896</v>
      </c>
      <c r="Z3" s="31">
        <v>43901</v>
      </c>
      <c r="AA3" s="31">
        <v>43896</v>
      </c>
      <c r="AB3" s="31">
        <v>43896</v>
      </c>
      <c r="AC3" s="33" t="s">
        <v>205</v>
      </c>
      <c r="AD3" s="61">
        <v>1</v>
      </c>
      <c r="AE3" s="61">
        <v>1</v>
      </c>
      <c r="AF3" s="61">
        <v>1</v>
      </c>
      <c r="AG3" s="27"/>
      <c r="AH3" s="27"/>
    </row>
    <row r="4" spans="2:38" s="23" customFormat="1" x14ac:dyDescent="0.35">
      <c r="B4" s="51">
        <v>2</v>
      </c>
      <c r="C4" s="25">
        <v>20200305</v>
      </c>
      <c r="D4" s="33" t="s">
        <v>2</v>
      </c>
      <c r="E4" s="33" t="s">
        <v>162</v>
      </c>
      <c r="F4" s="29" t="s">
        <v>70</v>
      </c>
      <c r="G4" s="27" t="s">
        <v>125</v>
      </c>
      <c r="H4" s="27" t="s">
        <v>165</v>
      </c>
      <c r="I4" s="27" t="s">
        <v>70</v>
      </c>
      <c r="J4" s="27" t="s">
        <v>70</v>
      </c>
      <c r="K4" s="27" t="s">
        <v>163</v>
      </c>
      <c r="L4" s="29" t="s">
        <v>104</v>
      </c>
      <c r="M4" s="29" t="s">
        <v>483</v>
      </c>
      <c r="N4" s="30"/>
      <c r="O4" s="28" t="s">
        <v>203</v>
      </c>
      <c r="P4" s="33" t="s">
        <v>6</v>
      </c>
      <c r="Q4" s="33"/>
      <c r="R4" s="27"/>
      <c r="S4" s="27">
        <v>26</v>
      </c>
      <c r="T4" s="27">
        <f>IF(D4=Table!$C$3,V4*Table!$C$4/8,V4*Table!$D$4/8)</f>
        <v>20.71875</v>
      </c>
      <c r="U4" s="27">
        <f t="shared" ref="U4:U5" si="0">T4</f>
        <v>20.71875</v>
      </c>
      <c r="V4" s="27">
        <v>1.2749999999999999</v>
      </c>
      <c r="W4" s="27">
        <v>1</v>
      </c>
      <c r="X4" s="27" t="s">
        <v>83</v>
      </c>
      <c r="Y4" s="31">
        <v>43896</v>
      </c>
      <c r="Z4" s="31">
        <v>43901</v>
      </c>
      <c r="AA4" s="31">
        <v>43896</v>
      </c>
      <c r="AB4" s="31">
        <v>43899</v>
      </c>
      <c r="AC4" s="33" t="s">
        <v>205</v>
      </c>
      <c r="AD4" s="61">
        <v>1</v>
      </c>
      <c r="AE4" s="61">
        <v>1</v>
      </c>
      <c r="AF4" s="61" t="s">
        <v>220</v>
      </c>
      <c r="AG4" s="27"/>
      <c r="AH4" s="27"/>
      <c r="AJ4"/>
      <c r="AK4"/>
      <c r="AL4"/>
    </row>
    <row r="5" spans="2:38" x14ac:dyDescent="0.35">
      <c r="B5" s="51">
        <v>3</v>
      </c>
      <c r="C5" s="28">
        <v>20200305</v>
      </c>
      <c r="D5" s="27" t="s">
        <v>2</v>
      </c>
      <c r="E5" s="27" t="s">
        <v>162</v>
      </c>
      <c r="F5" s="29" t="s">
        <v>70</v>
      </c>
      <c r="G5" s="27" t="s">
        <v>126</v>
      </c>
      <c r="H5" s="27" t="s">
        <v>166</v>
      </c>
      <c r="I5" s="27" t="s">
        <v>70</v>
      </c>
      <c r="J5" s="27" t="s">
        <v>70</v>
      </c>
      <c r="K5" s="27" t="s">
        <v>163</v>
      </c>
      <c r="L5" s="29" t="s">
        <v>105</v>
      </c>
      <c r="M5" s="29" t="s">
        <v>483</v>
      </c>
      <c r="N5" s="30"/>
      <c r="O5" s="28" t="s">
        <v>203</v>
      </c>
      <c r="P5" s="27" t="s">
        <v>6</v>
      </c>
      <c r="Q5" s="27"/>
      <c r="R5" s="27"/>
      <c r="S5" s="27">
        <v>35</v>
      </c>
      <c r="T5" s="27">
        <f>IF(D5=Table!$C$3,V5*Table!$C$4/8,V5*Table!$D$4/8)</f>
        <v>26.243749999999999</v>
      </c>
      <c r="U5" s="27">
        <f t="shared" si="0"/>
        <v>26.243749999999999</v>
      </c>
      <c r="V5" s="27">
        <v>1.615</v>
      </c>
      <c r="W5" s="27">
        <v>1</v>
      </c>
      <c r="X5" s="27" t="s">
        <v>83</v>
      </c>
      <c r="Y5" s="31">
        <v>43896</v>
      </c>
      <c r="Z5" s="31">
        <v>43901</v>
      </c>
      <c r="AA5" s="31">
        <v>43896</v>
      </c>
      <c r="AB5" s="31">
        <v>43899</v>
      </c>
      <c r="AC5" s="33" t="s">
        <v>205</v>
      </c>
      <c r="AD5" s="61">
        <v>1</v>
      </c>
      <c r="AE5" s="61">
        <v>1</v>
      </c>
      <c r="AF5" s="61">
        <v>1</v>
      </c>
      <c r="AG5" s="27"/>
      <c r="AH5" s="27"/>
    </row>
    <row r="6" spans="2:38" x14ac:dyDescent="0.35">
      <c r="B6" s="51">
        <v>4</v>
      </c>
      <c r="C6" s="28">
        <v>20200305</v>
      </c>
      <c r="D6" s="27" t="s">
        <v>2</v>
      </c>
      <c r="E6" s="27" t="s">
        <v>162</v>
      </c>
      <c r="F6" s="29" t="s">
        <v>70</v>
      </c>
      <c r="G6" s="27" t="s">
        <v>127</v>
      </c>
      <c r="H6" s="27" t="s">
        <v>167</v>
      </c>
      <c r="I6" s="27" t="s">
        <v>70</v>
      </c>
      <c r="J6" s="27" t="s">
        <v>70</v>
      </c>
      <c r="K6" s="27" t="s">
        <v>163</v>
      </c>
      <c r="L6" s="29" t="s">
        <v>106</v>
      </c>
      <c r="M6" s="29" t="s">
        <v>483</v>
      </c>
      <c r="N6" s="30"/>
      <c r="O6" s="28" t="s">
        <v>203</v>
      </c>
      <c r="P6" s="27" t="s">
        <v>6</v>
      </c>
      <c r="Q6" s="27"/>
      <c r="R6" s="27"/>
      <c r="S6" s="27">
        <v>55</v>
      </c>
      <c r="T6" s="27">
        <f>IF(D6=Table!$C$3,V6*Table!$C$4/8,V6*Table!$D$4/8)</f>
        <v>37.293749999999996</v>
      </c>
      <c r="U6" s="27">
        <f t="shared" ref="U6:U13" si="1">T6</f>
        <v>37.293749999999996</v>
      </c>
      <c r="V6" s="27">
        <v>2.2949999999999999</v>
      </c>
      <c r="W6" s="27">
        <v>3</v>
      </c>
      <c r="X6" s="27" t="s">
        <v>83</v>
      </c>
      <c r="Y6" s="31">
        <v>43896</v>
      </c>
      <c r="Z6" s="31">
        <v>43901</v>
      </c>
      <c r="AA6" s="31">
        <v>43896</v>
      </c>
      <c r="AB6" s="31">
        <v>43901</v>
      </c>
      <c r="AC6" s="33" t="s">
        <v>205</v>
      </c>
      <c r="AD6" s="61">
        <v>1</v>
      </c>
      <c r="AE6" s="61">
        <v>1</v>
      </c>
      <c r="AF6" s="61">
        <v>1</v>
      </c>
      <c r="AG6" s="27"/>
      <c r="AH6" s="35"/>
    </row>
    <row r="7" spans="2:38" x14ac:dyDescent="0.35">
      <c r="B7" s="51">
        <v>5</v>
      </c>
      <c r="C7" s="28">
        <v>20200305</v>
      </c>
      <c r="D7" s="27" t="s">
        <v>2</v>
      </c>
      <c r="E7" s="27" t="s">
        <v>162</v>
      </c>
      <c r="F7" s="29" t="s">
        <v>70</v>
      </c>
      <c r="G7" s="27" t="s">
        <v>128</v>
      </c>
      <c r="H7" s="27" t="s">
        <v>168</v>
      </c>
      <c r="I7" s="27" t="s">
        <v>70</v>
      </c>
      <c r="J7" s="27" t="s">
        <v>70</v>
      </c>
      <c r="K7" s="27" t="s">
        <v>163</v>
      </c>
      <c r="L7" s="29" t="s">
        <v>107</v>
      </c>
      <c r="M7" s="29" t="s">
        <v>483</v>
      </c>
      <c r="N7" s="30"/>
      <c r="O7" s="28" t="s">
        <v>203</v>
      </c>
      <c r="P7" s="27" t="s">
        <v>6</v>
      </c>
      <c r="Q7" s="27"/>
      <c r="R7" s="27"/>
      <c r="S7" s="27">
        <v>150</v>
      </c>
      <c r="T7" s="27">
        <f>IF(D7=Table!$C$3,V7*Table!$C$4/8,V7*Table!$D$4/8)</f>
        <v>125.69374999999999</v>
      </c>
      <c r="U7" s="27">
        <f t="shared" si="1"/>
        <v>125.69374999999999</v>
      </c>
      <c r="V7" s="27">
        <v>7.7349999999999994</v>
      </c>
      <c r="W7" s="27">
        <v>8</v>
      </c>
      <c r="X7" s="27" t="s">
        <v>83</v>
      </c>
      <c r="Y7" s="31">
        <v>43896</v>
      </c>
      <c r="Z7" s="31">
        <v>43901</v>
      </c>
      <c r="AA7" s="31">
        <v>43896</v>
      </c>
      <c r="AB7" s="31">
        <v>43900</v>
      </c>
      <c r="AC7" s="33" t="s">
        <v>205</v>
      </c>
      <c r="AD7" s="61">
        <v>0.96599999999999997</v>
      </c>
      <c r="AE7" s="61">
        <v>0.96699999999999997</v>
      </c>
      <c r="AF7" s="62">
        <v>1</v>
      </c>
      <c r="AG7" s="27" t="s">
        <v>219</v>
      </c>
      <c r="AH7" s="27"/>
    </row>
    <row r="8" spans="2:38" x14ac:dyDescent="0.35">
      <c r="B8" s="51">
        <v>6</v>
      </c>
      <c r="C8" s="28">
        <v>20200305</v>
      </c>
      <c r="D8" s="27" t="s">
        <v>2</v>
      </c>
      <c r="E8" s="27" t="s">
        <v>162</v>
      </c>
      <c r="F8" s="29" t="s">
        <v>70</v>
      </c>
      <c r="G8" s="27" t="s">
        <v>129</v>
      </c>
      <c r="H8" s="27" t="s">
        <v>169</v>
      </c>
      <c r="I8" s="27" t="s">
        <v>70</v>
      </c>
      <c r="J8" s="27" t="s">
        <v>70</v>
      </c>
      <c r="K8" s="27" t="s">
        <v>163</v>
      </c>
      <c r="L8" s="29" t="s">
        <v>108</v>
      </c>
      <c r="M8" s="29" t="s">
        <v>483</v>
      </c>
      <c r="N8" s="30"/>
      <c r="O8" s="28" t="s">
        <v>203</v>
      </c>
      <c r="P8" s="27" t="s">
        <v>6</v>
      </c>
      <c r="Q8" s="27"/>
      <c r="R8" s="27"/>
      <c r="S8" s="27">
        <v>195</v>
      </c>
      <c r="T8" s="27">
        <f>IF(D8=Table!$C$3,V8*Table!$C$4/8,V8*Table!$D$4/8)</f>
        <v>169.89375000000001</v>
      </c>
      <c r="U8" s="27">
        <f t="shared" si="1"/>
        <v>169.89375000000001</v>
      </c>
      <c r="V8" s="27">
        <v>10.455</v>
      </c>
      <c r="W8" s="27">
        <v>11</v>
      </c>
      <c r="X8" s="27" t="s">
        <v>83</v>
      </c>
      <c r="Y8" s="31">
        <v>43896</v>
      </c>
      <c r="Z8" s="31">
        <v>43901</v>
      </c>
      <c r="AA8" s="31">
        <v>43902</v>
      </c>
      <c r="AB8" s="31">
        <v>43903</v>
      </c>
      <c r="AC8" s="33" t="s">
        <v>206</v>
      </c>
      <c r="AD8" s="61">
        <v>0.95099999999999996</v>
      </c>
      <c r="AE8" s="61">
        <v>0.94900000000000007</v>
      </c>
      <c r="AF8" s="61">
        <v>0.90400000000000003</v>
      </c>
      <c r="AG8" s="27" t="s">
        <v>484</v>
      </c>
      <c r="AH8" s="27"/>
    </row>
    <row r="9" spans="2:38" s="23" customFormat="1" x14ac:dyDescent="0.35">
      <c r="B9" s="51">
        <v>7</v>
      </c>
      <c r="C9" s="28">
        <v>20200305</v>
      </c>
      <c r="D9" s="34" t="s">
        <v>2</v>
      </c>
      <c r="E9" s="34" t="s">
        <v>162</v>
      </c>
      <c r="F9" s="29" t="s">
        <v>70</v>
      </c>
      <c r="G9" s="27" t="s">
        <v>130</v>
      </c>
      <c r="H9" s="27" t="s">
        <v>170</v>
      </c>
      <c r="I9" s="27" t="s">
        <v>70</v>
      </c>
      <c r="J9" s="27" t="s">
        <v>70</v>
      </c>
      <c r="K9" s="27" t="s">
        <v>163</v>
      </c>
      <c r="L9" s="29" t="s">
        <v>109</v>
      </c>
      <c r="M9" s="29" t="s">
        <v>483</v>
      </c>
      <c r="N9" s="30"/>
      <c r="O9" s="28" t="s">
        <v>203</v>
      </c>
      <c r="P9" s="25" t="s">
        <v>6</v>
      </c>
      <c r="Q9" s="25"/>
      <c r="R9" s="27"/>
      <c r="S9" s="27">
        <v>99</v>
      </c>
      <c r="T9" s="27">
        <f>IF(D9=Table!$C$3,V9*Table!$C$4/8,V9*Table!$D$4/8)</f>
        <v>59.393749999999997</v>
      </c>
      <c r="U9" s="27">
        <f t="shared" si="1"/>
        <v>59.393749999999997</v>
      </c>
      <c r="V9" s="27">
        <v>3.6549999999999998</v>
      </c>
      <c r="W9" s="27">
        <v>2</v>
      </c>
      <c r="X9" s="27" t="s">
        <v>83</v>
      </c>
      <c r="Y9" s="31">
        <v>43896</v>
      </c>
      <c r="Z9" s="31">
        <v>43901</v>
      </c>
      <c r="AA9" s="31">
        <v>43903</v>
      </c>
      <c r="AB9" s="31">
        <v>43903</v>
      </c>
      <c r="AC9" s="33" t="s">
        <v>205</v>
      </c>
      <c r="AD9" s="61">
        <v>1</v>
      </c>
      <c r="AE9" s="61">
        <v>1</v>
      </c>
      <c r="AF9" s="61">
        <v>1</v>
      </c>
      <c r="AG9" s="27"/>
      <c r="AH9" s="27"/>
      <c r="AJ9"/>
      <c r="AK9"/>
      <c r="AL9"/>
    </row>
    <row r="10" spans="2:38" x14ac:dyDescent="0.35">
      <c r="B10" s="51">
        <v>8</v>
      </c>
      <c r="C10" s="28">
        <v>20200305</v>
      </c>
      <c r="D10" s="26" t="s">
        <v>2</v>
      </c>
      <c r="E10" s="26" t="s">
        <v>162</v>
      </c>
      <c r="F10" s="29" t="s">
        <v>70</v>
      </c>
      <c r="G10" s="27" t="s">
        <v>131</v>
      </c>
      <c r="H10" s="27" t="s">
        <v>171</v>
      </c>
      <c r="I10" s="27" t="s">
        <v>70</v>
      </c>
      <c r="J10" s="27" t="s">
        <v>70</v>
      </c>
      <c r="K10" s="27" t="s">
        <v>163</v>
      </c>
      <c r="L10" s="29" t="s">
        <v>110</v>
      </c>
      <c r="M10" s="29" t="s">
        <v>483</v>
      </c>
      <c r="N10" s="30"/>
      <c r="O10" s="28" t="s">
        <v>203</v>
      </c>
      <c r="P10" s="26" t="s">
        <v>6</v>
      </c>
      <c r="Q10" s="26"/>
      <c r="R10" s="27"/>
      <c r="S10" s="27">
        <v>49</v>
      </c>
      <c r="T10" s="27">
        <f>IF(D10=Table!$C$3,V10*Table!$C$4/8,V10*Table!$D$4/8)</f>
        <v>42.818749999999994</v>
      </c>
      <c r="U10" s="26">
        <f t="shared" si="1"/>
        <v>42.818749999999994</v>
      </c>
      <c r="V10" s="27">
        <v>2.6349999999999998</v>
      </c>
      <c r="W10" s="27">
        <v>3</v>
      </c>
      <c r="X10" s="27" t="s">
        <v>83</v>
      </c>
      <c r="Y10" s="31">
        <v>43896</v>
      </c>
      <c r="Z10" s="31">
        <v>43901</v>
      </c>
      <c r="AA10" s="31">
        <v>43901</v>
      </c>
      <c r="AB10" s="31">
        <v>43901</v>
      </c>
      <c r="AC10" s="33" t="s">
        <v>205</v>
      </c>
      <c r="AD10" s="61">
        <v>1</v>
      </c>
      <c r="AE10" s="61">
        <v>1</v>
      </c>
      <c r="AF10" s="61">
        <v>1</v>
      </c>
      <c r="AG10" s="27"/>
      <c r="AH10" s="27"/>
    </row>
    <row r="11" spans="2:38" s="24" customFormat="1" x14ac:dyDescent="0.35">
      <c r="B11" s="51">
        <v>9</v>
      </c>
      <c r="C11" s="28">
        <v>20200305</v>
      </c>
      <c r="D11" s="25" t="s">
        <v>2</v>
      </c>
      <c r="E11" s="25" t="s">
        <v>162</v>
      </c>
      <c r="F11" s="29" t="s">
        <v>70</v>
      </c>
      <c r="G11" s="27" t="s">
        <v>132</v>
      </c>
      <c r="H11" s="27" t="s">
        <v>172</v>
      </c>
      <c r="I11" s="27" t="s">
        <v>70</v>
      </c>
      <c r="J11" s="27" t="s">
        <v>70</v>
      </c>
      <c r="K11" s="27" t="s">
        <v>163</v>
      </c>
      <c r="L11" s="29" t="s">
        <v>111</v>
      </c>
      <c r="M11" s="29" t="s">
        <v>483</v>
      </c>
      <c r="N11" s="30"/>
      <c r="O11" s="28" t="s">
        <v>203</v>
      </c>
      <c r="P11" s="25" t="s">
        <v>6</v>
      </c>
      <c r="Q11" s="25"/>
      <c r="R11" s="27"/>
      <c r="S11" s="27">
        <v>62</v>
      </c>
      <c r="T11" s="27">
        <f>IF(D11=Table!$C$3,V11*Table!$C$4/8,V11*Table!$D$4/8)</f>
        <v>26.243749999999999</v>
      </c>
      <c r="U11" s="26">
        <f t="shared" si="1"/>
        <v>26.243749999999999</v>
      </c>
      <c r="V11" s="27">
        <v>1.615</v>
      </c>
      <c r="W11" s="27">
        <v>2</v>
      </c>
      <c r="X11" s="27" t="s">
        <v>83</v>
      </c>
      <c r="Y11" s="31">
        <v>43896</v>
      </c>
      <c r="Z11" s="31">
        <v>43901</v>
      </c>
      <c r="AA11" s="31">
        <v>43902</v>
      </c>
      <c r="AB11" s="31">
        <v>43902</v>
      </c>
      <c r="AC11" s="33" t="s">
        <v>205</v>
      </c>
      <c r="AD11" s="61">
        <v>0.70700000000000007</v>
      </c>
      <c r="AE11" s="61">
        <v>0.77800000000000002</v>
      </c>
      <c r="AF11" s="61">
        <v>1</v>
      </c>
      <c r="AG11" s="27" t="s">
        <v>485</v>
      </c>
      <c r="AH11" s="27"/>
      <c r="AJ11"/>
      <c r="AK11"/>
      <c r="AL11"/>
    </row>
    <row r="12" spans="2:38" x14ac:dyDescent="0.35">
      <c r="B12" s="51">
        <v>10</v>
      </c>
      <c r="C12" s="28">
        <v>20200305</v>
      </c>
      <c r="D12" s="27" t="s">
        <v>2</v>
      </c>
      <c r="E12" s="27" t="s">
        <v>162</v>
      </c>
      <c r="F12" s="29" t="s">
        <v>70</v>
      </c>
      <c r="G12" s="27" t="s">
        <v>133</v>
      </c>
      <c r="H12" s="27" t="s">
        <v>173</v>
      </c>
      <c r="I12" s="27" t="s">
        <v>70</v>
      </c>
      <c r="J12" s="27" t="s">
        <v>70</v>
      </c>
      <c r="K12" s="27" t="s">
        <v>163</v>
      </c>
      <c r="L12" s="29" t="s">
        <v>112</v>
      </c>
      <c r="M12" s="29" t="s">
        <v>483</v>
      </c>
      <c r="N12" s="30"/>
      <c r="O12" s="28" t="s">
        <v>203</v>
      </c>
      <c r="P12" s="26" t="s">
        <v>6</v>
      </c>
      <c r="Q12" s="26"/>
      <c r="R12" s="27"/>
      <c r="S12" s="27">
        <v>70</v>
      </c>
      <c r="T12" s="27">
        <f>IF(D12=Table!$C$3,V12*Table!$C$4/8,V12*Table!$D$4/8)</f>
        <v>48.34375</v>
      </c>
      <c r="U12" s="26">
        <f t="shared" si="1"/>
        <v>48.34375</v>
      </c>
      <c r="V12" s="27">
        <v>2.9750000000000001</v>
      </c>
      <c r="W12" s="27">
        <v>2</v>
      </c>
      <c r="X12" s="27" t="s">
        <v>83</v>
      </c>
      <c r="Y12" s="31">
        <v>43896</v>
      </c>
      <c r="Z12" s="31">
        <v>43901</v>
      </c>
      <c r="AA12" s="31">
        <v>43902</v>
      </c>
      <c r="AB12" s="31">
        <v>43902</v>
      </c>
      <c r="AC12" s="33" t="s">
        <v>206</v>
      </c>
      <c r="AD12" s="61">
        <v>1</v>
      </c>
      <c r="AE12" s="61">
        <v>1</v>
      </c>
      <c r="AF12" s="61">
        <v>1</v>
      </c>
      <c r="AG12" s="27"/>
      <c r="AH12" s="27"/>
    </row>
    <row r="13" spans="2:38" x14ac:dyDescent="0.35">
      <c r="B13" s="51">
        <v>11</v>
      </c>
      <c r="C13" s="28">
        <v>20200305</v>
      </c>
      <c r="D13" s="27" t="s">
        <v>2</v>
      </c>
      <c r="E13" s="27" t="s">
        <v>162</v>
      </c>
      <c r="F13" s="29" t="s">
        <v>70</v>
      </c>
      <c r="G13" s="27" t="s">
        <v>134</v>
      </c>
      <c r="H13" s="27" t="s">
        <v>174</v>
      </c>
      <c r="I13" s="27" t="s">
        <v>70</v>
      </c>
      <c r="J13" s="27" t="s">
        <v>70</v>
      </c>
      <c r="K13" s="27" t="s">
        <v>163</v>
      </c>
      <c r="L13" s="29" t="s">
        <v>113</v>
      </c>
      <c r="M13" s="29" t="s">
        <v>483</v>
      </c>
      <c r="N13" s="30"/>
      <c r="O13" s="28" t="s">
        <v>203</v>
      </c>
      <c r="P13" s="26" t="s">
        <v>6</v>
      </c>
      <c r="Q13" s="26"/>
      <c r="R13" s="27"/>
      <c r="S13" s="27">
        <v>20</v>
      </c>
      <c r="T13" s="27">
        <f>IF(D13=Table!$C$3,V13*Table!$C$4/8,V13*Table!$D$4/8)</f>
        <v>26.243749999999999</v>
      </c>
      <c r="U13" s="26">
        <f t="shared" si="1"/>
        <v>26.243749999999999</v>
      </c>
      <c r="V13" s="27">
        <v>1.615</v>
      </c>
      <c r="W13" s="27">
        <v>1</v>
      </c>
      <c r="X13" s="27" t="s">
        <v>83</v>
      </c>
      <c r="Y13" s="31">
        <v>43896</v>
      </c>
      <c r="Z13" s="31">
        <v>43901</v>
      </c>
      <c r="AA13" s="31">
        <v>43902</v>
      </c>
      <c r="AB13" s="31">
        <v>43902</v>
      </c>
      <c r="AC13" s="33" t="s">
        <v>205</v>
      </c>
      <c r="AD13" s="61">
        <v>1</v>
      </c>
      <c r="AE13" s="61">
        <v>1</v>
      </c>
      <c r="AF13" s="61">
        <v>1</v>
      </c>
      <c r="AG13" s="27"/>
      <c r="AH13" s="27"/>
    </row>
    <row r="14" spans="2:38" x14ac:dyDescent="0.35">
      <c r="B14" s="51">
        <v>12</v>
      </c>
      <c r="C14" s="28">
        <v>20200305</v>
      </c>
      <c r="D14" s="27" t="s">
        <v>2</v>
      </c>
      <c r="E14" s="27" t="s">
        <v>162</v>
      </c>
      <c r="F14" s="29" t="s">
        <v>70</v>
      </c>
      <c r="G14" s="27" t="s">
        <v>135</v>
      </c>
      <c r="H14" s="27" t="s">
        <v>175</v>
      </c>
      <c r="I14" s="27" t="s">
        <v>70</v>
      </c>
      <c r="J14" s="27" t="s">
        <v>70</v>
      </c>
      <c r="K14" s="27" t="s">
        <v>163</v>
      </c>
      <c r="L14" s="29" t="s">
        <v>114</v>
      </c>
      <c r="M14" s="29" t="s">
        <v>483</v>
      </c>
      <c r="N14" s="30"/>
      <c r="O14" s="28" t="s">
        <v>202</v>
      </c>
      <c r="P14" s="26" t="s">
        <v>73</v>
      </c>
      <c r="Q14" s="26"/>
      <c r="R14" s="27"/>
      <c r="S14" s="27">
        <v>317</v>
      </c>
      <c r="T14" s="27">
        <f>IF(D14=Table!$C$3,V14*Table!$C$4/8,V14*Table!$D$4/8)</f>
        <v>147.79374999999999</v>
      </c>
      <c r="U14" s="27">
        <v>147.79374999999999</v>
      </c>
      <c r="V14" s="27">
        <v>9.0949999999999989</v>
      </c>
      <c r="W14" s="27">
        <v>8</v>
      </c>
      <c r="X14" s="27" t="s">
        <v>19</v>
      </c>
      <c r="Y14" s="31">
        <v>43896</v>
      </c>
      <c r="Z14" s="31">
        <v>43901</v>
      </c>
      <c r="AA14" s="31">
        <v>43902</v>
      </c>
      <c r="AB14" s="31">
        <v>43902</v>
      </c>
      <c r="AC14" s="33" t="s">
        <v>206</v>
      </c>
      <c r="AD14" s="61">
        <v>0.93799999999999994</v>
      </c>
      <c r="AE14" s="61">
        <v>0.94</v>
      </c>
      <c r="AF14" s="61">
        <v>1</v>
      </c>
      <c r="AG14" s="41" t="s">
        <v>486</v>
      </c>
      <c r="AH14" s="27"/>
    </row>
    <row r="15" spans="2:38" x14ac:dyDescent="0.35">
      <c r="B15" s="51">
        <v>13</v>
      </c>
      <c r="C15" s="28">
        <v>20200305</v>
      </c>
      <c r="D15" s="27" t="s">
        <v>2</v>
      </c>
      <c r="E15" s="27" t="s">
        <v>162</v>
      </c>
      <c r="F15" s="29" t="s">
        <v>70</v>
      </c>
      <c r="G15" s="27" t="s">
        <v>136</v>
      </c>
      <c r="H15" s="27" t="s">
        <v>176</v>
      </c>
      <c r="I15" s="27" t="s">
        <v>70</v>
      </c>
      <c r="J15" s="27" t="s">
        <v>70</v>
      </c>
      <c r="K15" s="27" t="s">
        <v>163</v>
      </c>
      <c r="L15" s="29" t="s">
        <v>115</v>
      </c>
      <c r="M15" s="29" t="s">
        <v>483</v>
      </c>
      <c r="N15" s="30"/>
      <c r="O15" s="28" t="s">
        <v>202</v>
      </c>
      <c r="P15" s="27" t="s">
        <v>73</v>
      </c>
      <c r="Q15" s="27"/>
      <c r="R15" s="27"/>
      <c r="S15" s="27">
        <v>93</v>
      </c>
      <c r="T15" s="27">
        <f>IF(D15=Table!$C$3,V15*Table!$C$4/8,V15*Table!$D$4/8)</f>
        <v>48.34375</v>
      </c>
      <c r="U15" s="27">
        <v>48.34375</v>
      </c>
      <c r="V15" s="27">
        <v>2.9750000000000001</v>
      </c>
      <c r="W15" s="27">
        <v>4</v>
      </c>
      <c r="X15" s="27" t="s">
        <v>19</v>
      </c>
      <c r="Y15" s="31">
        <v>43896</v>
      </c>
      <c r="Z15" s="31">
        <v>43901</v>
      </c>
      <c r="AA15" s="31">
        <v>43901</v>
      </c>
      <c r="AB15" s="31">
        <v>43901</v>
      </c>
      <c r="AC15" s="33" t="s">
        <v>206</v>
      </c>
      <c r="AD15" s="61">
        <v>0.91700000000000004</v>
      </c>
      <c r="AE15" s="61">
        <v>0.91700000000000004</v>
      </c>
      <c r="AF15" s="61" t="s">
        <v>220</v>
      </c>
      <c r="AG15" s="27" t="s">
        <v>228</v>
      </c>
      <c r="AH15" s="27"/>
    </row>
    <row r="16" spans="2:38" x14ac:dyDescent="0.35">
      <c r="B16" s="51">
        <v>14</v>
      </c>
      <c r="C16" s="28">
        <v>20200305</v>
      </c>
      <c r="D16" s="27" t="s">
        <v>2</v>
      </c>
      <c r="E16" s="27" t="s">
        <v>162</v>
      </c>
      <c r="F16" s="29" t="s">
        <v>70</v>
      </c>
      <c r="G16" s="27" t="s">
        <v>137</v>
      </c>
      <c r="H16" s="27" t="s">
        <v>177</v>
      </c>
      <c r="I16" s="27" t="s">
        <v>70</v>
      </c>
      <c r="J16" s="27" t="s">
        <v>70</v>
      </c>
      <c r="K16" s="27" t="s">
        <v>163</v>
      </c>
      <c r="L16" s="29" t="s">
        <v>116</v>
      </c>
      <c r="M16" s="29" t="s">
        <v>483</v>
      </c>
      <c r="N16" s="30"/>
      <c r="O16" s="28" t="s">
        <v>202</v>
      </c>
      <c r="P16" s="27" t="s">
        <v>73</v>
      </c>
      <c r="Q16" s="27"/>
      <c r="R16" s="27"/>
      <c r="S16" s="27">
        <v>52</v>
      </c>
      <c r="T16" s="27">
        <f>IF(D16=Table!$C$3,V16*Table!$C$4/8,V16*Table!$D$4/8)</f>
        <v>31.768749999999997</v>
      </c>
      <c r="U16" s="27">
        <f t="shared" ref="U16:U18" si="2">T16</f>
        <v>31.768749999999997</v>
      </c>
      <c r="V16" s="27">
        <v>1.9549999999999998</v>
      </c>
      <c r="W16" s="27">
        <v>4</v>
      </c>
      <c r="X16" s="27" t="s">
        <v>19</v>
      </c>
      <c r="Y16" s="31">
        <v>43896</v>
      </c>
      <c r="Z16" s="31">
        <v>43901</v>
      </c>
      <c r="AA16" s="31">
        <v>43896</v>
      </c>
      <c r="AB16" s="31">
        <v>43896</v>
      </c>
      <c r="AC16" s="33" t="s">
        <v>206</v>
      </c>
      <c r="AD16" s="61">
        <v>1</v>
      </c>
      <c r="AE16" s="61">
        <v>1</v>
      </c>
      <c r="AF16" s="61">
        <v>0.5</v>
      </c>
      <c r="AG16" s="29" t="s">
        <v>487</v>
      </c>
      <c r="AH16" s="27" t="s">
        <v>217</v>
      </c>
    </row>
    <row r="17" spans="2:34" x14ac:dyDescent="0.35">
      <c r="B17" s="51">
        <v>15</v>
      </c>
      <c r="C17" s="28">
        <v>20200305</v>
      </c>
      <c r="D17" s="27" t="s">
        <v>2</v>
      </c>
      <c r="E17" s="27" t="s">
        <v>162</v>
      </c>
      <c r="F17" s="29" t="s">
        <v>70</v>
      </c>
      <c r="G17" s="27" t="s">
        <v>138</v>
      </c>
      <c r="H17" s="27" t="s">
        <v>178</v>
      </c>
      <c r="I17" s="27" t="s">
        <v>70</v>
      </c>
      <c r="J17" s="27" t="s">
        <v>70</v>
      </c>
      <c r="K17" s="27" t="s">
        <v>163</v>
      </c>
      <c r="L17" s="29" t="s">
        <v>117</v>
      </c>
      <c r="M17" s="29" t="s">
        <v>483</v>
      </c>
      <c r="N17" s="30"/>
      <c r="O17" s="28" t="s">
        <v>202</v>
      </c>
      <c r="P17" s="27" t="s">
        <v>73</v>
      </c>
      <c r="Q17" s="27"/>
      <c r="R17" s="27"/>
      <c r="S17" s="27">
        <v>45</v>
      </c>
      <c r="T17" s="27">
        <f>IF(D17=Table!$C$3,V17*Table!$C$4/8,V17*Table!$D$4/8)</f>
        <v>26.243749999999999</v>
      </c>
      <c r="U17" s="27">
        <f t="shared" si="2"/>
        <v>26.243749999999999</v>
      </c>
      <c r="V17" s="27">
        <v>1.615</v>
      </c>
      <c r="W17" s="27">
        <v>3</v>
      </c>
      <c r="X17" s="27" t="s">
        <v>19</v>
      </c>
      <c r="Y17" s="31">
        <v>43896</v>
      </c>
      <c r="Z17" s="31">
        <v>43901</v>
      </c>
      <c r="AA17" s="31">
        <v>43899</v>
      </c>
      <c r="AB17" s="31">
        <v>43899</v>
      </c>
      <c r="AC17" s="33" t="s">
        <v>205</v>
      </c>
      <c r="AD17" s="61">
        <v>1</v>
      </c>
      <c r="AE17" s="61">
        <v>1</v>
      </c>
      <c r="AF17" s="61" t="s">
        <v>220</v>
      </c>
      <c r="AG17" s="27"/>
      <c r="AH17" s="27" t="s">
        <v>217</v>
      </c>
    </row>
    <row r="18" spans="2:34" x14ac:dyDescent="0.35">
      <c r="B18" s="51">
        <v>16</v>
      </c>
      <c r="C18" s="28">
        <v>20200305</v>
      </c>
      <c r="D18" s="27" t="s">
        <v>2</v>
      </c>
      <c r="E18" s="27" t="s">
        <v>162</v>
      </c>
      <c r="F18" s="29" t="s">
        <v>70</v>
      </c>
      <c r="G18" s="27" t="s">
        <v>139</v>
      </c>
      <c r="H18" s="27" t="s">
        <v>179</v>
      </c>
      <c r="I18" s="27" t="s">
        <v>70</v>
      </c>
      <c r="J18" s="27" t="s">
        <v>70</v>
      </c>
      <c r="K18" s="27" t="s">
        <v>163</v>
      </c>
      <c r="L18" s="29" t="s">
        <v>118</v>
      </c>
      <c r="M18" s="29" t="s">
        <v>483</v>
      </c>
      <c r="N18" s="30"/>
      <c r="O18" s="28" t="s">
        <v>202</v>
      </c>
      <c r="P18" s="27" t="s">
        <v>73</v>
      </c>
      <c r="Q18" s="27"/>
      <c r="R18" s="27"/>
      <c r="S18" s="27">
        <v>38</v>
      </c>
      <c r="T18" s="27">
        <f>IF(D18=Table!$C$3,V18*Table!$C$4/8,V18*Table!$D$4/8)</f>
        <v>26.243749999999999</v>
      </c>
      <c r="U18" s="27">
        <f t="shared" si="2"/>
        <v>26.243749999999999</v>
      </c>
      <c r="V18" s="27">
        <v>1.615</v>
      </c>
      <c r="W18" s="27">
        <v>3</v>
      </c>
      <c r="X18" s="27" t="s">
        <v>19</v>
      </c>
      <c r="Y18" s="31">
        <v>43896</v>
      </c>
      <c r="Z18" s="31">
        <v>43901</v>
      </c>
      <c r="AA18" s="31">
        <v>43896</v>
      </c>
      <c r="AB18" s="31">
        <v>43896</v>
      </c>
      <c r="AC18" s="33" t="s">
        <v>205</v>
      </c>
      <c r="AD18" s="59">
        <v>1</v>
      </c>
      <c r="AE18" s="59">
        <v>1</v>
      </c>
      <c r="AF18" s="59">
        <v>1</v>
      </c>
      <c r="AG18" s="27"/>
      <c r="AH18" s="27"/>
    </row>
    <row r="19" spans="2:34" x14ac:dyDescent="0.35">
      <c r="B19" s="51">
        <v>17</v>
      </c>
      <c r="C19" s="28">
        <v>20200305</v>
      </c>
      <c r="D19" s="27" t="s">
        <v>2</v>
      </c>
      <c r="E19" s="27" t="s">
        <v>162</v>
      </c>
      <c r="F19" s="29" t="s">
        <v>70</v>
      </c>
      <c r="G19" s="27" t="s">
        <v>140</v>
      </c>
      <c r="H19" s="27" t="s">
        <v>180</v>
      </c>
      <c r="I19" s="27" t="s">
        <v>70</v>
      </c>
      <c r="J19" s="27" t="s">
        <v>70</v>
      </c>
      <c r="K19" s="27" t="s">
        <v>163</v>
      </c>
      <c r="L19" s="29" t="s">
        <v>119</v>
      </c>
      <c r="M19" s="29" t="s">
        <v>483</v>
      </c>
      <c r="N19" s="30"/>
      <c r="O19" s="28" t="s">
        <v>202</v>
      </c>
      <c r="P19" s="27" t="s">
        <v>73</v>
      </c>
      <c r="Q19" s="27"/>
      <c r="R19" s="27"/>
      <c r="S19" s="27">
        <v>80</v>
      </c>
      <c r="T19" s="27">
        <f>IF(D19=Table!$C$3,V19*Table!$C$4/8,V19*Table!$D$4/8)</f>
        <v>125.69374999999999</v>
      </c>
      <c r="U19" s="27">
        <v>125.69374999999999</v>
      </c>
      <c r="V19" s="27">
        <v>7.7349999999999994</v>
      </c>
      <c r="W19" s="27">
        <v>8</v>
      </c>
      <c r="X19" s="27" t="s">
        <v>19</v>
      </c>
      <c r="Y19" s="31">
        <v>43896</v>
      </c>
      <c r="Z19" s="31">
        <v>43901</v>
      </c>
      <c r="AA19" s="31">
        <v>43896</v>
      </c>
      <c r="AB19" s="31">
        <v>43901</v>
      </c>
      <c r="AC19" s="33" t="s">
        <v>205</v>
      </c>
      <c r="AD19" s="59">
        <v>1</v>
      </c>
      <c r="AE19" s="59">
        <v>1</v>
      </c>
      <c r="AF19" s="59">
        <v>1</v>
      </c>
      <c r="AG19" s="27"/>
      <c r="AH19" s="27"/>
    </row>
    <row r="20" spans="2:34" x14ac:dyDescent="0.35">
      <c r="B20" s="51">
        <v>18</v>
      </c>
      <c r="C20" s="28">
        <v>20200305</v>
      </c>
      <c r="D20" s="27" t="s">
        <v>2</v>
      </c>
      <c r="E20" s="29" t="s">
        <v>162</v>
      </c>
      <c r="F20" s="29" t="s">
        <v>70</v>
      </c>
      <c r="G20" s="27" t="s">
        <v>141</v>
      </c>
      <c r="H20" s="27" t="s">
        <v>181</v>
      </c>
      <c r="I20" s="27" t="s">
        <v>70</v>
      </c>
      <c r="J20" s="27" t="s">
        <v>70</v>
      </c>
      <c r="K20" s="27" t="s">
        <v>163</v>
      </c>
      <c r="L20" s="29" t="s">
        <v>120</v>
      </c>
      <c r="M20" s="29" t="s">
        <v>483</v>
      </c>
      <c r="N20" s="30"/>
      <c r="O20" s="28" t="s">
        <v>202</v>
      </c>
      <c r="P20" s="27" t="s">
        <v>73</v>
      </c>
      <c r="Q20" s="27"/>
      <c r="R20" s="27"/>
      <c r="S20" s="27">
        <v>60</v>
      </c>
      <c r="T20" s="27">
        <f>IF(D20=Table!$C$3,V20*Table!$C$4/8,V20*Table!$D$4/8)</f>
        <v>31.768749999999997</v>
      </c>
      <c r="U20" s="27">
        <f t="shared" ref="U20" si="3">T20</f>
        <v>31.768749999999997</v>
      </c>
      <c r="V20" s="27">
        <v>1.9549999999999998</v>
      </c>
      <c r="W20" s="27">
        <v>2</v>
      </c>
      <c r="X20" s="27" t="s">
        <v>19</v>
      </c>
      <c r="Y20" s="31">
        <v>43896</v>
      </c>
      <c r="Z20" s="31">
        <v>43901</v>
      </c>
      <c r="AA20" s="31">
        <v>43899</v>
      </c>
      <c r="AB20" s="31">
        <v>43899</v>
      </c>
      <c r="AC20" s="33" t="s">
        <v>205</v>
      </c>
      <c r="AD20" s="59">
        <v>0.96</v>
      </c>
      <c r="AE20" s="59">
        <v>0.96</v>
      </c>
      <c r="AF20" s="59" t="s">
        <v>220</v>
      </c>
      <c r="AG20" s="27" t="s">
        <v>488</v>
      </c>
      <c r="AH20" s="27"/>
    </row>
    <row r="21" spans="2:34" x14ac:dyDescent="0.35">
      <c r="B21" s="51">
        <v>19</v>
      </c>
      <c r="C21" s="28">
        <v>20200305</v>
      </c>
      <c r="D21" s="27" t="s">
        <v>2</v>
      </c>
      <c r="E21" s="27" t="s">
        <v>162</v>
      </c>
      <c r="F21" s="29" t="s">
        <v>70</v>
      </c>
      <c r="G21" s="27" t="s">
        <v>142</v>
      </c>
      <c r="H21" s="27" t="s">
        <v>182</v>
      </c>
      <c r="I21" s="27" t="s">
        <v>70</v>
      </c>
      <c r="J21" s="27" t="s">
        <v>70</v>
      </c>
      <c r="K21" s="27" t="s">
        <v>163</v>
      </c>
      <c r="L21" s="29" t="s">
        <v>121</v>
      </c>
      <c r="M21" s="29" t="s">
        <v>483</v>
      </c>
      <c r="N21" s="30"/>
      <c r="O21" s="28" t="s">
        <v>202</v>
      </c>
      <c r="P21" s="27" t="s">
        <v>73</v>
      </c>
      <c r="Q21" s="27"/>
      <c r="R21" s="27"/>
      <c r="S21" s="27">
        <v>103</v>
      </c>
      <c r="T21" s="27">
        <f>IF(D21=Table!$C$3,V21*Table!$C$4/8,V21*Table!$D$4/8)</f>
        <v>48.34375</v>
      </c>
      <c r="U21" s="27">
        <v>48.34375</v>
      </c>
      <c r="V21" s="27">
        <v>2.9750000000000001</v>
      </c>
      <c r="W21" s="27">
        <v>8</v>
      </c>
      <c r="X21" s="27" t="s">
        <v>19</v>
      </c>
      <c r="Y21" s="31">
        <v>43896</v>
      </c>
      <c r="Z21" s="31">
        <v>43901</v>
      </c>
      <c r="AA21" s="31">
        <v>43903</v>
      </c>
      <c r="AB21" s="31">
        <v>43903</v>
      </c>
      <c r="AC21" s="33" t="s">
        <v>206</v>
      </c>
      <c r="AD21" s="59">
        <v>0.79200000000000004</v>
      </c>
      <c r="AE21" s="59">
        <v>0.81099999999999994</v>
      </c>
      <c r="AF21" s="59">
        <v>1</v>
      </c>
      <c r="AG21" s="41" t="s">
        <v>489</v>
      </c>
      <c r="AH21" s="27"/>
    </row>
    <row r="22" spans="2:34" x14ac:dyDescent="0.35">
      <c r="B22" s="51">
        <v>20</v>
      </c>
      <c r="C22" s="28">
        <v>20200305</v>
      </c>
      <c r="D22" s="27" t="s">
        <v>2</v>
      </c>
      <c r="E22" s="27" t="s">
        <v>162</v>
      </c>
      <c r="F22" s="29" t="s">
        <v>70</v>
      </c>
      <c r="G22" s="27" t="s">
        <v>143</v>
      </c>
      <c r="H22" s="27" t="s">
        <v>183</v>
      </c>
      <c r="I22" s="27" t="s">
        <v>70</v>
      </c>
      <c r="J22" s="27" t="s">
        <v>70</v>
      </c>
      <c r="K22" s="27" t="s">
        <v>163</v>
      </c>
      <c r="L22" s="29">
        <v>1</v>
      </c>
      <c r="M22" s="29" t="s">
        <v>483</v>
      </c>
      <c r="N22" s="30"/>
      <c r="O22" s="28" t="s">
        <v>202</v>
      </c>
      <c r="P22" s="27" t="s">
        <v>73</v>
      </c>
      <c r="Q22" s="27"/>
      <c r="R22" s="27"/>
      <c r="S22" s="27">
        <v>45</v>
      </c>
      <c r="T22" s="27">
        <f>IF(D22=Table!$C$3,V22*Table!$C$4/8,V22*Table!$D$4/8)</f>
        <v>26.243749999999999</v>
      </c>
      <c r="U22" s="27">
        <f t="shared" ref="U22" si="4">T22</f>
        <v>26.243749999999999</v>
      </c>
      <c r="V22" s="27">
        <v>1.615</v>
      </c>
      <c r="W22" s="27">
        <v>2</v>
      </c>
      <c r="X22" s="27" t="s">
        <v>19</v>
      </c>
      <c r="Y22" s="31">
        <v>43896</v>
      </c>
      <c r="Z22" s="31">
        <v>43901</v>
      </c>
      <c r="AA22" s="31">
        <v>43899</v>
      </c>
      <c r="AB22" s="31">
        <v>43899</v>
      </c>
      <c r="AC22" s="33" t="s">
        <v>206</v>
      </c>
      <c r="AD22" s="59">
        <v>1</v>
      </c>
      <c r="AE22" s="59">
        <v>1</v>
      </c>
      <c r="AF22" s="59">
        <v>1</v>
      </c>
      <c r="AG22" s="27"/>
      <c r="AH22" s="35" t="s">
        <v>222</v>
      </c>
    </row>
    <row r="23" spans="2:34" x14ac:dyDescent="0.35">
      <c r="B23" s="51">
        <v>21</v>
      </c>
      <c r="C23" s="28">
        <v>20200305</v>
      </c>
      <c r="D23" s="27" t="s">
        <v>2</v>
      </c>
      <c r="E23" s="27" t="s">
        <v>162</v>
      </c>
      <c r="F23" s="29" t="s">
        <v>70</v>
      </c>
      <c r="G23" s="27" t="s">
        <v>144</v>
      </c>
      <c r="H23" s="27" t="s">
        <v>184</v>
      </c>
      <c r="I23" s="27" t="s">
        <v>70</v>
      </c>
      <c r="J23" s="27" t="s">
        <v>70</v>
      </c>
      <c r="K23" s="27" t="s">
        <v>163</v>
      </c>
      <c r="L23" s="29">
        <v>1.2</v>
      </c>
      <c r="M23" s="29" t="s">
        <v>483</v>
      </c>
      <c r="N23" s="30"/>
      <c r="O23" s="28" t="s">
        <v>202</v>
      </c>
      <c r="P23" s="27" t="s">
        <v>73</v>
      </c>
      <c r="Q23" s="27"/>
      <c r="R23" s="27"/>
      <c r="S23" s="27">
        <v>54</v>
      </c>
      <c r="T23" s="27">
        <f>IF(D23=Table!$C$3,V23*Table!$C$4/8,V23*Table!$D$4/8)</f>
        <v>59.393749999999997</v>
      </c>
      <c r="U23" s="27">
        <v>59.393749999999997</v>
      </c>
      <c r="V23" s="27">
        <v>3.6549999999999998</v>
      </c>
      <c r="W23" s="27">
        <v>2</v>
      </c>
      <c r="X23" s="27" t="s">
        <v>19</v>
      </c>
      <c r="Y23" s="31">
        <v>43896</v>
      </c>
      <c r="Z23" s="31">
        <v>43901</v>
      </c>
      <c r="AA23" s="31">
        <v>43901</v>
      </c>
      <c r="AB23" s="31">
        <v>43901</v>
      </c>
      <c r="AC23" s="33" t="s">
        <v>206</v>
      </c>
      <c r="AD23" s="59">
        <v>1</v>
      </c>
      <c r="AE23" s="59">
        <v>1</v>
      </c>
      <c r="AF23" s="59">
        <v>0.92299999999999993</v>
      </c>
      <c r="AG23" s="27" t="s">
        <v>223</v>
      </c>
      <c r="AH23" s="27"/>
    </row>
    <row r="24" spans="2:34" x14ac:dyDescent="0.35">
      <c r="B24" s="51">
        <v>22</v>
      </c>
      <c r="C24" s="28">
        <v>20200305</v>
      </c>
      <c r="D24" s="27" t="s">
        <v>2</v>
      </c>
      <c r="E24" s="27" t="s">
        <v>162</v>
      </c>
      <c r="F24" s="29" t="s">
        <v>70</v>
      </c>
      <c r="G24" s="27" t="s">
        <v>145</v>
      </c>
      <c r="H24" s="27" t="s">
        <v>185</v>
      </c>
      <c r="I24" s="27" t="s">
        <v>70</v>
      </c>
      <c r="J24" s="27" t="s">
        <v>70</v>
      </c>
      <c r="K24" s="27" t="s">
        <v>163</v>
      </c>
      <c r="L24" s="29">
        <v>1.3</v>
      </c>
      <c r="M24" s="29" t="s">
        <v>483</v>
      </c>
      <c r="N24" s="30"/>
      <c r="O24" s="28" t="s">
        <v>202</v>
      </c>
      <c r="P24" s="27" t="s">
        <v>73</v>
      </c>
      <c r="Q24" s="27"/>
      <c r="R24" s="27"/>
      <c r="S24" s="27">
        <v>50</v>
      </c>
      <c r="T24" s="27">
        <f>IF(D24=Table!$C$3,V24*Table!$C$4/8,V24*Table!$D$4/8)</f>
        <v>37.293749999999996</v>
      </c>
      <c r="U24" s="27">
        <v>37.293749999999996</v>
      </c>
      <c r="V24" s="27">
        <v>2.2949999999999999</v>
      </c>
      <c r="W24" s="27">
        <v>2</v>
      </c>
      <c r="X24" s="27" t="s">
        <v>19</v>
      </c>
      <c r="Y24" s="31">
        <v>43896</v>
      </c>
      <c r="Z24" s="31">
        <v>43901</v>
      </c>
      <c r="AA24" s="31">
        <v>43900</v>
      </c>
      <c r="AB24" s="31">
        <v>43900</v>
      </c>
      <c r="AC24" s="33" t="s">
        <v>205</v>
      </c>
      <c r="AD24" s="59">
        <v>1</v>
      </c>
      <c r="AE24" s="59">
        <v>1</v>
      </c>
      <c r="AF24" s="59">
        <v>1</v>
      </c>
      <c r="AG24" s="27"/>
      <c r="AH24" s="27"/>
    </row>
    <row r="25" spans="2:34" x14ac:dyDescent="0.35">
      <c r="B25" s="51">
        <v>23</v>
      </c>
      <c r="C25" s="28">
        <v>20200305</v>
      </c>
      <c r="D25" s="27" t="s">
        <v>2</v>
      </c>
      <c r="E25" s="27" t="s">
        <v>162</v>
      </c>
      <c r="F25" s="29" t="s">
        <v>70</v>
      </c>
      <c r="G25" s="27" t="s">
        <v>146</v>
      </c>
      <c r="H25" s="27" t="s">
        <v>186</v>
      </c>
      <c r="I25" s="27" t="s">
        <v>70</v>
      </c>
      <c r="J25" s="27" t="s">
        <v>70</v>
      </c>
      <c r="K25" s="27" t="s">
        <v>163</v>
      </c>
      <c r="L25" s="29">
        <v>5.1100000000000003</v>
      </c>
      <c r="M25" s="29" t="s">
        <v>483</v>
      </c>
      <c r="N25" s="30"/>
      <c r="O25" s="28" t="s">
        <v>202</v>
      </c>
      <c r="P25" s="27" t="s">
        <v>73</v>
      </c>
      <c r="Q25" s="27"/>
      <c r="R25" s="27"/>
      <c r="S25" s="27">
        <v>39</v>
      </c>
      <c r="T25" s="27">
        <f>IF(D25=Table!$C$3,V25*Table!$C$4/8,V25*Table!$D$4/8)</f>
        <v>26.243749999999999</v>
      </c>
      <c r="U25" s="27">
        <f t="shared" ref="U25" si="5">T25</f>
        <v>26.243749999999999</v>
      </c>
      <c r="V25" s="27">
        <v>1.615</v>
      </c>
      <c r="W25" s="27">
        <v>2</v>
      </c>
      <c r="X25" s="27" t="s">
        <v>19</v>
      </c>
      <c r="Y25" s="31">
        <v>43896</v>
      </c>
      <c r="Z25" s="31">
        <v>43901</v>
      </c>
      <c r="AA25" s="31">
        <v>43900</v>
      </c>
      <c r="AB25" s="31">
        <v>43900</v>
      </c>
      <c r="AC25" s="33" t="s">
        <v>205</v>
      </c>
      <c r="AD25" s="59">
        <v>1</v>
      </c>
      <c r="AE25" s="59">
        <v>1</v>
      </c>
      <c r="AF25" s="59" t="s">
        <v>220</v>
      </c>
      <c r="AG25" s="27" t="s">
        <v>221</v>
      </c>
      <c r="AH25" s="27"/>
    </row>
    <row r="26" spans="2:34" x14ac:dyDescent="0.35">
      <c r="B26" s="51">
        <v>24</v>
      </c>
      <c r="C26" s="28">
        <v>20200305</v>
      </c>
      <c r="D26" s="27" t="s">
        <v>2</v>
      </c>
      <c r="E26" s="27" t="s">
        <v>162</v>
      </c>
      <c r="F26" s="29" t="s">
        <v>70</v>
      </c>
      <c r="G26" s="27" t="s">
        <v>147</v>
      </c>
      <c r="H26" s="27" t="s">
        <v>187</v>
      </c>
      <c r="I26" s="27" t="s">
        <v>70</v>
      </c>
      <c r="J26" s="27" t="s">
        <v>70</v>
      </c>
      <c r="K26" s="27" t="s">
        <v>163</v>
      </c>
      <c r="L26" s="29">
        <v>5.9</v>
      </c>
      <c r="M26" s="29" t="s">
        <v>483</v>
      </c>
      <c r="N26" s="30"/>
      <c r="O26" s="28" t="s">
        <v>204</v>
      </c>
      <c r="P26" s="27" t="s">
        <v>75</v>
      </c>
      <c r="Q26" s="27"/>
      <c r="R26" s="27"/>
      <c r="S26" s="27">
        <v>531</v>
      </c>
      <c r="T26" s="27">
        <f>IF(D26=Table!$C$3,V26*Table!$C$4/8,V26*Table!$D$4/8)</f>
        <v>42.818749999999994</v>
      </c>
      <c r="U26" s="27">
        <v>42.818749999999994</v>
      </c>
      <c r="V26" s="27">
        <v>2.6349999999999998</v>
      </c>
      <c r="W26" s="27">
        <v>3</v>
      </c>
      <c r="X26" s="27" t="s">
        <v>19</v>
      </c>
      <c r="Y26" s="31">
        <v>43896</v>
      </c>
      <c r="Z26" s="31">
        <v>43901</v>
      </c>
      <c r="AA26" s="31">
        <v>43896</v>
      </c>
      <c r="AB26" s="31">
        <v>43901</v>
      </c>
      <c r="AC26" s="33" t="s">
        <v>205</v>
      </c>
      <c r="AD26" s="59">
        <v>1</v>
      </c>
      <c r="AE26" s="59">
        <v>1</v>
      </c>
      <c r="AF26" s="59" t="s">
        <v>220</v>
      </c>
      <c r="AG26" s="27"/>
      <c r="AH26" s="27" t="s">
        <v>224</v>
      </c>
    </row>
    <row r="27" spans="2:34" x14ac:dyDescent="0.35">
      <c r="B27" s="51">
        <v>25</v>
      </c>
      <c r="C27" s="28">
        <v>20200305</v>
      </c>
      <c r="D27" s="27" t="s">
        <v>2</v>
      </c>
      <c r="E27" s="27" t="s">
        <v>162</v>
      </c>
      <c r="F27" s="29" t="s">
        <v>70</v>
      </c>
      <c r="G27" s="27" t="s">
        <v>148</v>
      </c>
      <c r="H27" s="27" t="s">
        <v>188</v>
      </c>
      <c r="I27" s="27" t="s">
        <v>70</v>
      </c>
      <c r="J27" s="27" t="s">
        <v>70</v>
      </c>
      <c r="K27" s="27" t="s">
        <v>163</v>
      </c>
      <c r="L27" s="29">
        <v>1</v>
      </c>
      <c r="M27" s="29" t="s">
        <v>483</v>
      </c>
      <c r="N27" s="30"/>
      <c r="O27" s="28" t="s">
        <v>204</v>
      </c>
      <c r="P27" s="27" t="s">
        <v>75</v>
      </c>
      <c r="Q27" s="27"/>
      <c r="R27" s="27"/>
      <c r="S27" s="27">
        <v>36</v>
      </c>
      <c r="T27" s="27">
        <f>IF(D27=Table!$C$3,V27*Table!$C$4/8,V27*Table!$D$4/8)</f>
        <v>20.71875</v>
      </c>
      <c r="U27" s="27">
        <v>20.71875</v>
      </c>
      <c r="V27" s="27">
        <v>1.2749999999999999</v>
      </c>
      <c r="W27" s="27">
        <v>2</v>
      </c>
      <c r="X27" s="27" t="s">
        <v>19</v>
      </c>
      <c r="Y27" s="31">
        <v>43896</v>
      </c>
      <c r="Z27" s="31">
        <v>43901</v>
      </c>
      <c r="AA27" s="31">
        <v>43896</v>
      </c>
      <c r="AB27" s="31">
        <v>43896</v>
      </c>
      <c r="AC27" s="33" t="s">
        <v>205</v>
      </c>
      <c r="AD27" s="59">
        <v>1</v>
      </c>
      <c r="AE27" s="59">
        <v>1</v>
      </c>
      <c r="AF27" s="59">
        <v>1</v>
      </c>
      <c r="AG27" s="27"/>
      <c r="AH27" s="27"/>
    </row>
    <row r="28" spans="2:34" x14ac:dyDescent="0.35">
      <c r="B28" s="51">
        <v>26</v>
      </c>
      <c r="C28" s="28">
        <v>20200305</v>
      </c>
      <c r="D28" s="27" t="s">
        <v>2</v>
      </c>
      <c r="E28" s="27" t="s">
        <v>162</v>
      </c>
      <c r="F28" s="29" t="s">
        <v>70</v>
      </c>
      <c r="G28" s="27" t="s">
        <v>149</v>
      </c>
      <c r="H28" s="27" t="s">
        <v>189</v>
      </c>
      <c r="I28" s="27" t="s">
        <v>70</v>
      </c>
      <c r="J28" s="27" t="s">
        <v>70</v>
      </c>
      <c r="K28" s="27" t="s">
        <v>163</v>
      </c>
      <c r="L28" s="29">
        <v>1</v>
      </c>
      <c r="M28" s="29" t="s">
        <v>483</v>
      </c>
      <c r="N28" s="30"/>
      <c r="O28" s="28" t="s">
        <v>204</v>
      </c>
      <c r="P28" s="27" t="s">
        <v>75</v>
      </c>
      <c r="Q28" s="27"/>
      <c r="R28" s="27"/>
      <c r="S28" s="27">
        <v>10</v>
      </c>
      <c r="T28" s="27">
        <f>IF(D28=Table!$C$3,V28*Table!$C$4/8,V28*Table!$D$4/8)</f>
        <v>20.71875</v>
      </c>
      <c r="U28" s="27">
        <v>20.71875</v>
      </c>
      <c r="V28" s="27">
        <v>1.2749999999999999</v>
      </c>
      <c r="W28" s="27">
        <v>2</v>
      </c>
      <c r="X28" s="27" t="s">
        <v>19</v>
      </c>
      <c r="Y28" s="31">
        <v>43896</v>
      </c>
      <c r="Z28" s="31">
        <v>43901</v>
      </c>
      <c r="AA28" s="31">
        <v>43896</v>
      </c>
      <c r="AB28" s="31">
        <v>43901</v>
      </c>
      <c r="AC28" s="33" t="s">
        <v>205</v>
      </c>
      <c r="AD28" s="59">
        <v>1</v>
      </c>
      <c r="AE28" s="59">
        <v>1</v>
      </c>
      <c r="AF28" s="59" t="s">
        <v>220</v>
      </c>
      <c r="AG28" s="27"/>
      <c r="AH28" s="27" t="s">
        <v>224</v>
      </c>
    </row>
    <row r="29" spans="2:34" x14ac:dyDescent="0.35">
      <c r="B29" s="51">
        <v>27</v>
      </c>
      <c r="C29" s="28">
        <v>20200305</v>
      </c>
      <c r="D29" s="27" t="s">
        <v>2</v>
      </c>
      <c r="E29" s="27" t="s">
        <v>162</v>
      </c>
      <c r="F29" s="29" t="s">
        <v>70</v>
      </c>
      <c r="G29" s="27" t="s">
        <v>150</v>
      </c>
      <c r="H29" s="27" t="s">
        <v>190</v>
      </c>
      <c r="I29" s="27" t="s">
        <v>70</v>
      </c>
      <c r="J29" s="27" t="s">
        <v>70</v>
      </c>
      <c r="K29" s="27" t="s">
        <v>163</v>
      </c>
      <c r="L29" s="29">
        <v>4.12</v>
      </c>
      <c r="M29" s="29" t="s">
        <v>483</v>
      </c>
      <c r="N29" s="30"/>
      <c r="O29" s="28" t="s">
        <v>204</v>
      </c>
      <c r="P29" s="27" t="s">
        <v>75</v>
      </c>
      <c r="Q29" s="27"/>
      <c r="R29" s="27"/>
      <c r="S29" s="27">
        <v>36</v>
      </c>
      <c r="T29" s="27">
        <f>IF(D29=Table!$C$3,V29*Table!$C$4/8,V29*Table!$D$4/8)</f>
        <v>20.71875</v>
      </c>
      <c r="U29" s="27">
        <v>20.71875</v>
      </c>
      <c r="V29" s="27">
        <v>1.2749999999999999</v>
      </c>
      <c r="W29" s="27">
        <v>2</v>
      </c>
      <c r="X29" s="27" t="s">
        <v>19</v>
      </c>
      <c r="Y29" s="31">
        <v>43896</v>
      </c>
      <c r="Z29" s="31">
        <v>43901</v>
      </c>
      <c r="AA29" s="31">
        <v>43896</v>
      </c>
      <c r="AB29" s="31">
        <v>43901</v>
      </c>
      <c r="AC29" s="33" t="s">
        <v>205</v>
      </c>
      <c r="AD29" s="59">
        <v>1</v>
      </c>
      <c r="AE29" s="59">
        <v>1</v>
      </c>
      <c r="AF29" s="59" t="s">
        <v>220</v>
      </c>
      <c r="AG29" s="27"/>
      <c r="AH29" s="27" t="s">
        <v>224</v>
      </c>
    </row>
    <row r="30" spans="2:34" x14ac:dyDescent="0.35">
      <c r="B30" s="51">
        <v>28</v>
      </c>
      <c r="C30" s="28">
        <v>20200305</v>
      </c>
      <c r="D30" s="27" t="s">
        <v>2</v>
      </c>
      <c r="E30" s="27" t="s">
        <v>162</v>
      </c>
      <c r="F30" s="29" t="s">
        <v>70</v>
      </c>
      <c r="G30" s="27" t="s">
        <v>151</v>
      </c>
      <c r="H30" s="27" t="s">
        <v>191</v>
      </c>
      <c r="I30" s="27" t="s">
        <v>70</v>
      </c>
      <c r="J30" s="27" t="s">
        <v>70</v>
      </c>
      <c r="K30" s="27" t="s">
        <v>163</v>
      </c>
      <c r="L30" s="29">
        <v>1.4</v>
      </c>
      <c r="M30" s="29" t="s">
        <v>483</v>
      </c>
      <c r="N30" s="30"/>
      <c r="O30" s="28" t="s">
        <v>204</v>
      </c>
      <c r="P30" s="27" t="s">
        <v>75</v>
      </c>
      <c r="Q30" s="27"/>
      <c r="R30" s="27"/>
      <c r="S30" s="27">
        <v>36</v>
      </c>
      <c r="T30" s="27">
        <f>IF(D30=Table!$C$3,V30*Table!$C$4/8,V30*Table!$D$4/8)</f>
        <v>20.71875</v>
      </c>
      <c r="U30" s="27">
        <v>20.71875</v>
      </c>
      <c r="V30" s="27">
        <v>1.2749999999999999</v>
      </c>
      <c r="W30" s="27">
        <v>2</v>
      </c>
      <c r="X30" s="27" t="s">
        <v>19</v>
      </c>
      <c r="Y30" s="31">
        <v>43896</v>
      </c>
      <c r="Z30" s="31">
        <v>43901</v>
      </c>
      <c r="AA30" s="31">
        <v>43896</v>
      </c>
      <c r="AB30" s="31">
        <v>43901</v>
      </c>
      <c r="AC30" s="33" t="s">
        <v>205</v>
      </c>
      <c r="AD30" s="59">
        <v>1</v>
      </c>
      <c r="AE30" s="59">
        <v>1</v>
      </c>
      <c r="AF30" s="59" t="s">
        <v>220</v>
      </c>
      <c r="AG30" s="27"/>
      <c r="AH30" s="27" t="s">
        <v>224</v>
      </c>
    </row>
    <row r="31" spans="2:34" x14ac:dyDescent="0.35">
      <c r="B31" s="51">
        <v>29</v>
      </c>
      <c r="C31" s="28">
        <v>20200305</v>
      </c>
      <c r="D31" s="27" t="s">
        <v>2</v>
      </c>
      <c r="E31" s="27" t="s">
        <v>162</v>
      </c>
      <c r="F31" s="29" t="s">
        <v>70</v>
      </c>
      <c r="G31" s="27" t="s">
        <v>152</v>
      </c>
      <c r="H31" s="27" t="s">
        <v>192</v>
      </c>
      <c r="I31" s="27" t="s">
        <v>70</v>
      </c>
      <c r="J31" s="27" t="s">
        <v>70</v>
      </c>
      <c r="K31" s="27" t="s">
        <v>163</v>
      </c>
      <c r="L31" s="29">
        <v>1.1200000000000001</v>
      </c>
      <c r="M31" s="29" t="s">
        <v>483</v>
      </c>
      <c r="N31" s="30"/>
      <c r="O31" s="28" t="s">
        <v>204</v>
      </c>
      <c r="P31" s="27" t="s">
        <v>73</v>
      </c>
      <c r="Q31" s="27"/>
      <c r="R31" s="27"/>
      <c r="S31" s="27">
        <v>10</v>
      </c>
      <c r="T31" s="27">
        <f>IF(D31=Table!$C$3,V31*Table!$C$4/8,V31*Table!$D$4/8)</f>
        <v>20.71875</v>
      </c>
      <c r="U31" s="27">
        <v>20.71875</v>
      </c>
      <c r="V31" s="27">
        <v>1.2749999999999999</v>
      </c>
      <c r="W31" s="27">
        <v>1</v>
      </c>
      <c r="X31" s="27" t="s">
        <v>19</v>
      </c>
      <c r="Y31" s="31">
        <v>43896</v>
      </c>
      <c r="Z31" s="31">
        <v>43901</v>
      </c>
      <c r="AA31" s="31">
        <v>43896</v>
      </c>
      <c r="AB31" s="31">
        <v>43901</v>
      </c>
      <c r="AC31" s="33" t="s">
        <v>205</v>
      </c>
      <c r="AD31" s="63">
        <v>1</v>
      </c>
      <c r="AE31" s="63">
        <v>1</v>
      </c>
      <c r="AF31" s="64" t="s">
        <v>220</v>
      </c>
      <c r="AG31" s="27"/>
      <c r="AH31" s="27" t="s">
        <v>224</v>
      </c>
    </row>
    <row r="32" spans="2:34" x14ac:dyDescent="0.35">
      <c r="B32" s="51">
        <v>30</v>
      </c>
      <c r="C32" s="28">
        <v>20200305</v>
      </c>
      <c r="D32" s="27" t="s">
        <v>2</v>
      </c>
      <c r="E32" s="27" t="s">
        <v>162</v>
      </c>
      <c r="F32" s="29" t="s">
        <v>70</v>
      </c>
      <c r="G32" s="27" t="s">
        <v>153</v>
      </c>
      <c r="H32" s="27" t="s">
        <v>193</v>
      </c>
      <c r="I32" s="27" t="s">
        <v>70</v>
      </c>
      <c r="J32" s="27" t="s">
        <v>70</v>
      </c>
      <c r="K32" s="27" t="s">
        <v>163</v>
      </c>
      <c r="L32" s="29">
        <v>8.5</v>
      </c>
      <c r="M32" s="29" t="s">
        <v>483</v>
      </c>
      <c r="N32" s="30"/>
      <c r="O32" s="28" t="s">
        <v>204</v>
      </c>
      <c r="P32" s="27" t="s">
        <v>75</v>
      </c>
      <c r="Q32" s="27"/>
      <c r="R32" s="27"/>
      <c r="S32" s="27">
        <v>61</v>
      </c>
      <c r="T32" s="27">
        <f>IF(D32=Table!$C$3,V32*Table!$C$4/8,V32*Table!$D$4/8)</f>
        <v>26.243749999999999</v>
      </c>
      <c r="U32" s="27">
        <v>26.243749999999999</v>
      </c>
      <c r="V32" s="27">
        <v>1.615</v>
      </c>
      <c r="W32" s="27">
        <v>2</v>
      </c>
      <c r="X32" s="27" t="s">
        <v>19</v>
      </c>
      <c r="Y32" s="31">
        <v>43896</v>
      </c>
      <c r="Z32" s="31">
        <v>43901</v>
      </c>
      <c r="AA32" s="31">
        <v>43896</v>
      </c>
      <c r="AB32" s="31">
        <v>43901</v>
      </c>
      <c r="AC32" s="33" t="s">
        <v>205</v>
      </c>
      <c r="AD32" s="59">
        <v>1</v>
      </c>
      <c r="AE32" s="59">
        <v>1</v>
      </c>
      <c r="AF32" s="59" t="s">
        <v>220</v>
      </c>
      <c r="AG32" s="27"/>
      <c r="AH32" s="27" t="s">
        <v>224</v>
      </c>
    </row>
    <row r="33" spans="2:34" x14ac:dyDescent="0.35">
      <c r="B33" s="51">
        <v>31</v>
      </c>
      <c r="C33" s="28">
        <v>20200305</v>
      </c>
      <c r="D33" s="27" t="s">
        <v>2</v>
      </c>
      <c r="E33" s="27" t="s">
        <v>162</v>
      </c>
      <c r="F33" s="29" t="s">
        <v>70</v>
      </c>
      <c r="G33" s="27" t="s">
        <v>154</v>
      </c>
      <c r="H33" s="27" t="s">
        <v>194</v>
      </c>
      <c r="I33" s="27" t="s">
        <v>70</v>
      </c>
      <c r="J33" s="27" t="s">
        <v>70</v>
      </c>
      <c r="K33" s="27" t="s">
        <v>163</v>
      </c>
      <c r="L33" s="29">
        <v>6.13</v>
      </c>
      <c r="M33" s="29" t="s">
        <v>483</v>
      </c>
      <c r="N33" s="30"/>
      <c r="O33" s="28" t="s">
        <v>204</v>
      </c>
      <c r="P33" s="27" t="s">
        <v>75</v>
      </c>
      <c r="Q33" s="27"/>
      <c r="R33" s="27"/>
      <c r="S33" s="27">
        <v>89</v>
      </c>
      <c r="T33" s="27">
        <f>IF(D33=Table!$C$3,V33*Table!$C$4/8,V33*Table!$D$4/8)</f>
        <v>125.69374999999999</v>
      </c>
      <c r="U33" s="27">
        <v>125.69374999999999</v>
      </c>
      <c r="V33" s="27">
        <v>7.7349999999999994</v>
      </c>
      <c r="W33" s="27">
        <v>8</v>
      </c>
      <c r="X33" s="27" t="s">
        <v>19</v>
      </c>
      <c r="Y33" s="31">
        <v>43896</v>
      </c>
      <c r="Z33" s="31">
        <v>43901</v>
      </c>
      <c r="AA33" s="31">
        <v>43896</v>
      </c>
      <c r="AB33" s="31">
        <v>43901</v>
      </c>
      <c r="AC33" s="33" t="s">
        <v>206</v>
      </c>
      <c r="AD33" s="59">
        <v>1</v>
      </c>
      <c r="AE33" s="59">
        <v>1</v>
      </c>
      <c r="AF33" s="59">
        <v>0.94099999999999995</v>
      </c>
      <c r="AG33" s="27" t="s">
        <v>490</v>
      </c>
      <c r="AH33" s="27"/>
    </row>
    <row r="34" spans="2:34" x14ac:dyDescent="0.35">
      <c r="B34" s="51">
        <v>32</v>
      </c>
      <c r="C34" s="28">
        <v>20200305</v>
      </c>
      <c r="D34" s="27" t="s">
        <v>2</v>
      </c>
      <c r="E34" s="27" t="s">
        <v>162</v>
      </c>
      <c r="F34" s="29" t="s">
        <v>70</v>
      </c>
      <c r="G34" s="27" t="s">
        <v>155</v>
      </c>
      <c r="H34" s="27" t="s">
        <v>195</v>
      </c>
      <c r="I34" s="27" t="s">
        <v>70</v>
      </c>
      <c r="J34" s="27" t="s">
        <v>70</v>
      </c>
      <c r="K34" s="27" t="s">
        <v>163</v>
      </c>
      <c r="L34" s="29">
        <v>1.1000000000000001</v>
      </c>
      <c r="M34" s="29" t="s">
        <v>483</v>
      </c>
      <c r="N34" s="30"/>
      <c r="O34" s="28" t="s">
        <v>204</v>
      </c>
      <c r="P34" s="27" t="s">
        <v>75</v>
      </c>
      <c r="Q34" s="27"/>
      <c r="R34" s="27"/>
      <c r="S34" s="27">
        <v>67</v>
      </c>
      <c r="T34" s="27">
        <f>IF(D34=Table!$C$3,V34*Table!$C$4/8,V34*Table!$D$4/8)</f>
        <v>26.243749999999999</v>
      </c>
      <c r="U34" s="27">
        <f>T34</f>
        <v>26.243749999999999</v>
      </c>
      <c r="V34" s="27">
        <v>1.615</v>
      </c>
      <c r="W34" s="27">
        <v>4</v>
      </c>
      <c r="X34" s="27" t="s">
        <v>19</v>
      </c>
      <c r="Y34" s="31">
        <v>43896</v>
      </c>
      <c r="Z34" s="31">
        <v>43901</v>
      </c>
      <c r="AA34" s="31">
        <v>43896</v>
      </c>
      <c r="AB34" s="31"/>
      <c r="AC34" s="33" t="s">
        <v>206</v>
      </c>
      <c r="AD34" s="59">
        <v>0.95799999999999996</v>
      </c>
      <c r="AE34" s="59">
        <v>0.96400000000000008</v>
      </c>
      <c r="AF34" s="59">
        <v>1</v>
      </c>
      <c r="AG34" s="27" t="s">
        <v>226</v>
      </c>
      <c r="AH34" s="27" t="s">
        <v>225</v>
      </c>
    </row>
    <row r="35" spans="2:34" x14ac:dyDescent="0.35">
      <c r="B35" s="51">
        <v>33</v>
      </c>
      <c r="C35" s="28">
        <v>20200305</v>
      </c>
      <c r="D35" s="27" t="s">
        <v>2</v>
      </c>
      <c r="E35" s="27" t="s">
        <v>162</v>
      </c>
      <c r="F35" s="29" t="s">
        <v>70</v>
      </c>
      <c r="G35" s="27" t="s">
        <v>156</v>
      </c>
      <c r="H35" s="27" t="s">
        <v>196</v>
      </c>
      <c r="I35" s="27" t="s">
        <v>70</v>
      </c>
      <c r="J35" s="27" t="s">
        <v>70</v>
      </c>
      <c r="K35" s="27" t="s">
        <v>163</v>
      </c>
      <c r="L35" s="29">
        <v>1.5</v>
      </c>
      <c r="M35" s="29" t="s">
        <v>483</v>
      </c>
      <c r="N35" s="30"/>
      <c r="O35" s="28" t="s">
        <v>204</v>
      </c>
      <c r="P35" s="27" t="s">
        <v>75</v>
      </c>
      <c r="Q35" s="27"/>
      <c r="R35" s="27"/>
      <c r="S35" s="27">
        <v>51</v>
      </c>
      <c r="T35" s="27">
        <f>IF(D35=Table!$C$3,V35*Table!$C$4/8,V35*Table!$D$4/8)</f>
        <v>42.818749999999994</v>
      </c>
      <c r="U35" s="27">
        <f t="shared" ref="U35:U36" si="6">T35</f>
        <v>42.818749999999994</v>
      </c>
      <c r="V35" s="27">
        <v>2.6349999999999998</v>
      </c>
      <c r="W35" s="27">
        <v>3</v>
      </c>
      <c r="X35" s="27" t="s">
        <v>19</v>
      </c>
      <c r="Y35" s="31">
        <v>43896</v>
      </c>
      <c r="Z35" s="31">
        <v>43901</v>
      </c>
      <c r="AA35" s="31">
        <v>43896</v>
      </c>
      <c r="AB35" s="31">
        <v>43899</v>
      </c>
      <c r="AC35" s="33" t="s">
        <v>205</v>
      </c>
      <c r="AD35" s="59">
        <v>1</v>
      </c>
      <c r="AE35" s="59">
        <v>1</v>
      </c>
      <c r="AF35" s="59">
        <v>1</v>
      </c>
      <c r="AG35" s="27"/>
      <c r="AH35" s="27"/>
    </row>
    <row r="36" spans="2:34" x14ac:dyDescent="0.35">
      <c r="B36" s="51">
        <v>34</v>
      </c>
      <c r="C36" s="28">
        <v>20200305</v>
      </c>
      <c r="D36" s="27" t="s">
        <v>2</v>
      </c>
      <c r="E36" s="27" t="s">
        <v>162</v>
      </c>
      <c r="F36" s="29" t="s">
        <v>70</v>
      </c>
      <c r="G36" s="27" t="s">
        <v>157</v>
      </c>
      <c r="H36" s="27" t="s">
        <v>197</v>
      </c>
      <c r="I36" s="27" t="s">
        <v>70</v>
      </c>
      <c r="J36" s="27" t="s">
        <v>70</v>
      </c>
      <c r="K36" s="27" t="s">
        <v>163</v>
      </c>
      <c r="L36" s="29">
        <v>2.2000000000000002</v>
      </c>
      <c r="M36" s="29" t="s">
        <v>483</v>
      </c>
      <c r="N36" s="30"/>
      <c r="O36" s="28" t="s">
        <v>204</v>
      </c>
      <c r="P36" s="27" t="s">
        <v>75</v>
      </c>
      <c r="Q36" s="27"/>
      <c r="R36" s="27"/>
      <c r="S36" s="27">
        <v>71</v>
      </c>
      <c r="T36" s="27">
        <f>IF(D36=Table!$C$3,V36*Table!$C$4/8,V36*Table!$D$4/8)</f>
        <v>53.868750000000006</v>
      </c>
      <c r="U36" s="27">
        <f t="shared" si="6"/>
        <v>53.868750000000006</v>
      </c>
      <c r="V36" s="27">
        <v>3.3150000000000004</v>
      </c>
      <c r="W36" s="27">
        <v>4</v>
      </c>
      <c r="X36" s="27" t="s">
        <v>19</v>
      </c>
      <c r="Y36" s="31">
        <v>43896</v>
      </c>
      <c r="Z36" s="31">
        <v>43901</v>
      </c>
      <c r="AA36" s="31">
        <v>43896</v>
      </c>
      <c r="AB36" s="31">
        <v>43899</v>
      </c>
      <c r="AC36" s="33" t="s">
        <v>206</v>
      </c>
      <c r="AD36" s="59">
        <v>1</v>
      </c>
      <c r="AE36" s="59">
        <v>1</v>
      </c>
      <c r="AF36" s="59">
        <v>1</v>
      </c>
      <c r="AG36" s="27"/>
      <c r="AH36" s="27"/>
    </row>
    <row r="37" spans="2:34" x14ac:dyDescent="0.35">
      <c r="B37" s="51">
        <v>35</v>
      </c>
      <c r="C37" s="28">
        <v>20200305</v>
      </c>
      <c r="D37" s="27" t="s">
        <v>2</v>
      </c>
      <c r="E37" s="27" t="s">
        <v>162</v>
      </c>
      <c r="F37" s="29" t="s">
        <v>70</v>
      </c>
      <c r="G37" s="27" t="s">
        <v>158</v>
      </c>
      <c r="H37" s="27" t="s">
        <v>198</v>
      </c>
      <c r="I37" s="27" t="s">
        <v>70</v>
      </c>
      <c r="J37" s="27" t="s">
        <v>70</v>
      </c>
      <c r="K37" s="27" t="s">
        <v>163</v>
      </c>
      <c r="L37" s="29">
        <v>1.1000000000000001</v>
      </c>
      <c r="M37" s="29" t="s">
        <v>483</v>
      </c>
      <c r="N37" s="30"/>
      <c r="O37" s="28" t="s">
        <v>204</v>
      </c>
      <c r="P37" s="27" t="s">
        <v>75</v>
      </c>
      <c r="Q37" s="27"/>
      <c r="R37" s="27"/>
      <c r="S37" s="27">
        <v>58</v>
      </c>
      <c r="T37" s="27">
        <f>IF(D37=Table!$C$3,V37*Table!$C$4/8,V37*Table!$D$4/8)</f>
        <v>37.293749999999996</v>
      </c>
      <c r="U37" s="27">
        <f>T37</f>
        <v>37.293749999999996</v>
      </c>
      <c r="V37" s="27">
        <v>2.2949999999999999</v>
      </c>
      <c r="W37" s="27">
        <v>4</v>
      </c>
      <c r="X37" s="27" t="s">
        <v>19</v>
      </c>
      <c r="Y37" s="31">
        <v>43896</v>
      </c>
      <c r="Z37" s="31">
        <v>43901</v>
      </c>
      <c r="AA37" s="31">
        <v>43896</v>
      </c>
      <c r="AB37" s="31">
        <v>43908</v>
      </c>
      <c r="AC37" s="33" t="s">
        <v>206</v>
      </c>
      <c r="AD37" s="59">
        <v>0.83900000000000008</v>
      </c>
      <c r="AE37" s="59">
        <v>0.84400000000000008</v>
      </c>
      <c r="AF37" s="59">
        <v>1</v>
      </c>
      <c r="AG37" s="27" t="s">
        <v>491</v>
      </c>
      <c r="AH37" s="27"/>
    </row>
    <row r="38" spans="2:34" x14ac:dyDescent="0.35">
      <c r="B38" s="51">
        <v>36</v>
      </c>
      <c r="C38" s="28">
        <v>20200305</v>
      </c>
      <c r="D38" s="27" t="s">
        <v>2</v>
      </c>
      <c r="E38" s="27" t="s">
        <v>162</v>
      </c>
      <c r="F38" s="29" t="s">
        <v>70</v>
      </c>
      <c r="G38" s="27" t="s">
        <v>159</v>
      </c>
      <c r="H38" s="27" t="s">
        <v>199</v>
      </c>
      <c r="I38" s="27" t="s">
        <v>70</v>
      </c>
      <c r="J38" s="27" t="s">
        <v>70</v>
      </c>
      <c r="K38" s="27" t="s">
        <v>163</v>
      </c>
      <c r="L38" s="29" t="s">
        <v>122</v>
      </c>
      <c r="M38" s="29" t="s">
        <v>483</v>
      </c>
      <c r="N38" s="30"/>
      <c r="O38" s="28" t="s">
        <v>204</v>
      </c>
      <c r="P38" s="27" t="s">
        <v>75</v>
      </c>
      <c r="Q38" s="27"/>
      <c r="R38" s="27"/>
      <c r="S38" s="27">
        <v>47</v>
      </c>
      <c r="T38" s="27">
        <f>IF(D38=Table!$C$3,V38*Table!$C$4/8,V38*Table!$D$4/8)</f>
        <v>26.243749999999999</v>
      </c>
      <c r="U38" s="27">
        <f>T38</f>
        <v>26.243749999999999</v>
      </c>
      <c r="V38" s="27">
        <v>1.615</v>
      </c>
      <c r="W38" s="27">
        <v>4</v>
      </c>
      <c r="X38" s="27" t="s">
        <v>19</v>
      </c>
      <c r="Y38" s="31">
        <v>43896</v>
      </c>
      <c r="Z38" s="31">
        <v>43901</v>
      </c>
      <c r="AA38" s="31">
        <v>43896</v>
      </c>
      <c r="AB38" s="31">
        <v>43908</v>
      </c>
      <c r="AC38" s="33" t="s">
        <v>206</v>
      </c>
      <c r="AD38" s="59">
        <v>0.88500000000000001</v>
      </c>
      <c r="AE38" s="59">
        <v>0.88900000000000001</v>
      </c>
      <c r="AF38" s="59">
        <v>1</v>
      </c>
      <c r="AG38" s="27" t="s">
        <v>492</v>
      </c>
      <c r="AH38" s="27" t="s">
        <v>227</v>
      </c>
    </row>
    <row r="39" spans="2:34" x14ac:dyDescent="0.35">
      <c r="B39" s="51">
        <v>37</v>
      </c>
      <c r="C39" s="28">
        <v>20200305</v>
      </c>
      <c r="D39" s="27" t="s">
        <v>2</v>
      </c>
      <c r="E39" s="27" t="s">
        <v>162</v>
      </c>
      <c r="F39" s="29" t="s">
        <v>70</v>
      </c>
      <c r="G39" s="27" t="s">
        <v>160</v>
      </c>
      <c r="H39" s="27" t="s">
        <v>200</v>
      </c>
      <c r="I39" s="27" t="s">
        <v>70</v>
      </c>
      <c r="J39" s="27" t="s">
        <v>70</v>
      </c>
      <c r="K39" s="27" t="s">
        <v>163</v>
      </c>
      <c r="L39" s="29" t="s">
        <v>123</v>
      </c>
      <c r="M39" s="29" t="s">
        <v>483</v>
      </c>
      <c r="N39" s="30"/>
      <c r="O39" s="28" t="s">
        <v>204</v>
      </c>
      <c r="P39" s="27" t="s">
        <v>75</v>
      </c>
      <c r="Q39" s="27"/>
      <c r="R39" s="27"/>
      <c r="S39" s="27">
        <v>32</v>
      </c>
      <c r="T39" s="27">
        <f>IF(D39=Table!$C$3,V39*Table!$C$4/8,V39*Table!$D$4/8)</f>
        <v>31.768749999999997</v>
      </c>
      <c r="U39" s="27">
        <f>T39</f>
        <v>31.768749999999997</v>
      </c>
      <c r="V39" s="27">
        <v>1.9549999999999998</v>
      </c>
      <c r="W39" s="27">
        <v>4</v>
      </c>
      <c r="X39" s="27" t="s">
        <v>19</v>
      </c>
      <c r="Y39" s="31">
        <v>43896</v>
      </c>
      <c r="Z39" s="31">
        <v>43901</v>
      </c>
      <c r="AA39" s="31">
        <v>43896</v>
      </c>
      <c r="AB39" s="31">
        <v>43908</v>
      </c>
      <c r="AC39" s="33" t="s">
        <v>206</v>
      </c>
      <c r="AD39" s="59">
        <v>0.75</v>
      </c>
      <c r="AE39" s="59">
        <v>0.75</v>
      </c>
      <c r="AF39" s="59">
        <v>0.90900000000000003</v>
      </c>
      <c r="AG39" s="27" t="s">
        <v>493</v>
      </c>
      <c r="AH39" s="27"/>
    </row>
    <row r="40" spans="2:34" x14ac:dyDescent="0.35">
      <c r="B40" s="51">
        <v>38</v>
      </c>
      <c r="C40" s="28">
        <v>20200305</v>
      </c>
      <c r="D40" s="27" t="s">
        <v>2</v>
      </c>
      <c r="E40" s="27" t="s">
        <v>162</v>
      </c>
      <c r="F40" s="29" t="s">
        <v>70</v>
      </c>
      <c r="G40" s="27" t="s">
        <v>161</v>
      </c>
      <c r="H40" s="27" t="s">
        <v>201</v>
      </c>
      <c r="I40" s="27" t="s">
        <v>70</v>
      </c>
      <c r="J40" s="27" t="s">
        <v>70</v>
      </c>
      <c r="K40" s="27" t="s">
        <v>163</v>
      </c>
      <c r="L40" s="29">
        <v>1.2</v>
      </c>
      <c r="M40" s="29" t="s">
        <v>483</v>
      </c>
      <c r="N40" s="30"/>
      <c r="O40" s="28" t="s">
        <v>204</v>
      </c>
      <c r="P40" s="27" t="s">
        <v>75</v>
      </c>
      <c r="Q40" s="27"/>
      <c r="R40" s="27"/>
      <c r="S40" s="27">
        <v>73</v>
      </c>
      <c r="T40" s="27">
        <f>IF(D40=Table!$C$3,V40*Table!$C$4/8,V40*Table!$D$4/8)</f>
        <v>42.818749999999994</v>
      </c>
      <c r="U40" s="27">
        <f t="shared" ref="U40:U43" si="7">T40</f>
        <v>42.818749999999994</v>
      </c>
      <c r="V40" s="27">
        <v>2.6349999999999998</v>
      </c>
      <c r="W40" s="27">
        <v>3</v>
      </c>
      <c r="X40" s="27" t="s">
        <v>19</v>
      </c>
      <c r="Y40" s="31">
        <v>43896</v>
      </c>
      <c r="Z40" s="31">
        <v>43901</v>
      </c>
      <c r="AA40" s="31">
        <v>43896</v>
      </c>
      <c r="AB40" s="31">
        <v>43896</v>
      </c>
      <c r="AC40" s="33" t="s">
        <v>205</v>
      </c>
      <c r="AD40" s="59">
        <v>1</v>
      </c>
      <c r="AE40" s="59">
        <v>1</v>
      </c>
      <c r="AF40" s="59">
        <v>1</v>
      </c>
      <c r="AG40" s="27"/>
      <c r="AH40" s="27"/>
    </row>
    <row r="41" spans="2:34" x14ac:dyDescent="0.35">
      <c r="B41" s="52">
        <v>39</v>
      </c>
      <c r="C41" s="28">
        <v>20200306</v>
      </c>
      <c r="D41" s="27" t="s">
        <v>2</v>
      </c>
      <c r="E41" s="27" t="s">
        <v>210</v>
      </c>
      <c r="F41" s="29" t="s">
        <v>70</v>
      </c>
      <c r="G41" s="27" t="s">
        <v>211</v>
      </c>
      <c r="H41" s="27" t="s">
        <v>207</v>
      </c>
      <c r="I41" s="27" t="s">
        <v>70</v>
      </c>
      <c r="J41" s="27" t="s">
        <v>70</v>
      </c>
      <c r="K41" s="27" t="s">
        <v>216</v>
      </c>
      <c r="L41" s="29">
        <v>1</v>
      </c>
      <c r="M41" s="29" t="s">
        <v>215</v>
      </c>
      <c r="N41" s="30"/>
      <c r="O41" s="28" t="s">
        <v>214</v>
      </c>
      <c r="P41" s="27" t="s">
        <v>6</v>
      </c>
      <c r="Q41" s="27"/>
      <c r="R41" s="27"/>
      <c r="S41" s="27">
        <v>13</v>
      </c>
      <c r="T41" s="27">
        <f>IF(D41=Table!$C$3,V41*Table!$C$4/8,V41*Table!$D$4/8)</f>
        <v>26</v>
      </c>
      <c r="U41" s="27">
        <f t="shared" si="7"/>
        <v>26</v>
      </c>
      <c r="V41" s="27">
        <v>1.6</v>
      </c>
      <c r="W41" s="27">
        <v>3</v>
      </c>
      <c r="X41" s="27" t="s">
        <v>83</v>
      </c>
      <c r="Y41" s="31">
        <v>43896</v>
      </c>
      <c r="Z41" s="31">
        <v>43899</v>
      </c>
      <c r="AA41" s="31">
        <v>43896</v>
      </c>
      <c r="AB41" s="31">
        <v>43896</v>
      </c>
      <c r="AC41" s="33" t="s">
        <v>206</v>
      </c>
      <c r="AD41" s="59">
        <v>0.84599999999999997</v>
      </c>
      <c r="AE41" s="59">
        <v>0.84599999999999997</v>
      </c>
      <c r="AF41" s="65" t="s">
        <v>70</v>
      </c>
      <c r="AG41" s="27"/>
      <c r="AH41" s="27"/>
    </row>
    <row r="42" spans="2:34" x14ac:dyDescent="0.35">
      <c r="B42" s="52">
        <v>40</v>
      </c>
      <c r="C42" s="28">
        <v>20200306</v>
      </c>
      <c r="D42" s="27" t="s">
        <v>2</v>
      </c>
      <c r="E42" s="27" t="s">
        <v>210</v>
      </c>
      <c r="F42" s="29" t="s">
        <v>70</v>
      </c>
      <c r="G42" s="27" t="s">
        <v>212</v>
      </c>
      <c r="H42" s="27" t="s">
        <v>208</v>
      </c>
      <c r="I42" s="27" t="s">
        <v>70</v>
      </c>
      <c r="J42" s="27" t="s">
        <v>70</v>
      </c>
      <c r="K42" s="27" t="s">
        <v>216</v>
      </c>
      <c r="L42" s="29">
        <v>1</v>
      </c>
      <c r="M42" s="29" t="s">
        <v>215</v>
      </c>
      <c r="N42" s="30"/>
      <c r="O42" s="28" t="s">
        <v>214</v>
      </c>
      <c r="P42" s="27" t="s">
        <v>6</v>
      </c>
      <c r="Q42" s="27"/>
      <c r="R42" s="27"/>
      <c r="S42" s="27">
        <v>52</v>
      </c>
      <c r="T42" s="27">
        <f>IF(D42=Table!$C$3,V42*Table!$C$4/8,V42*Table!$D$4/8)</f>
        <v>78</v>
      </c>
      <c r="U42" s="27">
        <f t="shared" si="7"/>
        <v>78</v>
      </c>
      <c r="V42" s="27">
        <v>4.8</v>
      </c>
      <c r="W42" s="27">
        <v>5</v>
      </c>
      <c r="X42" s="27" t="s">
        <v>83</v>
      </c>
      <c r="Y42" s="31">
        <v>43896</v>
      </c>
      <c r="Z42" s="31">
        <v>43899</v>
      </c>
      <c r="AA42" s="31">
        <v>43896</v>
      </c>
      <c r="AB42" s="31">
        <v>43896</v>
      </c>
      <c r="AC42" s="33" t="s">
        <v>206</v>
      </c>
      <c r="AD42" s="59">
        <v>0.88900000000000001</v>
      </c>
      <c r="AE42" s="59">
        <v>0.89400000000000002</v>
      </c>
      <c r="AF42" s="59">
        <v>0.88900000000000001</v>
      </c>
      <c r="AG42" s="27"/>
      <c r="AH42" s="27"/>
    </row>
    <row r="43" spans="2:34" x14ac:dyDescent="0.35">
      <c r="B43" s="52">
        <v>41</v>
      </c>
      <c r="C43" s="28">
        <v>20200306</v>
      </c>
      <c r="D43" s="27" t="s">
        <v>2</v>
      </c>
      <c r="E43" s="27" t="s">
        <v>210</v>
      </c>
      <c r="F43" s="29" t="s">
        <v>70</v>
      </c>
      <c r="G43" s="27" t="s">
        <v>213</v>
      </c>
      <c r="H43" s="27" t="s">
        <v>209</v>
      </c>
      <c r="I43" s="27" t="s">
        <v>70</v>
      </c>
      <c r="J43" s="27" t="s">
        <v>70</v>
      </c>
      <c r="K43" s="27" t="s">
        <v>216</v>
      </c>
      <c r="L43" s="29">
        <v>1</v>
      </c>
      <c r="M43" s="29" t="s">
        <v>215</v>
      </c>
      <c r="N43" s="30"/>
      <c r="O43" s="28" t="s">
        <v>214</v>
      </c>
      <c r="P43" s="27" t="s">
        <v>6</v>
      </c>
      <c r="Q43" s="27"/>
      <c r="R43" s="27"/>
      <c r="S43" s="27">
        <v>28</v>
      </c>
      <c r="T43" s="27">
        <f>IF(D43=Table!$C$3,V43*Table!$C$4/8,V43*Table!$D$4/8)</f>
        <v>39</v>
      </c>
      <c r="U43" s="27">
        <f t="shared" si="7"/>
        <v>39</v>
      </c>
      <c r="V43" s="27">
        <v>2.4</v>
      </c>
      <c r="W43" s="27">
        <v>4</v>
      </c>
      <c r="X43" s="27" t="s">
        <v>83</v>
      </c>
      <c r="Y43" s="31">
        <v>43896</v>
      </c>
      <c r="Z43" s="31">
        <v>43899</v>
      </c>
      <c r="AA43" s="31">
        <v>43899</v>
      </c>
      <c r="AB43" s="31">
        <v>43899</v>
      </c>
      <c r="AC43" s="31" t="s">
        <v>205</v>
      </c>
      <c r="AD43" s="59">
        <v>1</v>
      </c>
      <c r="AE43" s="59">
        <v>1</v>
      </c>
      <c r="AF43" s="59">
        <v>1</v>
      </c>
      <c r="AG43" s="27"/>
      <c r="AH43" s="27"/>
    </row>
    <row r="44" spans="2:34" x14ac:dyDescent="0.35">
      <c r="B44" s="30">
        <v>42</v>
      </c>
      <c r="C44" s="28">
        <v>20200316</v>
      </c>
      <c r="D44" s="27" t="s">
        <v>2</v>
      </c>
      <c r="E44" s="27" t="s">
        <v>289</v>
      </c>
      <c r="F44" s="29" t="s">
        <v>314</v>
      </c>
      <c r="G44" s="27" t="s">
        <v>140</v>
      </c>
      <c r="H44" s="27" t="s">
        <v>241</v>
      </c>
      <c r="I44" s="27" t="s">
        <v>336</v>
      </c>
      <c r="J44" s="27" t="s">
        <v>70</v>
      </c>
      <c r="K44" s="27" t="s">
        <v>331</v>
      </c>
      <c r="L44" s="29" t="s">
        <v>269</v>
      </c>
      <c r="M44" s="29" t="s">
        <v>239</v>
      </c>
      <c r="N44" s="30"/>
      <c r="O44" s="28" t="s">
        <v>326</v>
      </c>
      <c r="P44" s="27" t="s">
        <v>6</v>
      </c>
      <c r="Q44" s="27"/>
      <c r="R44" s="27"/>
      <c r="S44" s="27">
        <v>59</v>
      </c>
      <c r="T44" s="27">
        <f>IF(D44=Table!$C$3,V44*Table!$C$4/8,V44*Table!$D$4/8)</f>
        <v>65</v>
      </c>
      <c r="U44" s="27">
        <f t="shared" ref="U44:U45" si="8">T44</f>
        <v>65</v>
      </c>
      <c r="V44" s="27">
        <v>4</v>
      </c>
      <c r="W44" s="27">
        <v>10</v>
      </c>
      <c r="X44" s="27" t="s">
        <v>22</v>
      </c>
      <c r="Y44" s="31">
        <v>43906</v>
      </c>
      <c r="Z44" s="31">
        <v>43909</v>
      </c>
      <c r="AA44" s="31">
        <v>43907</v>
      </c>
      <c r="AB44" s="31">
        <v>43907</v>
      </c>
      <c r="AC44" s="31" t="s">
        <v>205</v>
      </c>
      <c r="AD44" s="59">
        <v>0.81299999999999994</v>
      </c>
      <c r="AE44" s="59">
        <v>0.81299999999999994</v>
      </c>
      <c r="AF44" s="59" t="s">
        <v>220</v>
      </c>
      <c r="AG44" s="27" t="s">
        <v>333</v>
      </c>
      <c r="AH44" s="27"/>
    </row>
    <row r="45" spans="2:34" x14ac:dyDescent="0.35">
      <c r="B45" s="30">
        <v>43</v>
      </c>
      <c r="C45" s="28">
        <v>20200316</v>
      </c>
      <c r="D45" s="27" t="s">
        <v>2</v>
      </c>
      <c r="E45" s="27" t="s">
        <v>289</v>
      </c>
      <c r="F45" s="29" t="s">
        <v>314</v>
      </c>
      <c r="G45" s="27" t="s">
        <v>158</v>
      </c>
      <c r="H45" s="27" t="s">
        <v>253</v>
      </c>
      <c r="I45" s="27" t="s">
        <v>336</v>
      </c>
      <c r="J45" s="27" t="s">
        <v>70</v>
      </c>
      <c r="K45" s="27" t="s">
        <v>331</v>
      </c>
      <c r="L45" s="29" t="s">
        <v>272</v>
      </c>
      <c r="M45" s="29" t="s">
        <v>239</v>
      </c>
      <c r="N45" s="30"/>
      <c r="O45" s="28" t="s">
        <v>326</v>
      </c>
      <c r="P45" s="27" t="s">
        <v>6</v>
      </c>
      <c r="Q45" s="27"/>
      <c r="R45" s="27"/>
      <c r="S45" s="27">
        <v>55</v>
      </c>
      <c r="T45" s="27">
        <f>IF(D45=Table!$C$3,V45*Table!$C$4/8,V45*Table!$D$4/8)</f>
        <v>65</v>
      </c>
      <c r="U45" s="27">
        <f t="shared" si="8"/>
        <v>65</v>
      </c>
      <c r="V45" s="27">
        <v>4</v>
      </c>
      <c r="W45" s="27">
        <v>3</v>
      </c>
      <c r="X45" s="27" t="s">
        <v>22</v>
      </c>
      <c r="Y45" s="31">
        <v>43906</v>
      </c>
      <c r="Z45" s="31">
        <v>43909</v>
      </c>
      <c r="AA45" s="31">
        <v>43907</v>
      </c>
      <c r="AB45" s="31">
        <v>43907</v>
      </c>
      <c r="AC45" s="31" t="s">
        <v>205</v>
      </c>
      <c r="AD45" s="59">
        <v>0.72699999999999998</v>
      </c>
      <c r="AE45" s="59">
        <v>0.75</v>
      </c>
      <c r="AF45" s="59" t="s">
        <v>220</v>
      </c>
      <c r="AG45" s="27" t="s">
        <v>334</v>
      </c>
      <c r="AH45" s="27"/>
    </row>
    <row r="46" spans="2:34" x14ac:dyDescent="0.35">
      <c r="B46" s="30">
        <v>44</v>
      </c>
      <c r="C46" s="28">
        <v>20200316</v>
      </c>
      <c r="D46" s="27" t="s">
        <v>3</v>
      </c>
      <c r="E46" s="27" t="s">
        <v>289</v>
      </c>
      <c r="F46" s="29" t="s">
        <v>288</v>
      </c>
      <c r="G46" s="27" t="s">
        <v>296</v>
      </c>
      <c r="H46" s="27" t="s">
        <v>266</v>
      </c>
      <c r="I46" s="27" t="s">
        <v>337</v>
      </c>
      <c r="J46" s="27" t="s">
        <v>70</v>
      </c>
      <c r="K46" s="27" t="s">
        <v>339</v>
      </c>
      <c r="L46" s="29" t="s">
        <v>286</v>
      </c>
      <c r="M46" s="29" t="s">
        <v>239</v>
      </c>
      <c r="N46" s="30"/>
      <c r="O46" s="28" t="s">
        <v>326</v>
      </c>
      <c r="P46" s="27" t="s">
        <v>6</v>
      </c>
      <c r="Q46" s="27"/>
      <c r="R46" s="27"/>
      <c r="S46" s="27">
        <v>218</v>
      </c>
      <c r="T46" s="27">
        <f>IF(D46=Table!$C$3,V46*Table!$C$4/8,V46*Table!$D$4/8)</f>
        <v>225</v>
      </c>
      <c r="U46" s="27">
        <f t="shared" ref="U46" si="9">T46</f>
        <v>225</v>
      </c>
      <c r="V46" s="27">
        <v>4</v>
      </c>
      <c r="W46" s="27">
        <v>4</v>
      </c>
      <c r="X46" s="27" t="s">
        <v>22</v>
      </c>
      <c r="Y46" s="31">
        <v>43906</v>
      </c>
      <c r="Z46" s="31">
        <v>43909</v>
      </c>
      <c r="AA46" s="31">
        <v>43908</v>
      </c>
      <c r="AB46" s="31">
        <v>43908</v>
      </c>
      <c r="AC46" s="31" t="s">
        <v>205</v>
      </c>
      <c r="AD46" s="59">
        <v>0.97</v>
      </c>
      <c r="AE46" s="59">
        <v>0.89</v>
      </c>
      <c r="AF46" s="59">
        <v>0</v>
      </c>
      <c r="AG46" s="29" t="s">
        <v>335</v>
      </c>
      <c r="AH46" s="27" t="s">
        <v>312</v>
      </c>
    </row>
    <row r="47" spans="2:34" x14ac:dyDescent="0.35">
      <c r="B47" s="30">
        <v>45</v>
      </c>
      <c r="C47" s="28">
        <v>20200316</v>
      </c>
      <c r="D47" s="27" t="s">
        <v>2</v>
      </c>
      <c r="E47" s="27" t="s">
        <v>289</v>
      </c>
      <c r="F47" s="29" t="s">
        <v>313</v>
      </c>
      <c r="G47" s="27" t="s">
        <v>297</v>
      </c>
      <c r="H47" s="27" t="s">
        <v>240</v>
      </c>
      <c r="I47" s="27" t="s">
        <v>337</v>
      </c>
      <c r="J47" s="27" t="s">
        <v>70</v>
      </c>
      <c r="K47" s="27" t="s">
        <v>331</v>
      </c>
      <c r="L47" s="29" t="s">
        <v>267</v>
      </c>
      <c r="M47" s="29" t="s">
        <v>239</v>
      </c>
      <c r="N47" s="30"/>
      <c r="O47" s="28" t="s">
        <v>326</v>
      </c>
      <c r="P47" s="27" t="s">
        <v>6</v>
      </c>
      <c r="Q47" s="27"/>
      <c r="R47" s="27"/>
      <c r="S47" s="27">
        <v>69</v>
      </c>
      <c r="T47" s="27">
        <f>IF(D47=Table!$C$3,V47*Table!$C$4/8,V47*Table!$D$4/8)</f>
        <v>65</v>
      </c>
      <c r="U47" s="27">
        <f t="shared" ref="U47" si="10">T47</f>
        <v>65</v>
      </c>
      <c r="V47" s="27">
        <v>4</v>
      </c>
      <c r="W47" s="27">
        <v>3</v>
      </c>
      <c r="X47" s="27" t="s">
        <v>22</v>
      </c>
      <c r="Y47" s="31">
        <v>43906</v>
      </c>
      <c r="Z47" s="31">
        <v>43909</v>
      </c>
      <c r="AA47" s="31">
        <v>43907</v>
      </c>
      <c r="AB47" s="31">
        <v>43907</v>
      </c>
      <c r="AC47" s="31" t="s">
        <v>205</v>
      </c>
      <c r="AD47" s="59">
        <v>1</v>
      </c>
      <c r="AE47" s="59">
        <v>1</v>
      </c>
      <c r="AF47" s="59">
        <v>0.13600000000000001</v>
      </c>
      <c r="AG47" s="27"/>
      <c r="AH47" s="27"/>
    </row>
    <row r="48" spans="2:34" x14ac:dyDescent="0.35">
      <c r="B48" s="30">
        <v>46</v>
      </c>
      <c r="C48" s="28">
        <v>20200316</v>
      </c>
      <c r="D48" s="27" t="s">
        <v>2</v>
      </c>
      <c r="E48" s="27" t="s">
        <v>289</v>
      </c>
      <c r="F48" s="29" t="s">
        <v>314</v>
      </c>
      <c r="G48" s="27" t="s">
        <v>298</v>
      </c>
      <c r="H48" s="27" t="s">
        <v>242</v>
      </c>
      <c r="I48" s="27" t="s">
        <v>336</v>
      </c>
      <c r="J48" s="27" t="s">
        <v>70</v>
      </c>
      <c r="K48" s="27" t="s">
        <v>331</v>
      </c>
      <c r="L48" s="29" t="s">
        <v>270</v>
      </c>
      <c r="M48" s="29" t="s">
        <v>239</v>
      </c>
      <c r="N48" s="30"/>
      <c r="O48" s="28" t="s">
        <v>327</v>
      </c>
      <c r="P48" s="27" t="s">
        <v>73</v>
      </c>
      <c r="Q48" s="27"/>
      <c r="R48" s="27"/>
      <c r="S48" s="27">
        <v>76</v>
      </c>
      <c r="T48" s="27">
        <f>IF(D48=Table!$C$3,V48*Table!$C$4/8,V48*Table!$D$4/8)</f>
        <v>65</v>
      </c>
      <c r="U48" s="27">
        <f>T48</f>
        <v>65</v>
      </c>
      <c r="V48" s="27">
        <v>4</v>
      </c>
      <c r="W48" s="27">
        <v>4</v>
      </c>
      <c r="X48" s="27" t="s">
        <v>22</v>
      </c>
      <c r="Y48" s="31">
        <v>43906</v>
      </c>
      <c r="Z48" s="31">
        <v>43909</v>
      </c>
      <c r="AA48" s="31">
        <v>43907</v>
      </c>
      <c r="AB48" s="31">
        <v>43907</v>
      </c>
      <c r="AC48" s="31" t="s">
        <v>205</v>
      </c>
      <c r="AD48" s="59">
        <v>0.879</v>
      </c>
      <c r="AE48" s="59">
        <v>0.879</v>
      </c>
      <c r="AF48" s="59" t="s">
        <v>220</v>
      </c>
      <c r="AG48" s="53" t="s">
        <v>332</v>
      </c>
      <c r="AH48" s="27"/>
    </row>
    <row r="49" spans="2:38" x14ac:dyDescent="0.35">
      <c r="B49" s="30">
        <v>47</v>
      </c>
      <c r="C49" s="28">
        <v>20200316</v>
      </c>
      <c r="D49" s="27" t="s">
        <v>2</v>
      </c>
      <c r="E49" s="27" t="s">
        <v>289</v>
      </c>
      <c r="F49" s="29" t="s">
        <v>314</v>
      </c>
      <c r="G49" s="27" t="s">
        <v>301</v>
      </c>
      <c r="H49" s="27" t="s">
        <v>245</v>
      </c>
      <c r="I49" s="27" t="s">
        <v>336</v>
      </c>
      <c r="J49" s="27" t="s">
        <v>70</v>
      </c>
      <c r="K49" s="27" t="s">
        <v>331</v>
      </c>
      <c r="L49" s="29" t="s">
        <v>273</v>
      </c>
      <c r="M49" s="29" t="s">
        <v>239</v>
      </c>
      <c r="N49" s="30"/>
      <c r="O49" s="28" t="s">
        <v>327</v>
      </c>
      <c r="P49" s="27" t="s">
        <v>73</v>
      </c>
      <c r="Q49" s="27"/>
      <c r="R49" s="27"/>
      <c r="S49" s="27">
        <v>68</v>
      </c>
      <c r="T49" s="27">
        <f>IF(D49=Table!$C$3,V49*Table!$C$4/8,V49*Table!$D$4/8)</f>
        <v>65</v>
      </c>
      <c r="U49" s="27">
        <f t="shared" ref="U49:U51" si="11">T49</f>
        <v>65</v>
      </c>
      <c r="V49" s="27">
        <v>4</v>
      </c>
      <c r="W49" s="27">
        <v>4</v>
      </c>
      <c r="X49" s="27" t="s">
        <v>19</v>
      </c>
      <c r="Y49" s="31">
        <v>43906</v>
      </c>
      <c r="Z49" s="31">
        <v>43909</v>
      </c>
      <c r="AA49" s="31">
        <v>43908</v>
      </c>
      <c r="AB49" s="31">
        <v>43908</v>
      </c>
      <c r="AC49" s="31" t="s">
        <v>206</v>
      </c>
      <c r="AD49" s="27">
        <v>95</v>
      </c>
      <c r="AE49" s="27">
        <v>95</v>
      </c>
      <c r="AF49" s="27">
        <v>100</v>
      </c>
      <c r="AG49" s="41" t="s">
        <v>461</v>
      </c>
      <c r="AH49" s="27"/>
    </row>
    <row r="50" spans="2:38" x14ac:dyDescent="0.35">
      <c r="B50" s="30">
        <v>48</v>
      </c>
      <c r="C50" s="28">
        <v>20200316</v>
      </c>
      <c r="D50" s="27" t="s">
        <v>2</v>
      </c>
      <c r="E50" s="27" t="s">
        <v>289</v>
      </c>
      <c r="F50" s="29" t="s">
        <v>314</v>
      </c>
      <c r="G50" s="27" t="s">
        <v>157</v>
      </c>
      <c r="H50" s="27" t="s">
        <v>251</v>
      </c>
      <c r="I50" s="27" t="s">
        <v>336</v>
      </c>
      <c r="J50" s="27" t="s">
        <v>70</v>
      </c>
      <c r="K50" s="27" t="s">
        <v>331</v>
      </c>
      <c r="L50" s="29" t="s">
        <v>271</v>
      </c>
      <c r="M50" s="29" t="s">
        <v>239</v>
      </c>
      <c r="N50" s="30"/>
      <c r="O50" s="28" t="s">
        <v>327</v>
      </c>
      <c r="P50" s="27" t="s">
        <v>73</v>
      </c>
      <c r="Q50" s="27"/>
      <c r="R50" s="27"/>
      <c r="S50" s="27">
        <v>76</v>
      </c>
      <c r="T50" s="27">
        <f>IF(D50=Table!$C$3,V50*Table!$C$4/8,V50*Table!$D$4/8)</f>
        <v>65</v>
      </c>
      <c r="U50" s="27">
        <f t="shared" si="11"/>
        <v>65</v>
      </c>
      <c r="V50" s="27">
        <v>4</v>
      </c>
      <c r="W50" s="27">
        <v>4</v>
      </c>
      <c r="X50" s="27" t="s">
        <v>19</v>
      </c>
      <c r="Y50" s="31">
        <v>43906</v>
      </c>
      <c r="Z50" s="31">
        <v>43909</v>
      </c>
      <c r="AA50" s="31">
        <v>43908</v>
      </c>
      <c r="AB50" s="31">
        <v>43908</v>
      </c>
      <c r="AC50" s="31" t="s">
        <v>206</v>
      </c>
      <c r="AD50" s="27">
        <v>85.7</v>
      </c>
      <c r="AE50" s="27">
        <v>86.2</v>
      </c>
      <c r="AF50" s="27">
        <v>50</v>
      </c>
      <c r="AG50" s="41" t="s">
        <v>462</v>
      </c>
      <c r="AH50" s="27"/>
    </row>
    <row r="51" spans="2:38" x14ac:dyDescent="0.35">
      <c r="B51" s="30">
        <v>49</v>
      </c>
      <c r="C51" s="28">
        <v>20200316</v>
      </c>
      <c r="D51" s="27" t="s">
        <v>2</v>
      </c>
      <c r="E51" s="27" t="s">
        <v>289</v>
      </c>
      <c r="F51" s="29" t="s">
        <v>287</v>
      </c>
      <c r="G51" s="27" t="s">
        <v>306</v>
      </c>
      <c r="H51" s="27" t="s">
        <v>260</v>
      </c>
      <c r="I51" s="27" t="s">
        <v>336</v>
      </c>
      <c r="J51" s="27" t="s">
        <v>70</v>
      </c>
      <c r="K51" s="27" t="s">
        <v>331</v>
      </c>
      <c r="L51" s="29" t="s">
        <v>282</v>
      </c>
      <c r="M51" s="29" t="s">
        <v>239</v>
      </c>
      <c r="N51" s="30"/>
      <c r="O51" s="28" t="s">
        <v>327</v>
      </c>
      <c r="P51" s="27" t="s">
        <v>73</v>
      </c>
      <c r="Q51" s="27"/>
      <c r="R51" s="27"/>
      <c r="S51" s="27">
        <v>68</v>
      </c>
      <c r="T51" s="27">
        <f>IF(D51=Table!$C$3,V51*Table!$C$4/8,V51*Table!$D$4/8)</f>
        <v>65</v>
      </c>
      <c r="U51" s="27">
        <f t="shared" si="11"/>
        <v>65</v>
      </c>
      <c r="V51" s="27">
        <v>4</v>
      </c>
      <c r="W51" s="27">
        <v>4</v>
      </c>
      <c r="X51" s="27" t="s">
        <v>19</v>
      </c>
      <c r="Y51" s="31">
        <v>43906</v>
      </c>
      <c r="Z51" s="31">
        <v>43909</v>
      </c>
      <c r="AA51" s="31">
        <v>43909</v>
      </c>
      <c r="AB51" s="31">
        <v>43909</v>
      </c>
      <c r="AC51" s="31" t="s">
        <v>205</v>
      </c>
      <c r="AD51" s="27">
        <v>100</v>
      </c>
      <c r="AE51" s="27">
        <v>100</v>
      </c>
      <c r="AF51" s="27">
        <v>51.7</v>
      </c>
      <c r="AG51" s="27"/>
      <c r="AH51" s="27"/>
    </row>
    <row r="52" spans="2:38" x14ac:dyDescent="0.35">
      <c r="B52" s="30">
        <v>50</v>
      </c>
      <c r="C52" s="28">
        <v>20200316</v>
      </c>
      <c r="D52" s="27" t="s">
        <v>2</v>
      </c>
      <c r="E52" s="27" t="s">
        <v>289</v>
      </c>
      <c r="F52" s="29" t="s">
        <v>314</v>
      </c>
      <c r="G52" s="27" t="s">
        <v>300</v>
      </c>
      <c r="H52" s="27" t="s">
        <v>244</v>
      </c>
      <c r="I52" s="27" t="s">
        <v>337</v>
      </c>
      <c r="J52" s="27" t="s">
        <v>70</v>
      </c>
      <c r="K52" s="27" t="s">
        <v>331</v>
      </c>
      <c r="L52" s="29" t="s">
        <v>268</v>
      </c>
      <c r="M52" s="29" t="s">
        <v>239</v>
      </c>
      <c r="N52" s="30"/>
      <c r="O52" s="28" t="s">
        <v>327</v>
      </c>
      <c r="P52" s="27" t="s">
        <v>6</v>
      </c>
      <c r="Q52" s="27"/>
      <c r="R52" s="27"/>
      <c r="S52" s="27">
        <v>50</v>
      </c>
      <c r="T52" s="27">
        <f>IF(D52=Table!$C$3,V52*Table!$C$4/8,V52*Table!$D$4/8)</f>
        <v>52</v>
      </c>
      <c r="U52" s="27">
        <v>76</v>
      </c>
      <c r="V52" s="27">
        <v>3.2</v>
      </c>
      <c r="W52" s="27">
        <v>2</v>
      </c>
      <c r="X52" s="27" t="s">
        <v>22</v>
      </c>
      <c r="Y52" s="31">
        <v>43906</v>
      </c>
      <c r="Z52" s="31">
        <v>43909</v>
      </c>
      <c r="AA52" s="31">
        <v>43908</v>
      </c>
      <c r="AB52" s="31">
        <v>43908</v>
      </c>
      <c r="AC52" s="31" t="s">
        <v>205</v>
      </c>
      <c r="AD52" s="59">
        <v>0.88900000000000001</v>
      </c>
      <c r="AE52" s="59">
        <v>0.89300000000000002</v>
      </c>
      <c r="AF52" s="59" t="s">
        <v>220</v>
      </c>
      <c r="AG52" s="27" t="s">
        <v>343</v>
      </c>
      <c r="AH52" s="27"/>
    </row>
    <row r="53" spans="2:38" x14ac:dyDescent="0.35">
      <c r="B53" s="30">
        <v>51</v>
      </c>
      <c r="C53" s="28">
        <v>20200316</v>
      </c>
      <c r="D53" s="27" t="s">
        <v>2</v>
      </c>
      <c r="E53" s="27" t="s">
        <v>289</v>
      </c>
      <c r="F53" s="29" t="s">
        <v>314</v>
      </c>
      <c r="G53" s="27" t="s">
        <v>299</v>
      </c>
      <c r="H53" s="27" t="s">
        <v>243</v>
      </c>
      <c r="I53" s="27" t="s">
        <v>336</v>
      </c>
      <c r="J53" s="27" t="s">
        <v>70</v>
      </c>
      <c r="K53" s="27" t="s">
        <v>331</v>
      </c>
      <c r="L53" s="29" t="s">
        <v>272</v>
      </c>
      <c r="M53" s="29" t="s">
        <v>239</v>
      </c>
      <c r="N53" s="30"/>
      <c r="O53" s="28" t="s">
        <v>327</v>
      </c>
      <c r="P53" s="27" t="s">
        <v>73</v>
      </c>
      <c r="Q53" s="27"/>
      <c r="R53" s="27"/>
      <c r="S53" s="27">
        <v>94</v>
      </c>
      <c r="T53" s="27">
        <f>IF(D53=Table!$C$3,V53*Table!$C$4/8,V53*Table!$D$4/8)</f>
        <v>84.5</v>
      </c>
      <c r="U53" s="27">
        <f t="shared" ref="U53:U54" si="12">T53</f>
        <v>84.5</v>
      </c>
      <c r="V53" s="27">
        <v>5.2</v>
      </c>
      <c r="W53" s="27">
        <v>5.2</v>
      </c>
      <c r="X53" s="27" t="s">
        <v>19</v>
      </c>
      <c r="Y53" s="31">
        <v>43906</v>
      </c>
      <c r="Z53" s="31">
        <v>43909</v>
      </c>
      <c r="AA53" s="31">
        <v>43909</v>
      </c>
      <c r="AB53" s="31">
        <v>43909</v>
      </c>
      <c r="AC53" s="31" t="s">
        <v>206</v>
      </c>
      <c r="AD53" s="27">
        <v>90.4</v>
      </c>
      <c r="AE53" s="27">
        <v>90.5</v>
      </c>
      <c r="AF53" s="27">
        <v>70</v>
      </c>
      <c r="AG53" s="41" t="s">
        <v>463</v>
      </c>
      <c r="AH53" s="27"/>
    </row>
    <row r="54" spans="2:38" x14ac:dyDescent="0.35">
      <c r="B54" s="30">
        <v>52</v>
      </c>
      <c r="C54" s="28">
        <v>20200316</v>
      </c>
      <c r="D54" s="27" t="s">
        <v>2</v>
      </c>
      <c r="E54" s="27" t="s">
        <v>289</v>
      </c>
      <c r="F54" s="29" t="s">
        <v>314</v>
      </c>
      <c r="G54" s="27" t="s">
        <v>147</v>
      </c>
      <c r="H54" s="27" t="s">
        <v>246</v>
      </c>
      <c r="I54" s="27" t="s">
        <v>336</v>
      </c>
      <c r="J54" s="27" t="s">
        <v>70</v>
      </c>
      <c r="K54" s="27" t="s">
        <v>331</v>
      </c>
      <c r="L54" s="29" t="s">
        <v>274</v>
      </c>
      <c r="M54" s="29" t="s">
        <v>239</v>
      </c>
      <c r="N54" s="30"/>
      <c r="O54" s="28" t="s">
        <v>327</v>
      </c>
      <c r="P54" s="27" t="s">
        <v>73</v>
      </c>
      <c r="Q54" s="27"/>
      <c r="R54" s="27"/>
      <c r="S54" s="27">
        <v>81</v>
      </c>
      <c r="T54" s="27">
        <f>IF(D54=Table!$C$3,V54*Table!$C$4/8,V54*Table!$D$4/8)</f>
        <v>84.5</v>
      </c>
      <c r="U54" s="27">
        <f t="shared" si="12"/>
        <v>84.5</v>
      </c>
      <c r="V54" s="27">
        <v>5.2</v>
      </c>
      <c r="W54" s="27">
        <v>5.2</v>
      </c>
      <c r="X54" s="27" t="s">
        <v>19</v>
      </c>
      <c r="Y54" s="31">
        <v>43906</v>
      </c>
      <c r="Z54" s="31">
        <v>43909</v>
      </c>
      <c r="AA54" s="31">
        <v>43909</v>
      </c>
      <c r="AB54" s="31">
        <v>43909</v>
      </c>
      <c r="AC54" s="31" t="s">
        <v>206</v>
      </c>
      <c r="AD54" s="27">
        <v>87.8</v>
      </c>
      <c r="AE54" s="27">
        <v>88.5</v>
      </c>
      <c r="AF54" s="27">
        <v>50</v>
      </c>
      <c r="AG54" s="41" t="s">
        <v>464</v>
      </c>
      <c r="AH54" s="27"/>
    </row>
    <row r="55" spans="2:38" x14ac:dyDescent="0.35">
      <c r="B55" s="30">
        <v>53</v>
      </c>
      <c r="C55" s="28">
        <v>20200316</v>
      </c>
      <c r="D55" s="27" t="s">
        <v>2</v>
      </c>
      <c r="E55" s="27" t="s">
        <v>289</v>
      </c>
      <c r="F55" s="29" t="s">
        <v>314</v>
      </c>
      <c r="G55" s="27" t="s">
        <v>148</v>
      </c>
      <c r="H55" s="27" t="s">
        <v>247</v>
      </c>
      <c r="I55" s="27" t="s">
        <v>336</v>
      </c>
      <c r="J55" s="27" t="s">
        <v>70</v>
      </c>
      <c r="K55" s="27" t="s">
        <v>331</v>
      </c>
      <c r="L55" s="29" t="s">
        <v>275</v>
      </c>
      <c r="M55" s="29" t="s">
        <v>239</v>
      </c>
      <c r="N55" s="30"/>
      <c r="O55" s="28" t="s">
        <v>327</v>
      </c>
      <c r="P55" s="27" t="s">
        <v>75</v>
      </c>
      <c r="Q55" s="27"/>
      <c r="R55" s="27"/>
      <c r="S55" s="27">
        <v>100</v>
      </c>
      <c r="T55" s="27">
        <f>IF(D55=Table!$C$3,V55*Table!$C$4/8,V55*Table!$D$4/8)</f>
        <v>84.5</v>
      </c>
      <c r="U55" s="27">
        <f t="shared" ref="U55:U62" si="13">T55</f>
        <v>84.5</v>
      </c>
      <c r="V55" s="27">
        <v>5.2</v>
      </c>
      <c r="W55" s="27">
        <v>6</v>
      </c>
      <c r="X55" s="27" t="s">
        <v>19</v>
      </c>
      <c r="Y55" s="31">
        <v>43906</v>
      </c>
      <c r="Z55" s="31">
        <v>43909</v>
      </c>
      <c r="AA55" s="31">
        <v>43908</v>
      </c>
      <c r="AB55" s="31">
        <v>43908</v>
      </c>
      <c r="AC55" s="31" t="s">
        <v>206</v>
      </c>
      <c r="AD55" s="59">
        <v>0.85699999999999998</v>
      </c>
      <c r="AE55" s="59">
        <v>0.85699999999999998</v>
      </c>
      <c r="AF55" s="59">
        <v>0.53300000000000003</v>
      </c>
      <c r="AG55" s="27" t="s">
        <v>476</v>
      </c>
      <c r="AH55" s="27"/>
    </row>
    <row r="56" spans="2:38" s="54" customFormat="1" x14ac:dyDescent="0.35">
      <c r="B56" s="30">
        <v>54</v>
      </c>
      <c r="C56" s="55">
        <v>20200316</v>
      </c>
      <c r="D56" s="55" t="s">
        <v>2</v>
      </c>
      <c r="E56" s="55" t="s">
        <v>289</v>
      </c>
      <c r="F56" s="56" t="s">
        <v>314</v>
      </c>
      <c r="G56" s="55" t="s">
        <v>155</v>
      </c>
      <c r="H56" s="55" t="s">
        <v>249</v>
      </c>
      <c r="I56" s="55" t="s">
        <v>336</v>
      </c>
      <c r="J56" s="55" t="s">
        <v>70</v>
      </c>
      <c r="K56" s="55" t="s">
        <v>331</v>
      </c>
      <c r="L56" s="56" t="s">
        <v>276</v>
      </c>
      <c r="M56" s="29" t="s">
        <v>239</v>
      </c>
      <c r="N56" s="30"/>
      <c r="O56" s="55" t="s">
        <v>328</v>
      </c>
      <c r="P56" s="55" t="s">
        <v>75</v>
      </c>
      <c r="Q56" s="55"/>
      <c r="R56" s="55"/>
      <c r="S56" s="55">
        <v>48</v>
      </c>
      <c r="T56" s="55">
        <f>IF(D56=Table!$C$3,V56*Table!$C$4/8,V56*Table!$D$4/8)</f>
        <v>52</v>
      </c>
      <c r="U56" s="55">
        <f t="shared" si="13"/>
        <v>52</v>
      </c>
      <c r="V56" s="55">
        <v>3.2</v>
      </c>
      <c r="W56" s="55">
        <v>6</v>
      </c>
      <c r="X56" s="28" t="s">
        <v>19</v>
      </c>
      <c r="Y56" s="31">
        <v>43906</v>
      </c>
      <c r="Z56" s="57">
        <v>43909</v>
      </c>
      <c r="AA56" s="57">
        <v>43908</v>
      </c>
      <c r="AB56" s="57">
        <v>43908</v>
      </c>
      <c r="AC56" s="57" t="s">
        <v>205</v>
      </c>
      <c r="AD56" s="60">
        <v>0.96400000000000008</v>
      </c>
      <c r="AE56" s="60">
        <v>0.96400000000000008</v>
      </c>
      <c r="AF56" s="60" t="s">
        <v>220</v>
      </c>
      <c r="AG56" s="55" t="s">
        <v>342</v>
      </c>
      <c r="AH56" s="55"/>
      <c r="AJ56"/>
      <c r="AK56"/>
      <c r="AL56"/>
    </row>
    <row r="57" spans="2:38" x14ac:dyDescent="0.35">
      <c r="B57" s="30">
        <v>55</v>
      </c>
      <c r="C57" s="28">
        <v>20200316</v>
      </c>
      <c r="D57" s="27" t="s">
        <v>2</v>
      </c>
      <c r="E57" s="27" t="s">
        <v>289</v>
      </c>
      <c r="F57" s="29" t="s">
        <v>314</v>
      </c>
      <c r="G57" s="27" t="s">
        <v>156</v>
      </c>
      <c r="H57" s="27" t="s">
        <v>250</v>
      </c>
      <c r="I57" s="27" t="s">
        <v>337</v>
      </c>
      <c r="J57" s="27" t="s">
        <v>70</v>
      </c>
      <c r="K57" s="27" t="s">
        <v>331</v>
      </c>
      <c r="L57" s="29" t="s">
        <v>277</v>
      </c>
      <c r="M57" s="29" t="s">
        <v>239</v>
      </c>
      <c r="N57" s="30"/>
      <c r="O57" s="28" t="s">
        <v>328</v>
      </c>
      <c r="P57" s="27" t="s">
        <v>6</v>
      </c>
      <c r="Q57" s="27"/>
      <c r="R57" s="27"/>
      <c r="S57" s="27">
        <v>21</v>
      </c>
      <c r="T57" s="55">
        <f>IF(D57=Table!$C$3,V57*Table!$C$4/8,V57*Table!$D$4/8)</f>
        <v>26</v>
      </c>
      <c r="U57" s="55">
        <f t="shared" si="13"/>
        <v>26</v>
      </c>
      <c r="V57" s="27">
        <v>1.6</v>
      </c>
      <c r="W57" s="27">
        <v>2</v>
      </c>
      <c r="X57" s="28" t="s">
        <v>19</v>
      </c>
      <c r="Y57" s="31">
        <v>43906</v>
      </c>
      <c r="Z57" s="31">
        <v>43909</v>
      </c>
      <c r="AA57" s="31">
        <v>43909</v>
      </c>
      <c r="AB57" s="31">
        <v>43909</v>
      </c>
      <c r="AC57" s="57" t="s">
        <v>205</v>
      </c>
      <c r="AD57" s="59">
        <v>0.75</v>
      </c>
      <c r="AE57" s="59">
        <v>0.75</v>
      </c>
      <c r="AF57" s="59" t="s">
        <v>220</v>
      </c>
      <c r="AG57" s="27" t="s">
        <v>465</v>
      </c>
      <c r="AH57" s="27"/>
    </row>
    <row r="58" spans="2:38" s="54" customFormat="1" x14ac:dyDescent="0.35">
      <c r="B58" s="30">
        <v>56</v>
      </c>
      <c r="C58" s="55">
        <v>20200316</v>
      </c>
      <c r="D58" s="55" t="s">
        <v>2</v>
      </c>
      <c r="E58" s="55" t="s">
        <v>289</v>
      </c>
      <c r="F58" s="56" t="s">
        <v>314</v>
      </c>
      <c r="G58" s="55" t="s">
        <v>152</v>
      </c>
      <c r="H58" s="55" t="s">
        <v>248</v>
      </c>
      <c r="I58" s="55" t="s">
        <v>336</v>
      </c>
      <c r="J58" s="55" t="s">
        <v>70</v>
      </c>
      <c r="K58" s="55" t="s">
        <v>331</v>
      </c>
      <c r="L58" s="56" t="s">
        <v>276</v>
      </c>
      <c r="M58" s="29" t="s">
        <v>239</v>
      </c>
      <c r="N58" s="30"/>
      <c r="O58" s="55" t="s">
        <v>328</v>
      </c>
      <c r="P58" s="55" t="s">
        <v>75</v>
      </c>
      <c r="Q58" s="55"/>
      <c r="R58" s="55"/>
      <c r="S58" s="55">
        <v>84</v>
      </c>
      <c r="T58" s="55">
        <f>IF(D58=Table!$C$3,V58*Table!$C$4/8,V58*Table!$D$4/8)</f>
        <v>84.5</v>
      </c>
      <c r="U58" s="55">
        <f t="shared" si="13"/>
        <v>84.5</v>
      </c>
      <c r="V58" s="55">
        <v>5.2</v>
      </c>
      <c r="W58" s="55">
        <v>6</v>
      </c>
      <c r="X58" s="28" t="s">
        <v>19</v>
      </c>
      <c r="Y58" s="31">
        <v>43906</v>
      </c>
      <c r="Z58" s="57">
        <v>43909</v>
      </c>
      <c r="AA58" s="57">
        <v>43908</v>
      </c>
      <c r="AB58" s="57">
        <v>43908</v>
      </c>
      <c r="AC58" s="57" t="s">
        <v>205</v>
      </c>
      <c r="AD58" s="60">
        <v>0.92200000000000004</v>
      </c>
      <c r="AE58" s="60">
        <v>0.92299999999999993</v>
      </c>
      <c r="AF58" s="60" t="s">
        <v>220</v>
      </c>
      <c r="AG58" s="55" t="s">
        <v>341</v>
      </c>
      <c r="AH58" s="55"/>
      <c r="AJ58"/>
      <c r="AK58"/>
      <c r="AL58"/>
    </row>
    <row r="59" spans="2:38" x14ac:dyDescent="0.35">
      <c r="B59" s="30">
        <v>57</v>
      </c>
      <c r="C59" s="28">
        <v>20200316</v>
      </c>
      <c r="D59" s="27" t="s">
        <v>2</v>
      </c>
      <c r="E59" s="27" t="s">
        <v>289</v>
      </c>
      <c r="F59" s="29" t="s">
        <v>314</v>
      </c>
      <c r="G59" s="27" t="s">
        <v>302</v>
      </c>
      <c r="H59" s="27" t="s">
        <v>252</v>
      </c>
      <c r="I59" s="27" t="s">
        <v>337</v>
      </c>
      <c r="J59" s="27" t="s">
        <v>70</v>
      </c>
      <c r="K59" s="27" t="s">
        <v>331</v>
      </c>
      <c r="L59" s="29" t="s">
        <v>276</v>
      </c>
      <c r="M59" s="29" t="s">
        <v>239</v>
      </c>
      <c r="N59" s="30"/>
      <c r="O59" s="28" t="s">
        <v>328</v>
      </c>
      <c r="P59" s="27" t="s">
        <v>75</v>
      </c>
      <c r="Q59" s="27"/>
      <c r="R59" s="27"/>
      <c r="S59" s="27">
        <v>30</v>
      </c>
      <c r="T59" s="55">
        <f>IF(D59=Table!$C$3,V59*Table!$C$4/8,V59*Table!$D$4/8)</f>
        <v>39</v>
      </c>
      <c r="U59" s="55">
        <f t="shared" si="13"/>
        <v>39</v>
      </c>
      <c r="V59" s="27">
        <v>2.4</v>
      </c>
      <c r="W59" s="27">
        <v>4</v>
      </c>
      <c r="X59" s="28" t="s">
        <v>19</v>
      </c>
      <c r="Y59" s="31">
        <v>43906</v>
      </c>
      <c r="Z59" s="31">
        <v>43909</v>
      </c>
      <c r="AA59" s="31">
        <v>43909</v>
      </c>
      <c r="AB59" s="31">
        <v>43909</v>
      </c>
      <c r="AC59" s="31" t="s">
        <v>205</v>
      </c>
      <c r="AD59" s="59">
        <v>1</v>
      </c>
      <c r="AE59" s="59">
        <v>1</v>
      </c>
      <c r="AF59" s="59">
        <v>1</v>
      </c>
      <c r="AG59" s="27"/>
      <c r="AH59" s="27"/>
    </row>
    <row r="60" spans="2:38" s="54" customFormat="1" x14ac:dyDescent="0.35">
      <c r="B60" s="30">
        <v>58</v>
      </c>
      <c r="C60" s="55">
        <v>20200316</v>
      </c>
      <c r="D60" s="55" t="s">
        <v>2</v>
      </c>
      <c r="E60" s="55" t="s">
        <v>289</v>
      </c>
      <c r="F60" s="56" t="s">
        <v>287</v>
      </c>
      <c r="G60" s="55" t="s">
        <v>310</v>
      </c>
      <c r="H60" s="55" t="s">
        <v>264</v>
      </c>
      <c r="I60" s="55" t="s">
        <v>337</v>
      </c>
      <c r="J60" s="55" t="s">
        <v>70</v>
      </c>
      <c r="K60" s="55" t="s">
        <v>331</v>
      </c>
      <c r="L60" s="56" t="s">
        <v>284</v>
      </c>
      <c r="M60" s="29" t="s">
        <v>239</v>
      </c>
      <c r="N60" s="30"/>
      <c r="O60" s="55" t="s">
        <v>328</v>
      </c>
      <c r="P60" s="55" t="s">
        <v>75</v>
      </c>
      <c r="Q60" s="55"/>
      <c r="R60" s="55"/>
      <c r="S60" s="55">
        <v>101</v>
      </c>
      <c r="T60" s="55">
        <f>IF(D60=Table!$C$3,V60*Table!$C$4/8,V60*Table!$D$4/8)</f>
        <v>84.5</v>
      </c>
      <c r="U60" s="55">
        <f t="shared" si="13"/>
        <v>84.5</v>
      </c>
      <c r="V60" s="55">
        <v>5.2</v>
      </c>
      <c r="W60" s="55">
        <v>6</v>
      </c>
      <c r="X60" s="28" t="s">
        <v>19</v>
      </c>
      <c r="Y60" s="31">
        <v>43906</v>
      </c>
      <c r="Z60" s="57">
        <v>43909</v>
      </c>
      <c r="AA60" s="57">
        <v>43908</v>
      </c>
      <c r="AB60" s="57">
        <v>43908</v>
      </c>
      <c r="AC60" s="57" t="s">
        <v>205</v>
      </c>
      <c r="AD60" s="60">
        <v>0.98099999999999998</v>
      </c>
      <c r="AE60" s="60">
        <v>0.98199999999999998</v>
      </c>
      <c r="AF60" s="60" t="s">
        <v>220</v>
      </c>
      <c r="AG60" s="58" t="s">
        <v>340</v>
      </c>
      <c r="AH60" s="55"/>
      <c r="AJ60"/>
      <c r="AK60"/>
      <c r="AL60"/>
    </row>
    <row r="61" spans="2:38" x14ac:dyDescent="0.35">
      <c r="B61" s="30">
        <v>59</v>
      </c>
      <c r="C61" s="28">
        <v>20200316</v>
      </c>
      <c r="D61" s="27" t="s">
        <v>2</v>
      </c>
      <c r="E61" s="27" t="s">
        <v>289</v>
      </c>
      <c r="F61" s="29" t="s">
        <v>314</v>
      </c>
      <c r="G61" s="27" t="s">
        <v>159</v>
      </c>
      <c r="H61" s="27" t="s">
        <v>254</v>
      </c>
      <c r="I61" s="27" t="s">
        <v>337</v>
      </c>
      <c r="J61" s="27" t="s">
        <v>70</v>
      </c>
      <c r="K61" s="27" t="s">
        <v>331</v>
      </c>
      <c r="L61" s="29" t="s">
        <v>278</v>
      </c>
      <c r="M61" s="29" t="s">
        <v>239</v>
      </c>
      <c r="N61" s="30"/>
      <c r="O61" s="28" t="s">
        <v>328</v>
      </c>
      <c r="P61" s="27" t="s">
        <v>75</v>
      </c>
      <c r="Q61" s="27"/>
      <c r="R61" s="27"/>
      <c r="S61" s="27">
        <v>36</v>
      </c>
      <c r="T61" s="55">
        <f>IF(D61=Table!$C$3,V61*Table!$C$4/8,V61*Table!$D$4/8)</f>
        <v>39</v>
      </c>
      <c r="U61" s="55">
        <f t="shared" si="13"/>
        <v>39</v>
      </c>
      <c r="V61" s="27">
        <v>2.4</v>
      </c>
      <c r="W61" s="27">
        <v>3</v>
      </c>
      <c r="X61" s="28" t="s">
        <v>19</v>
      </c>
      <c r="Y61" s="31">
        <v>43906</v>
      </c>
      <c r="Z61" s="31">
        <v>43909</v>
      </c>
      <c r="AA61" s="31">
        <v>43909</v>
      </c>
      <c r="AB61" s="31">
        <v>43909</v>
      </c>
      <c r="AC61" s="31" t="s">
        <v>205</v>
      </c>
      <c r="AD61" s="59">
        <v>1</v>
      </c>
      <c r="AE61" s="59">
        <v>1</v>
      </c>
      <c r="AF61" s="59">
        <v>0.5</v>
      </c>
      <c r="AG61" s="27"/>
      <c r="AH61" s="27"/>
    </row>
    <row r="62" spans="2:38" x14ac:dyDescent="0.35">
      <c r="B62" s="30">
        <v>60</v>
      </c>
      <c r="C62" s="28">
        <v>20200316</v>
      </c>
      <c r="D62" s="27" t="s">
        <v>2</v>
      </c>
      <c r="E62" s="27" t="s">
        <v>289</v>
      </c>
      <c r="F62" s="29" t="s">
        <v>314</v>
      </c>
      <c r="G62" s="27" t="s">
        <v>160</v>
      </c>
      <c r="H62" s="27" t="s">
        <v>255</v>
      </c>
      <c r="I62" s="27" t="s">
        <v>337</v>
      </c>
      <c r="J62" s="27" t="s">
        <v>70</v>
      </c>
      <c r="K62" s="27" t="s">
        <v>331</v>
      </c>
      <c r="L62" s="29" t="s">
        <v>279</v>
      </c>
      <c r="M62" s="29" t="s">
        <v>239</v>
      </c>
      <c r="N62" s="30"/>
      <c r="O62" s="28" t="s">
        <v>328</v>
      </c>
      <c r="P62" s="27" t="s">
        <v>75</v>
      </c>
      <c r="Q62" s="27"/>
      <c r="R62" s="27"/>
      <c r="S62" s="27">
        <v>48</v>
      </c>
      <c r="T62" s="55">
        <f>IF(D62=Table!$C$3,V62*Table!$C$4/8,V62*Table!$D$4/8)</f>
        <v>52</v>
      </c>
      <c r="U62" s="55">
        <f t="shared" si="13"/>
        <v>52</v>
      </c>
      <c r="V62" s="27">
        <v>3.2</v>
      </c>
      <c r="W62" s="27">
        <v>3</v>
      </c>
      <c r="X62" s="28" t="s">
        <v>19</v>
      </c>
      <c r="Y62" s="31">
        <v>43906</v>
      </c>
      <c r="Z62" s="31">
        <v>43909</v>
      </c>
      <c r="AA62" s="31">
        <v>43909</v>
      </c>
      <c r="AB62" s="31">
        <v>43910</v>
      </c>
      <c r="AC62" s="31" t="s">
        <v>205</v>
      </c>
      <c r="AD62" s="59">
        <v>0.91200000000000003</v>
      </c>
      <c r="AE62" s="59">
        <v>0.91200000000000003</v>
      </c>
      <c r="AF62" s="59" t="s">
        <v>220</v>
      </c>
      <c r="AG62" s="27" t="s">
        <v>477</v>
      </c>
      <c r="AH62" s="27"/>
    </row>
    <row r="63" spans="2:38" x14ac:dyDescent="0.35">
      <c r="B63" s="30">
        <v>61</v>
      </c>
      <c r="C63" s="28">
        <v>20200316</v>
      </c>
      <c r="D63" s="27" t="s">
        <v>2</v>
      </c>
      <c r="E63" s="27" t="s">
        <v>289</v>
      </c>
      <c r="F63" s="29" t="s">
        <v>314</v>
      </c>
      <c r="G63" s="27" t="s">
        <v>303</v>
      </c>
      <c r="H63" s="27" t="s">
        <v>256</v>
      </c>
      <c r="I63" s="27" t="s">
        <v>337</v>
      </c>
      <c r="J63" s="27" t="s">
        <v>70</v>
      </c>
      <c r="K63" s="27" t="s">
        <v>331</v>
      </c>
      <c r="L63" s="29" t="s">
        <v>274</v>
      </c>
      <c r="M63" s="29" t="s">
        <v>239</v>
      </c>
      <c r="N63" s="30"/>
      <c r="O63" s="28" t="s">
        <v>329</v>
      </c>
      <c r="P63" s="27" t="s">
        <v>74</v>
      </c>
      <c r="Q63" s="27"/>
      <c r="R63" s="27"/>
      <c r="S63" s="27">
        <v>31</v>
      </c>
      <c r="T63" s="55">
        <f>IF(D63=Table!$C$3,V63*Table!$C$4/8,V63*Table!$D$4/8)</f>
        <v>39</v>
      </c>
      <c r="U63" s="27">
        <f t="shared" ref="U63" si="14">T63</f>
        <v>39</v>
      </c>
      <c r="V63" s="27">
        <v>2.4</v>
      </c>
      <c r="W63" s="27">
        <v>2</v>
      </c>
      <c r="X63" s="27" t="s">
        <v>19</v>
      </c>
      <c r="Y63" s="31">
        <v>43906</v>
      </c>
      <c r="Z63" s="31">
        <v>43909</v>
      </c>
      <c r="AA63" s="31">
        <v>43907</v>
      </c>
      <c r="AB63" s="31">
        <v>43907</v>
      </c>
      <c r="AC63" s="31" t="s">
        <v>205</v>
      </c>
      <c r="AD63" s="59">
        <v>1</v>
      </c>
      <c r="AE63" s="59">
        <v>1</v>
      </c>
      <c r="AF63" s="59" t="s">
        <v>220</v>
      </c>
      <c r="AG63" s="27"/>
      <c r="AH63" s="27"/>
    </row>
    <row r="64" spans="2:38" x14ac:dyDescent="0.35">
      <c r="B64" s="30">
        <v>62</v>
      </c>
      <c r="C64" s="28">
        <v>20200316</v>
      </c>
      <c r="D64" s="27" t="s">
        <v>2</v>
      </c>
      <c r="E64" s="27" t="s">
        <v>289</v>
      </c>
      <c r="F64" s="29" t="s">
        <v>314</v>
      </c>
      <c r="G64" s="27" t="s">
        <v>161</v>
      </c>
      <c r="H64" s="27" t="s">
        <v>257</v>
      </c>
      <c r="I64" s="27" t="s">
        <v>337</v>
      </c>
      <c r="J64" s="27" t="s">
        <v>70</v>
      </c>
      <c r="K64" s="27" t="s">
        <v>331</v>
      </c>
      <c r="L64" s="29" t="s">
        <v>277</v>
      </c>
      <c r="M64" s="29" t="s">
        <v>239</v>
      </c>
      <c r="N64" s="30"/>
      <c r="O64" s="28" t="s">
        <v>329</v>
      </c>
      <c r="P64" s="27" t="s">
        <v>74</v>
      </c>
      <c r="Q64" s="27"/>
      <c r="R64" s="27"/>
      <c r="S64" s="27">
        <v>27</v>
      </c>
      <c r="T64" s="55">
        <f>IF(D64=Table!$C$3,V64*Table!$C$4/8,V64*Table!$D$4/8)</f>
        <v>39</v>
      </c>
      <c r="U64" s="27">
        <f>T64</f>
        <v>39</v>
      </c>
      <c r="V64" s="27">
        <v>2.4</v>
      </c>
      <c r="W64" s="27">
        <v>2</v>
      </c>
      <c r="X64" s="27" t="s">
        <v>19</v>
      </c>
      <c r="Y64" s="31">
        <v>43906</v>
      </c>
      <c r="Z64" s="31">
        <v>43909</v>
      </c>
      <c r="AA64" s="31">
        <v>43908</v>
      </c>
      <c r="AB64" s="31">
        <v>43908</v>
      </c>
      <c r="AC64" s="31" t="s">
        <v>205</v>
      </c>
      <c r="AD64" s="59">
        <v>1</v>
      </c>
      <c r="AE64" s="59">
        <v>1</v>
      </c>
      <c r="AF64" s="59" t="s">
        <v>220</v>
      </c>
      <c r="AG64" s="27"/>
      <c r="AH64" s="27"/>
    </row>
    <row r="65" spans="2:34" x14ac:dyDescent="0.35">
      <c r="B65" s="30">
        <v>63</v>
      </c>
      <c r="C65" s="28">
        <v>20200316</v>
      </c>
      <c r="D65" s="27" t="s">
        <v>2</v>
      </c>
      <c r="E65" s="27" t="s">
        <v>289</v>
      </c>
      <c r="F65" s="29" t="s">
        <v>287</v>
      </c>
      <c r="G65" s="27" t="s">
        <v>304</v>
      </c>
      <c r="H65" s="27" t="s">
        <v>258</v>
      </c>
      <c r="I65" s="27" t="s">
        <v>337</v>
      </c>
      <c r="J65" s="27" t="s">
        <v>70</v>
      </c>
      <c r="K65" s="27" t="s">
        <v>331</v>
      </c>
      <c r="L65" s="29" t="s">
        <v>280</v>
      </c>
      <c r="M65" s="29" t="s">
        <v>239</v>
      </c>
      <c r="N65" s="30"/>
      <c r="O65" s="28" t="s">
        <v>329</v>
      </c>
      <c r="P65" s="27" t="s">
        <v>74</v>
      </c>
      <c r="Q65" s="27"/>
      <c r="R65" s="27"/>
      <c r="S65" s="27">
        <v>23</v>
      </c>
      <c r="T65" s="55">
        <f>IF(D65=Table!$C$3,V65*Table!$C$4/8,V65*Table!$D$4/8)</f>
        <v>26</v>
      </c>
      <c r="U65" s="27">
        <f t="shared" ref="U65:U66" si="15">T65</f>
        <v>26</v>
      </c>
      <c r="V65" s="27">
        <v>1.6</v>
      </c>
      <c r="W65" s="27">
        <v>1</v>
      </c>
      <c r="X65" s="27" t="s">
        <v>19</v>
      </c>
      <c r="Y65" s="31">
        <v>43906</v>
      </c>
      <c r="Z65" s="31">
        <v>43909</v>
      </c>
      <c r="AA65" s="31">
        <v>43907</v>
      </c>
      <c r="AB65" s="31">
        <v>43907</v>
      </c>
      <c r="AC65" s="31" t="s">
        <v>205</v>
      </c>
      <c r="AD65" s="59">
        <v>1</v>
      </c>
      <c r="AE65" s="59">
        <v>1</v>
      </c>
      <c r="AF65" s="59" t="s">
        <v>220</v>
      </c>
      <c r="AG65" s="27"/>
      <c r="AH65" s="27"/>
    </row>
    <row r="66" spans="2:34" x14ac:dyDescent="0.35">
      <c r="B66" s="30">
        <v>64</v>
      </c>
      <c r="C66" s="28">
        <v>20200316</v>
      </c>
      <c r="D66" s="27" t="s">
        <v>2</v>
      </c>
      <c r="E66" s="27" t="s">
        <v>289</v>
      </c>
      <c r="F66" s="29" t="s">
        <v>287</v>
      </c>
      <c r="G66" s="27" t="s">
        <v>305</v>
      </c>
      <c r="H66" s="27" t="s">
        <v>259</v>
      </c>
      <c r="I66" s="27" t="s">
        <v>336</v>
      </c>
      <c r="J66" s="27" t="s">
        <v>70</v>
      </c>
      <c r="K66" s="27" t="s">
        <v>331</v>
      </c>
      <c r="L66" s="29" t="s">
        <v>280</v>
      </c>
      <c r="M66" s="29" t="s">
        <v>239</v>
      </c>
      <c r="N66" s="30"/>
      <c r="O66" s="28" t="s">
        <v>329</v>
      </c>
      <c r="P66" s="27" t="s">
        <v>74</v>
      </c>
      <c r="Q66" s="27"/>
      <c r="R66" s="27"/>
      <c r="S66" s="27">
        <v>121</v>
      </c>
      <c r="T66" s="55">
        <f>IF(D66=Table!$C$3,V66*Table!$C$4/8,V66*Table!$D$4/8)</f>
        <v>104</v>
      </c>
      <c r="U66" s="27">
        <f t="shared" si="15"/>
        <v>104</v>
      </c>
      <c r="V66" s="27">
        <v>6.4</v>
      </c>
      <c r="W66" s="27">
        <v>6</v>
      </c>
      <c r="X66" s="27" t="s">
        <v>19</v>
      </c>
      <c r="Y66" s="31">
        <v>43906</v>
      </c>
      <c r="Z66" s="31">
        <v>43909</v>
      </c>
      <c r="AA66" s="31">
        <v>43907</v>
      </c>
      <c r="AB66" s="31">
        <v>43907</v>
      </c>
      <c r="AC66" s="31" t="s">
        <v>205</v>
      </c>
      <c r="AD66" s="59">
        <v>1</v>
      </c>
      <c r="AE66" s="59">
        <v>1</v>
      </c>
      <c r="AF66" s="59" t="s">
        <v>220</v>
      </c>
      <c r="AG66" s="27"/>
      <c r="AH66" s="27"/>
    </row>
    <row r="67" spans="2:34" x14ac:dyDescent="0.35">
      <c r="B67" s="30">
        <v>65</v>
      </c>
      <c r="C67" s="28">
        <v>20200316</v>
      </c>
      <c r="D67" s="27" t="s">
        <v>2</v>
      </c>
      <c r="E67" s="27" t="s">
        <v>289</v>
      </c>
      <c r="F67" s="29" t="s">
        <v>287</v>
      </c>
      <c r="G67" s="27" t="s">
        <v>307</v>
      </c>
      <c r="H67" s="27" t="s">
        <v>261</v>
      </c>
      <c r="I67" s="27" t="s">
        <v>337</v>
      </c>
      <c r="J67" s="27" t="s">
        <v>70</v>
      </c>
      <c r="K67" s="27" t="s">
        <v>331</v>
      </c>
      <c r="L67" s="29" t="s">
        <v>281</v>
      </c>
      <c r="M67" s="29" t="s">
        <v>239</v>
      </c>
      <c r="N67" s="30"/>
      <c r="O67" s="28" t="s">
        <v>329</v>
      </c>
      <c r="P67" s="27" t="s">
        <v>74</v>
      </c>
      <c r="Q67" s="27"/>
      <c r="R67" s="27"/>
      <c r="S67" s="27">
        <v>24</v>
      </c>
      <c r="T67" s="55">
        <f>IF(D67=Table!$C$3,V67*Table!$C$4/8,V67*Table!$D$4/8)</f>
        <v>26</v>
      </c>
      <c r="U67" s="27">
        <f t="shared" ref="U67" si="16">T67</f>
        <v>26</v>
      </c>
      <c r="V67" s="27">
        <v>1.6</v>
      </c>
      <c r="W67" s="27">
        <v>1.6</v>
      </c>
      <c r="X67" s="27" t="s">
        <v>19</v>
      </c>
      <c r="Y67" s="31">
        <v>43906</v>
      </c>
      <c r="Z67" s="31">
        <v>43909</v>
      </c>
      <c r="AA67" s="31">
        <v>43908</v>
      </c>
      <c r="AB67" s="31">
        <v>43908</v>
      </c>
      <c r="AC67" s="31" t="s">
        <v>205</v>
      </c>
      <c r="AD67" s="59">
        <v>1</v>
      </c>
      <c r="AE67" s="59">
        <v>1</v>
      </c>
      <c r="AF67" s="59" t="s">
        <v>220</v>
      </c>
      <c r="AG67" s="27"/>
      <c r="AH67" s="27"/>
    </row>
    <row r="68" spans="2:34" x14ac:dyDescent="0.35">
      <c r="B68" s="30">
        <v>66</v>
      </c>
      <c r="C68" s="28">
        <v>20200316</v>
      </c>
      <c r="D68" s="27" t="s">
        <v>2</v>
      </c>
      <c r="E68" s="27" t="s">
        <v>289</v>
      </c>
      <c r="F68" s="29" t="s">
        <v>287</v>
      </c>
      <c r="G68" s="27" t="s">
        <v>308</v>
      </c>
      <c r="H68" s="27" t="s">
        <v>262</v>
      </c>
      <c r="I68" s="27" t="s">
        <v>337</v>
      </c>
      <c r="J68" s="27" t="s">
        <v>70</v>
      </c>
      <c r="K68" s="27" t="s">
        <v>331</v>
      </c>
      <c r="L68" s="29" t="s">
        <v>281</v>
      </c>
      <c r="M68" s="29" t="s">
        <v>239</v>
      </c>
      <c r="N68" s="30"/>
      <c r="O68" s="28" t="s">
        <v>329</v>
      </c>
      <c r="P68" s="27" t="s">
        <v>74</v>
      </c>
      <c r="Q68" s="27"/>
      <c r="R68" s="27"/>
      <c r="S68" s="27">
        <v>24</v>
      </c>
      <c r="T68" s="55">
        <f>IF(D68=Table!$C$3,V68*Table!$C$4/8,V68*Table!$D$4/8)</f>
        <v>26</v>
      </c>
      <c r="U68" s="27">
        <f t="shared" ref="U68" si="17">T68</f>
        <v>26</v>
      </c>
      <c r="V68" s="27">
        <v>1.6</v>
      </c>
      <c r="W68" s="27">
        <v>1.6</v>
      </c>
      <c r="X68" s="27" t="s">
        <v>19</v>
      </c>
      <c r="Y68" s="31">
        <v>43906</v>
      </c>
      <c r="Z68" s="31">
        <v>43909</v>
      </c>
      <c r="AA68" s="31">
        <v>43908</v>
      </c>
      <c r="AB68" s="31">
        <v>43908</v>
      </c>
      <c r="AC68" s="31" t="s">
        <v>205</v>
      </c>
      <c r="AD68" s="59">
        <v>1</v>
      </c>
      <c r="AE68" s="59">
        <v>1</v>
      </c>
      <c r="AF68" s="59" t="s">
        <v>220</v>
      </c>
      <c r="AG68" s="27"/>
      <c r="AH68" s="27"/>
    </row>
    <row r="69" spans="2:34" x14ac:dyDescent="0.35">
      <c r="B69" s="30">
        <v>67</v>
      </c>
      <c r="C69" s="28">
        <v>20200316</v>
      </c>
      <c r="D69" s="27" t="s">
        <v>2</v>
      </c>
      <c r="E69" s="27" t="s">
        <v>289</v>
      </c>
      <c r="F69" s="29" t="s">
        <v>287</v>
      </c>
      <c r="G69" s="27" t="s">
        <v>309</v>
      </c>
      <c r="H69" s="27" t="s">
        <v>263</v>
      </c>
      <c r="I69" s="27" t="s">
        <v>337</v>
      </c>
      <c r="J69" s="27" t="s">
        <v>70</v>
      </c>
      <c r="K69" s="27" t="s">
        <v>331</v>
      </c>
      <c r="L69" s="29" t="s">
        <v>283</v>
      </c>
      <c r="M69" s="29" t="s">
        <v>239</v>
      </c>
      <c r="N69" s="30"/>
      <c r="O69" s="28" t="s">
        <v>329</v>
      </c>
      <c r="P69" s="27" t="s">
        <v>74</v>
      </c>
      <c r="Q69" s="27"/>
      <c r="R69" s="27"/>
      <c r="S69" s="27">
        <v>17</v>
      </c>
      <c r="T69" s="55">
        <f>IF(D69=Table!$C$3,V69*Table!$C$4/8,V69*Table!$D$4/8)</f>
        <v>26</v>
      </c>
      <c r="U69" s="27">
        <f>T69</f>
        <v>26</v>
      </c>
      <c r="V69" s="27">
        <v>1.6</v>
      </c>
      <c r="W69" s="27">
        <v>1.6</v>
      </c>
      <c r="X69" s="27" t="s">
        <v>19</v>
      </c>
      <c r="Y69" s="31">
        <v>43906</v>
      </c>
      <c r="Z69" s="31">
        <v>43909</v>
      </c>
      <c r="AA69" s="31">
        <v>43908</v>
      </c>
      <c r="AB69" s="31">
        <v>43908</v>
      </c>
      <c r="AC69" s="31" t="s">
        <v>205</v>
      </c>
      <c r="AD69" s="59">
        <v>1</v>
      </c>
      <c r="AE69" s="59">
        <v>1</v>
      </c>
      <c r="AF69" s="59" t="s">
        <v>220</v>
      </c>
      <c r="AG69" s="27"/>
      <c r="AH69" s="27"/>
    </row>
    <row r="70" spans="2:34" x14ac:dyDescent="0.35">
      <c r="B70" s="30">
        <v>68</v>
      </c>
      <c r="C70" s="28">
        <v>20200316</v>
      </c>
      <c r="D70" s="27" t="s">
        <v>3</v>
      </c>
      <c r="E70" s="27" t="s">
        <v>289</v>
      </c>
      <c r="F70" s="29" t="s">
        <v>330</v>
      </c>
      <c r="G70" s="27" t="s">
        <v>324</v>
      </c>
      <c r="H70" s="27" t="s">
        <v>322</v>
      </c>
      <c r="I70" s="27" t="s">
        <v>338</v>
      </c>
      <c r="J70" s="27" t="s">
        <v>70</v>
      </c>
      <c r="K70" s="27" t="s">
        <v>339</v>
      </c>
      <c r="L70" s="29" t="s">
        <v>323</v>
      </c>
      <c r="M70" s="29" t="s">
        <v>239</v>
      </c>
      <c r="N70" s="30"/>
      <c r="O70" s="28" t="s">
        <v>329</v>
      </c>
      <c r="P70" s="27" t="s">
        <v>74</v>
      </c>
      <c r="Q70" s="27"/>
      <c r="R70" s="27"/>
      <c r="S70" s="27">
        <v>455</v>
      </c>
      <c r="T70" s="55">
        <f>IF(D70=Table!$C$3,V70*Table!$C$4/8,V70*Table!$D$4/8)</f>
        <v>360</v>
      </c>
      <c r="U70" s="27">
        <f t="shared" ref="U70:U73" si="18">T70</f>
        <v>360</v>
      </c>
      <c r="V70" s="27">
        <v>6.4</v>
      </c>
      <c r="W70" s="27">
        <v>6</v>
      </c>
      <c r="X70" s="27" t="s">
        <v>19</v>
      </c>
      <c r="Y70" s="31">
        <v>43906</v>
      </c>
      <c r="Z70" s="31">
        <v>43909</v>
      </c>
      <c r="AA70" s="31">
        <v>43909</v>
      </c>
      <c r="AB70" s="31">
        <v>43909</v>
      </c>
      <c r="AC70" s="31" t="s">
        <v>205</v>
      </c>
      <c r="AD70" s="59">
        <v>0.99</v>
      </c>
      <c r="AE70" s="59">
        <v>0.98</v>
      </c>
      <c r="AF70" s="59" t="s">
        <v>220</v>
      </c>
      <c r="AG70" s="27"/>
      <c r="AH70" s="27" t="s">
        <v>325</v>
      </c>
    </row>
    <row r="71" spans="2:34" x14ac:dyDescent="0.35">
      <c r="B71" s="30">
        <v>69</v>
      </c>
      <c r="C71" s="28">
        <v>20200316</v>
      </c>
      <c r="D71" s="27" t="s">
        <v>3</v>
      </c>
      <c r="E71" s="27" t="s">
        <v>289</v>
      </c>
      <c r="F71" s="29" t="s">
        <v>288</v>
      </c>
      <c r="G71" s="27" t="s">
        <v>295</v>
      </c>
      <c r="H71" s="27" t="s">
        <v>265</v>
      </c>
      <c r="I71" s="27" t="s">
        <v>337</v>
      </c>
      <c r="J71" s="27" t="s">
        <v>70</v>
      </c>
      <c r="K71" s="27" t="s">
        <v>339</v>
      </c>
      <c r="L71" s="29" t="s">
        <v>285</v>
      </c>
      <c r="M71" s="29" t="s">
        <v>239</v>
      </c>
      <c r="N71" s="30"/>
      <c r="O71" s="28" t="s">
        <v>329</v>
      </c>
      <c r="P71" s="27" t="s">
        <v>74</v>
      </c>
      <c r="Q71" s="27"/>
      <c r="R71" s="27"/>
      <c r="S71" s="27">
        <v>131</v>
      </c>
      <c r="T71" s="55">
        <f>IF(D71=Table!$C$3,V71*Table!$C$4/8,V71*Table!$D$4/8)</f>
        <v>135</v>
      </c>
      <c r="U71" s="27">
        <f t="shared" si="18"/>
        <v>135</v>
      </c>
      <c r="V71" s="27">
        <v>2.4</v>
      </c>
      <c r="W71" s="27">
        <v>2</v>
      </c>
      <c r="X71" s="27" t="s">
        <v>19</v>
      </c>
      <c r="Y71" s="31">
        <v>43906</v>
      </c>
      <c r="Z71" s="31">
        <v>43909</v>
      </c>
      <c r="AA71" s="31">
        <v>43909</v>
      </c>
      <c r="AB71" s="31">
        <v>43909</v>
      </c>
      <c r="AC71" s="31" t="s">
        <v>205</v>
      </c>
      <c r="AD71" s="59">
        <v>1</v>
      </c>
      <c r="AE71" s="59">
        <v>1</v>
      </c>
      <c r="AF71" s="59" t="s">
        <v>220</v>
      </c>
      <c r="AG71" s="27"/>
      <c r="AH71" s="27" t="s">
        <v>311</v>
      </c>
    </row>
    <row r="72" spans="2:34" x14ac:dyDescent="0.35">
      <c r="B72" s="66">
        <v>70</v>
      </c>
      <c r="C72" s="28">
        <v>20200319</v>
      </c>
      <c r="D72" s="27" t="s">
        <v>2</v>
      </c>
      <c r="E72" s="27" t="s">
        <v>459</v>
      </c>
      <c r="F72" s="29"/>
      <c r="G72" s="27" t="s">
        <v>132</v>
      </c>
      <c r="H72" s="27" t="s">
        <v>348</v>
      </c>
      <c r="I72" s="27" t="s">
        <v>337</v>
      </c>
      <c r="J72" s="27"/>
      <c r="K72" s="27"/>
      <c r="L72" s="29" t="s">
        <v>418</v>
      </c>
      <c r="M72" s="29" t="s">
        <v>482</v>
      </c>
      <c r="N72" s="30"/>
      <c r="O72" s="28" t="s">
        <v>460</v>
      </c>
      <c r="P72" s="27" t="s">
        <v>6</v>
      </c>
      <c r="Q72" s="27"/>
      <c r="R72" s="27"/>
      <c r="S72" s="27">
        <v>11</v>
      </c>
      <c r="T72" s="55">
        <f>IF(D72=Table!$C$3,V72*Table!$C$4/8,V72*Table!$D$4/8)</f>
        <v>26.243749999999999</v>
      </c>
      <c r="U72" s="27">
        <f t="shared" si="18"/>
        <v>26.243749999999999</v>
      </c>
      <c r="V72" s="27">
        <v>1.615</v>
      </c>
      <c r="W72" s="27">
        <v>4</v>
      </c>
      <c r="X72" s="27" t="s">
        <v>19</v>
      </c>
      <c r="Y72" s="31">
        <v>43910</v>
      </c>
      <c r="Z72" s="31">
        <v>43920</v>
      </c>
      <c r="AA72" s="31">
        <v>43910</v>
      </c>
      <c r="AB72" s="31">
        <v>43910</v>
      </c>
      <c r="AC72" s="31" t="s">
        <v>205</v>
      </c>
      <c r="AD72" s="59">
        <v>1</v>
      </c>
      <c r="AE72" s="59">
        <v>1</v>
      </c>
      <c r="AF72" s="59">
        <v>1</v>
      </c>
      <c r="AG72" s="27"/>
      <c r="AH72" s="27"/>
    </row>
    <row r="73" spans="2:34" x14ac:dyDescent="0.35">
      <c r="B73" s="66">
        <v>71</v>
      </c>
      <c r="C73" s="28">
        <v>20200319</v>
      </c>
      <c r="D73" s="27" t="s">
        <v>2</v>
      </c>
      <c r="E73" s="27" t="s">
        <v>459</v>
      </c>
      <c r="F73" s="29"/>
      <c r="G73" s="27" t="s">
        <v>133</v>
      </c>
      <c r="H73" s="27" t="s">
        <v>349</v>
      </c>
      <c r="I73" s="27" t="s">
        <v>337</v>
      </c>
      <c r="J73" s="27"/>
      <c r="K73" s="27"/>
      <c r="L73" s="29" t="s">
        <v>419</v>
      </c>
      <c r="M73" s="29" t="s">
        <v>482</v>
      </c>
      <c r="N73" s="30"/>
      <c r="O73" s="28" t="s">
        <v>460</v>
      </c>
      <c r="P73" s="27" t="s">
        <v>6</v>
      </c>
      <c r="Q73" s="27"/>
      <c r="R73" s="27"/>
      <c r="S73" s="27">
        <v>11</v>
      </c>
      <c r="T73" s="55">
        <f>IF(D73=Table!$C$3,V73*Table!$C$4/8,V73*Table!$D$4/8)</f>
        <v>26.243749999999999</v>
      </c>
      <c r="U73" s="27">
        <f t="shared" si="18"/>
        <v>26.243749999999999</v>
      </c>
      <c r="V73" s="27">
        <v>1.615</v>
      </c>
      <c r="W73" s="27">
        <v>4</v>
      </c>
      <c r="X73" s="27" t="s">
        <v>19</v>
      </c>
      <c r="Y73" s="31">
        <v>43910</v>
      </c>
      <c r="Z73" s="31">
        <v>43920</v>
      </c>
      <c r="AA73" s="31">
        <v>43910</v>
      </c>
      <c r="AB73" s="31">
        <v>43910</v>
      </c>
      <c r="AC73" s="31" t="s">
        <v>205</v>
      </c>
      <c r="AD73" s="59">
        <v>1</v>
      </c>
      <c r="AE73" s="59">
        <v>1</v>
      </c>
      <c r="AF73" s="59">
        <v>1</v>
      </c>
      <c r="AG73" s="27"/>
      <c r="AH73" s="27"/>
    </row>
    <row r="74" spans="2:34" x14ac:dyDescent="0.35">
      <c r="B74" s="66">
        <v>72</v>
      </c>
      <c r="C74" s="28">
        <v>20200319</v>
      </c>
      <c r="D74" s="27" t="s">
        <v>2</v>
      </c>
      <c r="E74" s="27" t="s">
        <v>459</v>
      </c>
      <c r="F74" s="29"/>
      <c r="G74" s="27" t="s">
        <v>134</v>
      </c>
      <c r="H74" s="27" t="s">
        <v>350</v>
      </c>
      <c r="I74" s="27" t="s">
        <v>337</v>
      </c>
      <c r="J74" s="27"/>
      <c r="K74" s="27"/>
      <c r="L74" s="29" t="s">
        <v>419</v>
      </c>
      <c r="M74" s="29" t="s">
        <v>482</v>
      </c>
      <c r="N74" s="30"/>
      <c r="O74" s="28" t="s">
        <v>460</v>
      </c>
      <c r="P74" s="27" t="s">
        <v>6</v>
      </c>
      <c r="Q74" s="27"/>
      <c r="R74" s="27"/>
      <c r="S74" s="27"/>
      <c r="T74" s="55">
        <f>IF(D74=Table!$C$3,V74*Table!$C$4/8,V74*Table!$D$4/8)</f>
        <v>26.243749999999999</v>
      </c>
      <c r="U74" s="27"/>
      <c r="V74" s="27">
        <v>1.615</v>
      </c>
      <c r="W74" s="27"/>
      <c r="X74" s="27"/>
      <c r="Y74" s="31">
        <v>43910</v>
      </c>
      <c r="Z74" s="31">
        <v>43920</v>
      </c>
      <c r="AA74" s="31"/>
      <c r="AB74" s="31"/>
      <c r="AC74" s="31"/>
      <c r="AD74" s="27"/>
      <c r="AE74" s="27"/>
      <c r="AF74" s="27"/>
      <c r="AG74" s="27"/>
      <c r="AH74" s="27"/>
    </row>
    <row r="75" spans="2:34" x14ac:dyDescent="0.35">
      <c r="B75" s="66">
        <v>73</v>
      </c>
      <c r="C75" s="28">
        <v>20200319</v>
      </c>
      <c r="D75" s="27" t="s">
        <v>2</v>
      </c>
      <c r="E75" s="27" t="s">
        <v>459</v>
      </c>
      <c r="F75" s="29"/>
      <c r="G75" s="27" t="s">
        <v>432</v>
      </c>
      <c r="H75" s="27" t="s">
        <v>351</v>
      </c>
      <c r="I75" s="27" t="s">
        <v>337</v>
      </c>
      <c r="J75" s="27"/>
      <c r="K75" s="27"/>
      <c r="L75" s="29" t="s">
        <v>419</v>
      </c>
      <c r="M75" s="29" t="s">
        <v>482</v>
      </c>
      <c r="N75" s="30"/>
      <c r="O75" s="28" t="s">
        <v>460</v>
      </c>
      <c r="P75" s="27" t="s">
        <v>6</v>
      </c>
      <c r="Q75" s="27"/>
      <c r="R75" s="27"/>
      <c r="S75" s="27"/>
      <c r="T75" s="55">
        <f>IF(D75=Table!$C$3,V75*Table!$C$4/8,V75*Table!$D$4/8)</f>
        <v>26.243749999999999</v>
      </c>
      <c r="U75" s="27"/>
      <c r="V75" s="27">
        <v>1.615</v>
      </c>
      <c r="W75" s="27"/>
      <c r="X75" s="27"/>
      <c r="Y75" s="31">
        <v>43910</v>
      </c>
      <c r="Z75" s="31">
        <v>43920</v>
      </c>
      <c r="AA75" s="31"/>
      <c r="AB75" s="31"/>
      <c r="AC75" s="31"/>
      <c r="AD75" s="27"/>
      <c r="AE75" s="27"/>
      <c r="AF75" s="27"/>
      <c r="AG75" s="27"/>
      <c r="AH75" s="27"/>
    </row>
    <row r="76" spans="2:34" x14ac:dyDescent="0.35">
      <c r="B76" s="66">
        <v>74</v>
      </c>
      <c r="C76" s="28">
        <v>20200319</v>
      </c>
      <c r="D76" s="27" t="s">
        <v>2</v>
      </c>
      <c r="E76" s="27" t="s">
        <v>459</v>
      </c>
      <c r="F76" s="29"/>
      <c r="G76" s="27" t="s">
        <v>135</v>
      </c>
      <c r="H76" s="27" t="s">
        <v>352</v>
      </c>
      <c r="I76" s="27" t="s">
        <v>337</v>
      </c>
      <c r="J76" s="27"/>
      <c r="K76" s="27"/>
      <c r="L76" s="29" t="s">
        <v>419</v>
      </c>
      <c r="M76" s="29" t="s">
        <v>482</v>
      </c>
      <c r="N76" s="30"/>
      <c r="O76" s="28" t="s">
        <v>460</v>
      </c>
      <c r="P76" s="27" t="s">
        <v>6</v>
      </c>
      <c r="Q76" s="27"/>
      <c r="R76" s="27"/>
      <c r="S76" s="27"/>
      <c r="T76" s="55">
        <f>IF(D76=Table!$C$3,V76*Table!$C$4/8,V76*Table!$D$4/8)</f>
        <v>26.243749999999999</v>
      </c>
      <c r="U76" s="27"/>
      <c r="V76" s="27">
        <v>1.615</v>
      </c>
      <c r="W76" s="27"/>
      <c r="X76" s="27"/>
      <c r="Y76" s="31">
        <v>43910</v>
      </c>
      <c r="Z76" s="31">
        <v>43920</v>
      </c>
      <c r="AA76" s="31"/>
      <c r="AB76" s="31"/>
      <c r="AC76" s="31"/>
      <c r="AD76" s="27"/>
      <c r="AE76" s="27"/>
      <c r="AF76" s="27"/>
      <c r="AG76" s="27"/>
      <c r="AH76" s="27"/>
    </row>
    <row r="77" spans="2:34" x14ac:dyDescent="0.35">
      <c r="B77" s="66">
        <v>75</v>
      </c>
      <c r="C77" s="28">
        <v>20200319</v>
      </c>
      <c r="D77" s="27" t="s">
        <v>2</v>
      </c>
      <c r="E77" s="27" t="s">
        <v>459</v>
      </c>
      <c r="F77" s="29"/>
      <c r="G77" s="27" t="s">
        <v>136</v>
      </c>
      <c r="H77" s="27" t="s">
        <v>353</v>
      </c>
      <c r="I77" s="27" t="s">
        <v>337</v>
      </c>
      <c r="J77" s="27"/>
      <c r="K77" s="27"/>
      <c r="L77" s="29" t="s">
        <v>419</v>
      </c>
      <c r="M77" s="29" t="s">
        <v>482</v>
      </c>
      <c r="N77" s="30"/>
      <c r="O77" s="28" t="s">
        <v>460</v>
      </c>
      <c r="P77" s="27" t="s">
        <v>6</v>
      </c>
      <c r="Q77" s="27"/>
      <c r="R77" s="27"/>
      <c r="S77" s="27"/>
      <c r="T77" s="55">
        <f>IF(D77=Table!$C$3,V77*Table!$C$4/8,V77*Table!$D$4/8)</f>
        <v>26.243749999999999</v>
      </c>
      <c r="U77" s="27"/>
      <c r="V77" s="27">
        <v>1.615</v>
      </c>
      <c r="W77" s="27"/>
      <c r="X77" s="27"/>
      <c r="Y77" s="31">
        <v>43910</v>
      </c>
      <c r="Z77" s="31">
        <v>43920</v>
      </c>
      <c r="AA77" s="31"/>
      <c r="AB77" s="31"/>
      <c r="AC77" s="31"/>
      <c r="AD77" s="27"/>
      <c r="AE77" s="27"/>
      <c r="AF77" s="27"/>
      <c r="AG77" s="27"/>
      <c r="AH77" s="27"/>
    </row>
    <row r="78" spans="2:34" x14ac:dyDescent="0.35">
      <c r="B78" s="66">
        <v>76</v>
      </c>
      <c r="C78" s="28">
        <v>20200319</v>
      </c>
      <c r="D78" s="27" t="s">
        <v>2</v>
      </c>
      <c r="E78" s="27" t="s">
        <v>459</v>
      </c>
      <c r="F78" s="29"/>
      <c r="G78" s="27" t="s">
        <v>137</v>
      </c>
      <c r="H78" s="27" t="s">
        <v>354</v>
      </c>
      <c r="I78" s="27" t="s">
        <v>337</v>
      </c>
      <c r="J78" s="27"/>
      <c r="K78" s="27"/>
      <c r="L78" s="29" t="s">
        <v>419</v>
      </c>
      <c r="M78" s="29" t="s">
        <v>482</v>
      </c>
      <c r="N78" s="30"/>
      <c r="O78" s="28" t="s">
        <v>460</v>
      </c>
      <c r="P78" s="27" t="s">
        <v>6</v>
      </c>
      <c r="Q78" s="27"/>
      <c r="R78" s="27"/>
      <c r="S78" s="27"/>
      <c r="T78" s="55">
        <f>IF(D78=Table!$C$3,V78*Table!$C$4/8,V78*Table!$D$4/8)</f>
        <v>48.34375</v>
      </c>
      <c r="U78" s="27"/>
      <c r="V78" s="27">
        <v>2.9750000000000001</v>
      </c>
      <c r="W78" s="27"/>
      <c r="X78" s="27"/>
      <c r="Y78" s="31">
        <v>43910</v>
      </c>
      <c r="Z78" s="31">
        <v>43920</v>
      </c>
      <c r="AA78" s="31"/>
      <c r="AB78" s="31"/>
      <c r="AC78" s="31"/>
      <c r="AD78" s="27"/>
      <c r="AE78" s="27"/>
      <c r="AF78" s="27"/>
      <c r="AG78" s="27"/>
      <c r="AH78" s="27"/>
    </row>
    <row r="79" spans="2:34" x14ac:dyDescent="0.35">
      <c r="B79" s="66">
        <v>77</v>
      </c>
      <c r="C79" s="28">
        <v>20200319</v>
      </c>
      <c r="D79" s="27" t="s">
        <v>2</v>
      </c>
      <c r="E79" s="27" t="s">
        <v>459</v>
      </c>
      <c r="F79" s="29"/>
      <c r="G79" s="27" t="s">
        <v>138</v>
      </c>
      <c r="H79" s="27" t="s">
        <v>355</v>
      </c>
      <c r="I79" s="27" t="s">
        <v>337</v>
      </c>
      <c r="J79" s="27"/>
      <c r="K79" s="27"/>
      <c r="L79" s="29" t="s">
        <v>419</v>
      </c>
      <c r="M79" s="29" t="s">
        <v>482</v>
      </c>
      <c r="N79" s="30"/>
      <c r="O79" s="28" t="s">
        <v>460</v>
      </c>
      <c r="P79" s="27" t="s">
        <v>6</v>
      </c>
      <c r="Q79" s="27"/>
      <c r="R79" s="27"/>
      <c r="S79" s="27"/>
      <c r="T79" s="55">
        <f>IF(D79=Table!$C$3,V79*Table!$C$4/8,V79*Table!$D$4/8)</f>
        <v>70.443749999999994</v>
      </c>
      <c r="U79" s="27"/>
      <c r="V79" s="27">
        <v>4.335</v>
      </c>
      <c r="W79" s="27"/>
      <c r="X79" s="27"/>
      <c r="Y79" s="31">
        <v>43910</v>
      </c>
      <c r="Z79" s="31">
        <v>43920</v>
      </c>
      <c r="AA79" s="31"/>
      <c r="AB79" s="31"/>
      <c r="AC79" s="31"/>
      <c r="AD79" s="27"/>
      <c r="AE79" s="27"/>
      <c r="AF79" s="27"/>
      <c r="AG79" s="27"/>
      <c r="AH79" s="27"/>
    </row>
    <row r="80" spans="2:34" x14ac:dyDescent="0.35">
      <c r="B80" s="66">
        <v>78</v>
      </c>
      <c r="C80" s="28">
        <v>20200319</v>
      </c>
      <c r="D80" s="27" t="s">
        <v>2</v>
      </c>
      <c r="E80" s="27" t="s">
        <v>459</v>
      </c>
      <c r="F80" s="29"/>
      <c r="G80" s="27" t="s">
        <v>139</v>
      </c>
      <c r="H80" s="27" t="s">
        <v>356</v>
      </c>
      <c r="I80" s="27" t="s">
        <v>337</v>
      </c>
      <c r="J80" s="27"/>
      <c r="K80" s="27"/>
      <c r="L80" s="29" t="s">
        <v>419</v>
      </c>
      <c r="M80" s="29" t="s">
        <v>482</v>
      </c>
      <c r="N80" s="30"/>
      <c r="O80" s="28" t="s">
        <v>460</v>
      </c>
      <c r="P80" s="27" t="s">
        <v>6</v>
      </c>
      <c r="Q80" s="27"/>
      <c r="R80" s="27"/>
      <c r="S80" s="27"/>
      <c r="T80" s="55">
        <f>IF(D80=Table!$C$3,V80*Table!$C$4/8,V80*Table!$D$4/8)</f>
        <v>26.243749999999999</v>
      </c>
      <c r="U80" s="27"/>
      <c r="V80" s="27">
        <v>1.615</v>
      </c>
      <c r="W80" s="27"/>
      <c r="X80" s="27"/>
      <c r="Y80" s="31">
        <v>43910</v>
      </c>
      <c r="Z80" s="31">
        <v>43920</v>
      </c>
      <c r="AA80" s="31"/>
      <c r="AB80" s="31"/>
      <c r="AC80" s="31"/>
      <c r="AD80" s="27"/>
      <c r="AE80" s="27"/>
      <c r="AF80" s="27"/>
      <c r="AG80" s="27"/>
      <c r="AH80" s="27"/>
    </row>
    <row r="81" spans="2:34" x14ac:dyDescent="0.35">
      <c r="B81" s="66">
        <v>79</v>
      </c>
      <c r="C81" s="28">
        <v>20200319</v>
      </c>
      <c r="D81" s="27" t="s">
        <v>2</v>
      </c>
      <c r="E81" s="27" t="s">
        <v>459</v>
      </c>
      <c r="F81" s="29"/>
      <c r="G81" s="27" t="s">
        <v>433</v>
      </c>
      <c r="H81" s="27" t="s">
        <v>357</v>
      </c>
      <c r="I81" s="27" t="s">
        <v>337</v>
      </c>
      <c r="J81" s="27"/>
      <c r="K81" s="27"/>
      <c r="L81" s="29" t="s">
        <v>420</v>
      </c>
      <c r="M81" s="29" t="s">
        <v>482</v>
      </c>
      <c r="N81" s="30"/>
      <c r="O81" s="28" t="s">
        <v>460</v>
      </c>
      <c r="P81" s="27" t="s">
        <v>6</v>
      </c>
      <c r="Q81" s="27"/>
      <c r="R81" s="27"/>
      <c r="S81" s="27"/>
      <c r="T81" s="55">
        <f>IF(D81=Table!$C$3,V81*Table!$C$4/8,V81*Table!$D$4/8)</f>
        <v>26.243749999999999</v>
      </c>
      <c r="U81" s="27"/>
      <c r="V81" s="27">
        <v>1.615</v>
      </c>
      <c r="W81" s="27"/>
      <c r="X81" s="27"/>
      <c r="Y81" s="31">
        <v>43910</v>
      </c>
      <c r="Z81" s="31">
        <v>43920</v>
      </c>
      <c r="AA81" s="31"/>
      <c r="AB81" s="31"/>
      <c r="AC81" s="31"/>
      <c r="AD81" s="27"/>
      <c r="AE81" s="27"/>
      <c r="AF81" s="27"/>
      <c r="AG81" s="27"/>
      <c r="AH81" s="27"/>
    </row>
    <row r="82" spans="2:34" x14ac:dyDescent="0.35">
      <c r="B82" s="66">
        <v>80</v>
      </c>
      <c r="C82" s="28">
        <v>20200319</v>
      </c>
      <c r="D82" s="27" t="s">
        <v>2</v>
      </c>
      <c r="E82" s="27" t="s">
        <v>459</v>
      </c>
      <c r="F82" s="29"/>
      <c r="G82" s="27" t="s">
        <v>140</v>
      </c>
      <c r="H82" s="27" t="s">
        <v>358</v>
      </c>
      <c r="I82" s="27" t="s">
        <v>337</v>
      </c>
      <c r="J82" s="27"/>
      <c r="K82" s="27"/>
      <c r="L82" s="29" t="s">
        <v>419</v>
      </c>
      <c r="M82" s="29" t="s">
        <v>482</v>
      </c>
      <c r="N82" s="30"/>
      <c r="O82" s="28" t="s">
        <v>460</v>
      </c>
      <c r="P82" s="27" t="s">
        <v>6</v>
      </c>
      <c r="Q82" s="27"/>
      <c r="R82" s="27"/>
      <c r="S82" s="27"/>
      <c r="T82" s="55">
        <f>IF(D82=Table!$C$3,V82*Table!$C$4/8,V82*Table!$D$4/8)</f>
        <v>26.243749999999999</v>
      </c>
      <c r="U82" s="27"/>
      <c r="V82" s="27">
        <v>1.615</v>
      </c>
      <c r="W82" s="27"/>
      <c r="X82" s="27"/>
      <c r="Y82" s="31">
        <v>43910</v>
      </c>
      <c r="Z82" s="31">
        <v>43920</v>
      </c>
      <c r="AA82" s="31"/>
      <c r="AB82" s="31"/>
      <c r="AC82" s="31"/>
      <c r="AD82" s="27"/>
      <c r="AE82" s="27"/>
      <c r="AF82" s="27"/>
      <c r="AG82" s="27"/>
      <c r="AH82" s="27"/>
    </row>
    <row r="83" spans="2:34" x14ac:dyDescent="0.35">
      <c r="B83" s="66">
        <v>81</v>
      </c>
      <c r="C83" s="28">
        <v>20200319</v>
      </c>
      <c r="D83" s="27" t="s">
        <v>2</v>
      </c>
      <c r="E83" s="27" t="s">
        <v>459</v>
      </c>
      <c r="F83" s="29"/>
      <c r="G83" s="27" t="s">
        <v>434</v>
      </c>
      <c r="H83" s="27" t="s">
        <v>359</v>
      </c>
      <c r="I83" s="27" t="s">
        <v>337</v>
      </c>
      <c r="J83" s="27"/>
      <c r="K83" s="27"/>
      <c r="L83" s="29" t="s">
        <v>419</v>
      </c>
      <c r="M83" s="29" t="s">
        <v>482</v>
      </c>
      <c r="N83" s="30"/>
      <c r="O83" s="28" t="s">
        <v>460</v>
      </c>
      <c r="P83" s="27" t="s">
        <v>6</v>
      </c>
      <c r="Q83" s="27"/>
      <c r="R83" s="27"/>
      <c r="S83" s="27"/>
      <c r="T83" s="55">
        <f>IF(D83=Table!$C$3,V83*Table!$C$4/8,V83*Table!$D$4/8)</f>
        <v>26.243749999999999</v>
      </c>
      <c r="U83" s="27"/>
      <c r="V83" s="27">
        <v>1.615</v>
      </c>
      <c r="W83" s="27"/>
      <c r="X83" s="27"/>
      <c r="Y83" s="31">
        <v>43910</v>
      </c>
      <c r="Z83" s="31">
        <v>43920</v>
      </c>
      <c r="AA83" s="31"/>
      <c r="AB83" s="31"/>
      <c r="AC83" s="31"/>
      <c r="AD83" s="27"/>
      <c r="AE83" s="27"/>
      <c r="AF83" s="27"/>
      <c r="AG83" s="27"/>
      <c r="AH83" s="27"/>
    </row>
    <row r="84" spans="2:34" x14ac:dyDescent="0.35">
      <c r="B84" s="66">
        <v>82</v>
      </c>
      <c r="C84" s="28">
        <v>20200319</v>
      </c>
      <c r="D84" s="27" t="s">
        <v>2</v>
      </c>
      <c r="E84" s="27" t="s">
        <v>459</v>
      </c>
      <c r="F84" s="29"/>
      <c r="G84" s="27" t="s">
        <v>298</v>
      </c>
      <c r="H84" s="27" t="s">
        <v>360</v>
      </c>
      <c r="I84" s="27" t="s">
        <v>337</v>
      </c>
      <c r="J84" s="27"/>
      <c r="K84" s="27"/>
      <c r="L84" s="29" t="s">
        <v>419</v>
      </c>
      <c r="M84" s="29" t="s">
        <v>482</v>
      </c>
      <c r="N84" s="30"/>
      <c r="O84" s="28" t="s">
        <v>460</v>
      </c>
      <c r="P84" s="27" t="s">
        <v>6</v>
      </c>
      <c r="Q84" s="27"/>
      <c r="R84" s="27"/>
      <c r="S84" s="27"/>
      <c r="T84" s="55">
        <f>IF(D84=Table!$C$3,V84*Table!$C$4/8,V84*Table!$D$4/8)</f>
        <v>26.243749999999999</v>
      </c>
      <c r="U84" s="27"/>
      <c r="V84" s="27">
        <v>1.615</v>
      </c>
      <c r="W84" s="27"/>
      <c r="X84" s="27"/>
      <c r="Y84" s="31">
        <v>43910</v>
      </c>
      <c r="Z84" s="31">
        <v>43920</v>
      </c>
      <c r="AA84" s="31"/>
      <c r="AB84" s="31"/>
      <c r="AC84" s="31"/>
      <c r="AD84" s="27"/>
      <c r="AE84" s="27"/>
      <c r="AF84" s="27"/>
      <c r="AG84" s="27"/>
      <c r="AH84" s="27"/>
    </row>
    <row r="85" spans="2:34" x14ac:dyDescent="0.35">
      <c r="B85" s="66">
        <v>83</v>
      </c>
      <c r="C85" s="28">
        <v>20200319</v>
      </c>
      <c r="D85" s="27" t="s">
        <v>2</v>
      </c>
      <c r="E85" s="27" t="s">
        <v>459</v>
      </c>
      <c r="F85" s="29"/>
      <c r="G85" s="27" t="s">
        <v>141</v>
      </c>
      <c r="H85" s="27" t="s">
        <v>361</v>
      </c>
      <c r="I85" s="27" t="s">
        <v>337</v>
      </c>
      <c r="J85" s="27"/>
      <c r="K85" s="27"/>
      <c r="L85" s="29" t="s">
        <v>419</v>
      </c>
      <c r="M85" s="29" t="s">
        <v>482</v>
      </c>
      <c r="N85" s="30"/>
      <c r="O85" s="28" t="s">
        <v>460</v>
      </c>
      <c r="P85" s="27" t="s">
        <v>6</v>
      </c>
      <c r="Q85" s="27"/>
      <c r="R85" s="27"/>
      <c r="S85" s="27"/>
      <c r="T85" s="55">
        <f>IF(D85=Table!$C$3,V85*Table!$C$4/8,V85*Table!$D$4/8)</f>
        <v>81.493750000000006</v>
      </c>
      <c r="U85" s="27"/>
      <c r="V85" s="27">
        <v>5.0150000000000006</v>
      </c>
      <c r="W85" s="27"/>
      <c r="X85" s="27"/>
      <c r="Y85" s="31">
        <v>43910</v>
      </c>
      <c r="Z85" s="31">
        <v>43920</v>
      </c>
      <c r="AA85" s="31"/>
      <c r="AB85" s="31"/>
      <c r="AC85" s="31"/>
      <c r="AD85" s="27"/>
      <c r="AE85" s="27"/>
      <c r="AF85" s="27"/>
      <c r="AG85" s="27"/>
      <c r="AH85" s="27"/>
    </row>
    <row r="86" spans="2:34" x14ac:dyDescent="0.35">
      <c r="B86" s="66">
        <v>84</v>
      </c>
      <c r="C86" s="28">
        <v>20200319</v>
      </c>
      <c r="D86" s="27" t="s">
        <v>2</v>
      </c>
      <c r="E86" s="27" t="s">
        <v>459</v>
      </c>
      <c r="F86" s="29"/>
      <c r="G86" s="27" t="s">
        <v>142</v>
      </c>
      <c r="H86" s="27" t="s">
        <v>362</v>
      </c>
      <c r="I86" s="27" t="s">
        <v>337</v>
      </c>
      <c r="J86" s="27"/>
      <c r="K86" s="27"/>
      <c r="L86" s="29" t="s">
        <v>419</v>
      </c>
      <c r="M86" s="29" t="s">
        <v>482</v>
      </c>
      <c r="N86" s="30"/>
      <c r="O86" s="28" t="s">
        <v>460</v>
      </c>
      <c r="P86" s="27" t="s">
        <v>6</v>
      </c>
      <c r="Q86" s="27"/>
      <c r="R86" s="27"/>
      <c r="S86" s="27"/>
      <c r="T86" s="55">
        <f>IF(D86=Table!$C$3,V86*Table!$C$4/8,V86*Table!$D$4/8)</f>
        <v>26.243749999999999</v>
      </c>
      <c r="U86" s="27"/>
      <c r="V86" s="27">
        <v>1.615</v>
      </c>
      <c r="W86" s="27"/>
      <c r="X86" s="27"/>
      <c r="Y86" s="31">
        <v>43910</v>
      </c>
      <c r="Z86" s="31">
        <v>43920</v>
      </c>
      <c r="AA86" s="31"/>
      <c r="AB86" s="31"/>
      <c r="AC86" s="31"/>
      <c r="AD86" s="27"/>
      <c r="AE86" s="27"/>
      <c r="AF86" s="27"/>
      <c r="AG86" s="27"/>
      <c r="AH86" s="27"/>
    </row>
    <row r="87" spans="2:34" x14ac:dyDescent="0.35">
      <c r="B87" s="66">
        <v>85</v>
      </c>
      <c r="C87" s="28">
        <v>20200319</v>
      </c>
      <c r="D87" s="27" t="s">
        <v>2</v>
      </c>
      <c r="E87" s="27" t="s">
        <v>459</v>
      </c>
      <c r="F87" s="29"/>
      <c r="G87" s="27" t="s">
        <v>299</v>
      </c>
      <c r="H87" s="27" t="s">
        <v>363</v>
      </c>
      <c r="I87" s="27" t="s">
        <v>337</v>
      </c>
      <c r="J87" s="27"/>
      <c r="K87" s="27"/>
      <c r="L87" s="29" t="s">
        <v>419</v>
      </c>
      <c r="M87" s="29" t="s">
        <v>482</v>
      </c>
      <c r="N87" s="30"/>
      <c r="O87" s="28" t="s">
        <v>460</v>
      </c>
      <c r="P87" s="27" t="s">
        <v>6</v>
      </c>
      <c r="Q87" s="27"/>
      <c r="R87" s="27"/>
      <c r="S87" s="27"/>
      <c r="T87" s="55">
        <f>IF(D87=Table!$C$3,V87*Table!$C$4/8,V87*Table!$D$4/8)</f>
        <v>26.243749999999999</v>
      </c>
      <c r="U87" s="27"/>
      <c r="V87" s="27">
        <v>1.615</v>
      </c>
      <c r="W87" s="27"/>
      <c r="X87" s="27"/>
      <c r="Y87" s="31">
        <v>43910</v>
      </c>
      <c r="Z87" s="31">
        <v>43920</v>
      </c>
      <c r="AA87" s="31"/>
      <c r="AB87" s="31"/>
      <c r="AC87" s="31"/>
      <c r="AD87" s="27"/>
      <c r="AE87" s="27"/>
      <c r="AF87" s="27"/>
      <c r="AG87" s="27"/>
      <c r="AH87" s="27"/>
    </row>
    <row r="88" spans="2:34" x14ac:dyDescent="0.35">
      <c r="B88" s="66">
        <v>86</v>
      </c>
      <c r="C88" s="28">
        <v>20200319</v>
      </c>
      <c r="D88" s="27" t="s">
        <v>2</v>
      </c>
      <c r="E88" s="27" t="s">
        <v>459</v>
      </c>
      <c r="F88" s="29"/>
      <c r="G88" s="27" t="s">
        <v>435</v>
      </c>
      <c r="H88" s="27" t="s">
        <v>364</v>
      </c>
      <c r="I88" s="27" t="s">
        <v>337</v>
      </c>
      <c r="J88" s="27"/>
      <c r="K88" s="27"/>
      <c r="L88" s="29" t="s">
        <v>419</v>
      </c>
      <c r="M88" s="29" t="s">
        <v>482</v>
      </c>
      <c r="N88" s="30"/>
      <c r="O88" s="28" t="s">
        <v>460</v>
      </c>
      <c r="P88" s="27" t="s">
        <v>6</v>
      </c>
      <c r="Q88" s="27"/>
      <c r="R88" s="27"/>
      <c r="S88" s="27"/>
      <c r="T88" s="55">
        <f>IF(D88=Table!$C$3,V88*Table!$C$4/8,V88*Table!$D$4/8)</f>
        <v>37.293749999999996</v>
      </c>
      <c r="U88" s="27"/>
      <c r="V88" s="27">
        <v>2.2949999999999999</v>
      </c>
      <c r="W88" s="27"/>
      <c r="X88" s="27"/>
      <c r="Y88" s="31">
        <v>43910</v>
      </c>
      <c r="Z88" s="31">
        <v>43920</v>
      </c>
      <c r="AA88" s="31"/>
      <c r="AB88" s="31"/>
      <c r="AC88" s="31"/>
      <c r="AD88" s="27"/>
      <c r="AE88" s="27"/>
      <c r="AF88" s="27"/>
      <c r="AG88" s="27"/>
      <c r="AH88" s="27"/>
    </row>
    <row r="89" spans="2:34" x14ac:dyDescent="0.35">
      <c r="B89" s="66">
        <v>87</v>
      </c>
      <c r="C89" s="28">
        <v>20200319</v>
      </c>
      <c r="D89" s="27" t="s">
        <v>2</v>
      </c>
      <c r="E89" s="27" t="s">
        <v>459</v>
      </c>
      <c r="F89" s="29"/>
      <c r="G89" s="27" t="s">
        <v>143</v>
      </c>
      <c r="H89" s="27" t="s">
        <v>365</v>
      </c>
      <c r="I89" s="27" t="s">
        <v>338</v>
      </c>
      <c r="J89" s="27"/>
      <c r="K89" s="27"/>
      <c r="L89" s="29" t="s">
        <v>419</v>
      </c>
      <c r="M89" s="29" t="s">
        <v>482</v>
      </c>
      <c r="N89" s="30"/>
      <c r="O89" s="28" t="s">
        <v>460</v>
      </c>
      <c r="P89" s="27" t="s">
        <v>6</v>
      </c>
      <c r="Q89" s="27"/>
      <c r="R89" s="27"/>
      <c r="S89" s="27"/>
      <c r="T89" s="55">
        <f>IF(D89=Table!$C$3,V89*Table!$C$4/8,V89*Table!$D$4/8)</f>
        <v>70.443749999999994</v>
      </c>
      <c r="U89" s="27"/>
      <c r="V89" s="27">
        <v>4.335</v>
      </c>
      <c r="W89" s="27"/>
      <c r="X89" s="27"/>
      <c r="Y89" s="31">
        <v>43910</v>
      </c>
      <c r="Z89" s="31">
        <v>43920</v>
      </c>
      <c r="AA89" s="31"/>
      <c r="AB89" s="31"/>
      <c r="AC89" s="31"/>
      <c r="AD89" s="27"/>
      <c r="AE89" s="27"/>
      <c r="AF89" s="27"/>
      <c r="AG89" s="27"/>
      <c r="AH89" s="27"/>
    </row>
    <row r="90" spans="2:34" x14ac:dyDescent="0.35">
      <c r="B90" s="66">
        <v>88</v>
      </c>
      <c r="C90" s="28">
        <v>20200319</v>
      </c>
      <c r="D90" s="27" t="s">
        <v>2</v>
      </c>
      <c r="E90" s="27" t="s">
        <v>459</v>
      </c>
      <c r="F90" s="29"/>
      <c r="G90" s="27" t="s">
        <v>300</v>
      </c>
      <c r="H90" s="27" t="s">
        <v>366</v>
      </c>
      <c r="I90" s="27" t="s">
        <v>337</v>
      </c>
      <c r="J90" s="27"/>
      <c r="K90" s="27"/>
      <c r="L90" s="29" t="s">
        <v>419</v>
      </c>
      <c r="M90" s="29" t="s">
        <v>482</v>
      </c>
      <c r="N90" s="30"/>
      <c r="O90" s="28" t="s">
        <v>460</v>
      </c>
      <c r="P90" s="27" t="s">
        <v>6</v>
      </c>
      <c r="Q90" s="27"/>
      <c r="R90" s="27"/>
      <c r="S90" s="27"/>
      <c r="T90" s="55">
        <f>IF(D90=Table!$C$3,V90*Table!$C$4/8,V90*Table!$D$4/8)</f>
        <v>26.243749999999999</v>
      </c>
      <c r="U90" s="27"/>
      <c r="V90" s="27">
        <v>1.615</v>
      </c>
      <c r="W90" s="27"/>
      <c r="X90" s="27"/>
      <c r="Y90" s="31">
        <v>43910</v>
      </c>
      <c r="Z90" s="31">
        <v>43920</v>
      </c>
      <c r="AA90" s="31"/>
      <c r="AB90" s="31"/>
      <c r="AC90" s="31"/>
      <c r="AD90" s="27"/>
      <c r="AE90" s="27"/>
      <c r="AF90" s="27"/>
      <c r="AG90" s="27"/>
      <c r="AH90" s="27"/>
    </row>
    <row r="91" spans="2:34" x14ac:dyDescent="0.35">
      <c r="B91" s="66">
        <v>89</v>
      </c>
      <c r="C91" s="28">
        <v>20200319</v>
      </c>
      <c r="D91" s="27" t="s">
        <v>2</v>
      </c>
      <c r="E91" s="27" t="s">
        <v>459</v>
      </c>
      <c r="F91" s="29"/>
      <c r="G91" s="27" t="s">
        <v>301</v>
      </c>
      <c r="H91" s="27" t="s">
        <v>367</v>
      </c>
      <c r="I91" s="27" t="s">
        <v>337</v>
      </c>
      <c r="J91" s="27"/>
      <c r="K91" s="27"/>
      <c r="L91" s="29" t="s">
        <v>419</v>
      </c>
      <c r="M91" s="29" t="s">
        <v>482</v>
      </c>
      <c r="N91" s="30"/>
      <c r="O91" s="28" t="s">
        <v>460</v>
      </c>
      <c r="P91" s="27" t="s">
        <v>73</v>
      </c>
      <c r="Q91" s="27"/>
      <c r="R91" s="27"/>
      <c r="S91" s="27"/>
      <c r="T91" s="55">
        <f>IF(D91=Table!$C$3,V91*Table!$C$4/8,V91*Table!$D$4/8)</f>
        <v>26.243749999999999</v>
      </c>
      <c r="U91" s="27"/>
      <c r="V91" s="27">
        <v>1.615</v>
      </c>
      <c r="W91" s="27"/>
      <c r="X91" s="27"/>
      <c r="Y91" s="31">
        <v>43910</v>
      </c>
      <c r="Z91" s="31">
        <v>43920</v>
      </c>
      <c r="AA91" s="31"/>
      <c r="AB91" s="31"/>
      <c r="AC91" s="31"/>
      <c r="AD91" s="27"/>
      <c r="AE91" s="27"/>
      <c r="AF91" s="27"/>
      <c r="AG91" s="27"/>
      <c r="AH91" s="27"/>
    </row>
    <row r="92" spans="2:34" x14ac:dyDescent="0.35">
      <c r="B92" s="66">
        <v>90</v>
      </c>
      <c r="C92" s="28">
        <v>20200319</v>
      </c>
      <c r="D92" s="27" t="s">
        <v>2</v>
      </c>
      <c r="E92" s="27" t="s">
        <v>459</v>
      </c>
      <c r="F92" s="29"/>
      <c r="G92" s="27" t="s">
        <v>144</v>
      </c>
      <c r="H92" s="27" t="s">
        <v>368</v>
      </c>
      <c r="I92" s="27" t="s">
        <v>337</v>
      </c>
      <c r="J92" s="27"/>
      <c r="K92" s="27"/>
      <c r="L92" s="29" t="s">
        <v>419</v>
      </c>
      <c r="M92" s="29" t="s">
        <v>482</v>
      </c>
      <c r="N92" s="30"/>
      <c r="O92" s="28" t="s">
        <v>460</v>
      </c>
      <c r="P92" s="27" t="s">
        <v>73</v>
      </c>
      <c r="Q92" s="27"/>
      <c r="R92" s="27"/>
      <c r="S92" s="27"/>
      <c r="T92" s="55">
        <f>IF(D92=Table!$C$3,V92*Table!$C$4/8,V92*Table!$D$4/8)</f>
        <v>37.293749999999996</v>
      </c>
      <c r="U92" s="27"/>
      <c r="V92" s="27">
        <v>2.2949999999999999</v>
      </c>
      <c r="W92" s="27"/>
      <c r="X92" s="27"/>
      <c r="Y92" s="31">
        <v>43910</v>
      </c>
      <c r="Z92" s="31">
        <v>43920</v>
      </c>
      <c r="AA92" s="31"/>
      <c r="AB92" s="31"/>
      <c r="AC92" s="31"/>
      <c r="AD92" s="27"/>
      <c r="AE92" s="27"/>
      <c r="AF92" s="27"/>
      <c r="AG92" s="27"/>
      <c r="AH92" s="27"/>
    </row>
    <row r="93" spans="2:34" x14ac:dyDescent="0.35">
      <c r="B93" s="66">
        <v>91</v>
      </c>
      <c r="C93" s="28">
        <v>20200319</v>
      </c>
      <c r="D93" s="27" t="s">
        <v>2</v>
      </c>
      <c r="E93" s="27" t="s">
        <v>459</v>
      </c>
      <c r="F93" s="29"/>
      <c r="G93" s="27" t="s">
        <v>436</v>
      </c>
      <c r="H93" s="27" t="s">
        <v>369</v>
      </c>
      <c r="I93" s="27" t="s">
        <v>337</v>
      </c>
      <c r="J93" s="27"/>
      <c r="K93" s="27"/>
      <c r="L93" s="29" t="s">
        <v>420</v>
      </c>
      <c r="M93" s="29" t="s">
        <v>482</v>
      </c>
      <c r="N93" s="30"/>
      <c r="O93" s="28" t="s">
        <v>460</v>
      </c>
      <c r="P93" s="27" t="s">
        <v>73</v>
      </c>
      <c r="Q93" s="27"/>
      <c r="R93" s="27"/>
      <c r="S93" s="27"/>
      <c r="T93" s="55">
        <f>IF(D93=Table!$C$3,V93*Table!$C$4/8,V93*Table!$D$4/8)</f>
        <v>26.243749999999999</v>
      </c>
      <c r="U93" s="27"/>
      <c r="V93" s="27">
        <v>1.615</v>
      </c>
      <c r="W93" s="27"/>
      <c r="X93" s="27"/>
      <c r="Y93" s="31">
        <v>43910</v>
      </c>
      <c r="Z93" s="31">
        <v>43920</v>
      </c>
      <c r="AA93" s="31"/>
      <c r="AB93" s="31"/>
      <c r="AC93" s="31"/>
      <c r="AD93" s="27"/>
      <c r="AE93" s="27"/>
      <c r="AF93" s="27"/>
      <c r="AG93" s="27"/>
      <c r="AH93" s="27"/>
    </row>
    <row r="94" spans="2:34" x14ac:dyDescent="0.35">
      <c r="B94" s="66">
        <v>92</v>
      </c>
      <c r="C94" s="28">
        <v>20200319</v>
      </c>
      <c r="D94" s="27" t="s">
        <v>2</v>
      </c>
      <c r="E94" s="27" t="s">
        <v>459</v>
      </c>
      <c r="F94" s="29"/>
      <c r="G94" s="27" t="s">
        <v>145</v>
      </c>
      <c r="H94" s="27" t="s">
        <v>370</v>
      </c>
      <c r="I94" s="27" t="s">
        <v>337</v>
      </c>
      <c r="J94" s="27"/>
      <c r="K94" s="27"/>
      <c r="L94" s="29" t="s">
        <v>420</v>
      </c>
      <c r="M94" s="29" t="s">
        <v>482</v>
      </c>
      <c r="N94" s="30"/>
      <c r="O94" s="28" t="s">
        <v>460</v>
      </c>
      <c r="P94" s="27" t="s">
        <v>73</v>
      </c>
      <c r="Q94" s="27"/>
      <c r="R94" s="27"/>
      <c r="S94" s="27"/>
      <c r="T94" s="55">
        <f>IF(D94=Table!$C$3,V94*Table!$C$4/8,V94*Table!$D$4/8)</f>
        <v>26.243749999999999</v>
      </c>
      <c r="U94" s="27"/>
      <c r="V94" s="27">
        <v>1.615</v>
      </c>
      <c r="W94" s="27"/>
      <c r="X94" s="27"/>
      <c r="Y94" s="31">
        <v>43910</v>
      </c>
      <c r="Z94" s="31">
        <v>43920</v>
      </c>
      <c r="AA94" s="31"/>
      <c r="AB94" s="31"/>
      <c r="AC94" s="31"/>
      <c r="AD94" s="27"/>
      <c r="AE94" s="27"/>
      <c r="AF94" s="27"/>
      <c r="AG94" s="27"/>
      <c r="AH94" s="27"/>
    </row>
    <row r="95" spans="2:34" x14ac:dyDescent="0.35">
      <c r="B95" s="66">
        <v>93</v>
      </c>
      <c r="C95" s="28">
        <v>20200319</v>
      </c>
      <c r="D95" s="27" t="s">
        <v>2</v>
      </c>
      <c r="E95" s="27" t="s">
        <v>459</v>
      </c>
      <c r="F95" s="29"/>
      <c r="G95" s="27" t="s">
        <v>146</v>
      </c>
      <c r="H95" s="27" t="s">
        <v>371</v>
      </c>
      <c r="I95" s="27" t="s">
        <v>337</v>
      </c>
      <c r="J95" s="27"/>
      <c r="K95" s="27"/>
      <c r="L95" s="29" t="s">
        <v>420</v>
      </c>
      <c r="M95" s="29" t="s">
        <v>482</v>
      </c>
      <c r="N95" s="30"/>
      <c r="O95" s="28" t="s">
        <v>460</v>
      </c>
      <c r="P95" s="27" t="s">
        <v>73</v>
      </c>
      <c r="Q95" s="27"/>
      <c r="R95" s="27"/>
      <c r="S95" s="27"/>
      <c r="T95" s="55">
        <f>IF(D95=Table!$C$3,V95*Table!$C$4/8,V95*Table!$D$4/8)</f>
        <v>26.243749999999999</v>
      </c>
      <c r="U95" s="27"/>
      <c r="V95" s="27">
        <v>1.615</v>
      </c>
      <c r="W95" s="27"/>
      <c r="X95" s="27"/>
      <c r="Y95" s="31">
        <v>43910</v>
      </c>
      <c r="Z95" s="31">
        <v>43920</v>
      </c>
      <c r="AA95" s="31"/>
      <c r="AB95" s="31"/>
      <c r="AC95" s="31"/>
      <c r="AD95" s="27"/>
      <c r="AE95" s="27"/>
      <c r="AF95" s="27"/>
      <c r="AG95" s="27"/>
      <c r="AH95" s="27"/>
    </row>
    <row r="96" spans="2:34" x14ac:dyDescent="0.35">
      <c r="B96" s="66">
        <v>94</v>
      </c>
      <c r="C96" s="28">
        <v>20200319</v>
      </c>
      <c r="D96" s="27" t="s">
        <v>2</v>
      </c>
      <c r="E96" s="27" t="s">
        <v>459</v>
      </c>
      <c r="F96" s="29"/>
      <c r="G96" s="27" t="s">
        <v>147</v>
      </c>
      <c r="H96" s="27" t="s">
        <v>372</v>
      </c>
      <c r="I96" s="27" t="s">
        <v>337</v>
      </c>
      <c r="J96" s="27"/>
      <c r="K96" s="27"/>
      <c r="L96" s="29" t="s">
        <v>419</v>
      </c>
      <c r="M96" s="29" t="s">
        <v>482</v>
      </c>
      <c r="N96" s="30"/>
      <c r="O96" s="28" t="s">
        <v>460</v>
      </c>
      <c r="P96" s="27" t="s">
        <v>73</v>
      </c>
      <c r="Q96" s="27"/>
      <c r="R96" s="27"/>
      <c r="S96" s="27"/>
      <c r="T96" s="55">
        <f>IF(D96=Table!$C$3,V96*Table!$C$4/8,V96*Table!$D$4/8)</f>
        <v>26.243749999999999</v>
      </c>
      <c r="U96" s="27"/>
      <c r="V96" s="27">
        <v>1.615</v>
      </c>
      <c r="W96" s="27"/>
      <c r="X96" s="27"/>
      <c r="Y96" s="31">
        <v>43910</v>
      </c>
      <c r="Z96" s="31">
        <v>43920</v>
      </c>
      <c r="AA96" s="31"/>
      <c r="AB96" s="31"/>
      <c r="AC96" s="31"/>
      <c r="AD96" s="27"/>
      <c r="AE96" s="27"/>
      <c r="AF96" s="27"/>
      <c r="AG96" s="27"/>
      <c r="AH96" s="27"/>
    </row>
    <row r="97" spans="2:34" x14ac:dyDescent="0.35">
      <c r="B97" s="66">
        <v>95</v>
      </c>
      <c r="C97" s="28">
        <v>20200319</v>
      </c>
      <c r="D97" s="27" t="s">
        <v>2</v>
      </c>
      <c r="E97" s="27" t="s">
        <v>459</v>
      </c>
      <c r="F97" s="29"/>
      <c r="G97" s="27" t="s">
        <v>148</v>
      </c>
      <c r="H97" s="27" t="s">
        <v>373</v>
      </c>
      <c r="I97" s="27" t="s">
        <v>337</v>
      </c>
      <c r="J97" s="27"/>
      <c r="K97" s="27"/>
      <c r="L97" s="29" t="s">
        <v>420</v>
      </c>
      <c r="M97" s="29" t="s">
        <v>482</v>
      </c>
      <c r="N97" s="30"/>
      <c r="O97" s="28" t="s">
        <v>460</v>
      </c>
      <c r="P97" s="27" t="s">
        <v>73</v>
      </c>
      <c r="Q97" s="27"/>
      <c r="R97" s="27"/>
      <c r="S97" s="27"/>
      <c r="T97" s="55">
        <f>IF(D97=Table!$C$3,V97*Table!$C$4/8,V97*Table!$D$4/8)</f>
        <v>26.243749999999999</v>
      </c>
      <c r="U97" s="27"/>
      <c r="V97" s="27">
        <v>1.615</v>
      </c>
      <c r="W97" s="27"/>
      <c r="X97" s="27"/>
      <c r="Y97" s="31">
        <v>43910</v>
      </c>
      <c r="Z97" s="31">
        <v>43920</v>
      </c>
      <c r="AA97" s="31"/>
      <c r="AB97" s="31"/>
      <c r="AC97" s="31"/>
      <c r="AD97" s="27"/>
      <c r="AE97" s="27"/>
      <c r="AF97" s="27"/>
      <c r="AG97" s="27"/>
      <c r="AH97" s="27"/>
    </row>
    <row r="98" spans="2:34" x14ac:dyDescent="0.35">
      <c r="B98" s="66">
        <v>96</v>
      </c>
      <c r="C98" s="28">
        <v>20200319</v>
      </c>
      <c r="D98" s="27" t="s">
        <v>2</v>
      </c>
      <c r="E98" s="27" t="s">
        <v>459</v>
      </c>
      <c r="F98" s="29"/>
      <c r="G98" s="27" t="s">
        <v>149</v>
      </c>
      <c r="H98" s="27" t="s">
        <v>374</v>
      </c>
      <c r="I98" s="27" t="s">
        <v>337</v>
      </c>
      <c r="J98" s="27"/>
      <c r="K98" s="27"/>
      <c r="L98" s="29" t="s">
        <v>419</v>
      </c>
      <c r="M98" s="29" t="s">
        <v>482</v>
      </c>
      <c r="N98" s="30"/>
      <c r="O98" s="28" t="s">
        <v>460</v>
      </c>
      <c r="P98" s="27" t="s">
        <v>73</v>
      </c>
      <c r="Q98" s="27"/>
      <c r="R98" s="27"/>
      <c r="S98" s="27"/>
      <c r="T98" s="55">
        <f>IF(D98=Table!$C$3,V98*Table!$C$4/8,V98*Table!$D$4/8)</f>
        <v>26.243749999999999</v>
      </c>
      <c r="U98" s="27"/>
      <c r="V98" s="27">
        <v>1.615</v>
      </c>
      <c r="W98" s="27"/>
      <c r="X98" s="27"/>
      <c r="Y98" s="31">
        <v>43910</v>
      </c>
      <c r="Z98" s="31">
        <v>43920</v>
      </c>
      <c r="AA98" s="31"/>
      <c r="AB98" s="31"/>
      <c r="AC98" s="31"/>
      <c r="AD98" s="27"/>
      <c r="AE98" s="27"/>
      <c r="AF98" s="27"/>
      <c r="AG98" s="27"/>
      <c r="AH98" s="27"/>
    </row>
    <row r="99" spans="2:34" x14ac:dyDescent="0.35">
      <c r="B99" s="66">
        <v>97</v>
      </c>
      <c r="C99" s="28">
        <v>20200319</v>
      </c>
      <c r="D99" s="27" t="s">
        <v>2</v>
      </c>
      <c r="E99" s="27" t="s">
        <v>459</v>
      </c>
      <c r="F99" s="29"/>
      <c r="G99" s="27" t="s">
        <v>150</v>
      </c>
      <c r="H99" s="27" t="s">
        <v>375</v>
      </c>
      <c r="I99" s="27" t="s">
        <v>337</v>
      </c>
      <c r="J99" s="27"/>
      <c r="K99" s="27"/>
      <c r="L99" s="29" t="s">
        <v>419</v>
      </c>
      <c r="M99" s="29" t="s">
        <v>482</v>
      </c>
      <c r="N99" s="30"/>
      <c r="O99" s="28" t="s">
        <v>460</v>
      </c>
      <c r="P99" s="27" t="s">
        <v>73</v>
      </c>
      <c r="Q99" s="27"/>
      <c r="R99" s="27"/>
      <c r="S99" s="27"/>
      <c r="T99" s="55">
        <f>IF(D99=Table!$C$3,V99*Table!$C$4/8,V99*Table!$D$4/8)</f>
        <v>37.293749999999996</v>
      </c>
      <c r="U99" s="27"/>
      <c r="V99" s="27">
        <v>2.2949999999999999</v>
      </c>
      <c r="W99" s="27"/>
      <c r="X99" s="27"/>
      <c r="Y99" s="31">
        <v>43910</v>
      </c>
      <c r="Z99" s="31">
        <v>43920</v>
      </c>
      <c r="AA99" s="31"/>
      <c r="AB99" s="31"/>
      <c r="AC99" s="31"/>
      <c r="AD99" s="27"/>
      <c r="AE99" s="27"/>
      <c r="AF99" s="27"/>
      <c r="AG99" s="27"/>
      <c r="AH99" s="27"/>
    </row>
    <row r="100" spans="2:34" x14ac:dyDescent="0.35">
      <c r="B100" s="66">
        <v>98</v>
      </c>
      <c r="C100" s="28">
        <v>20200319</v>
      </c>
      <c r="D100" s="27" t="s">
        <v>2</v>
      </c>
      <c r="E100" s="27" t="s">
        <v>459</v>
      </c>
      <c r="F100" s="29"/>
      <c r="G100" s="27" t="s">
        <v>151</v>
      </c>
      <c r="H100" s="27" t="s">
        <v>376</v>
      </c>
      <c r="I100" s="27" t="s">
        <v>337</v>
      </c>
      <c r="J100" s="27"/>
      <c r="K100" s="27"/>
      <c r="L100" s="29" t="s">
        <v>421</v>
      </c>
      <c r="M100" s="29" t="s">
        <v>482</v>
      </c>
      <c r="N100" s="30"/>
      <c r="O100" s="28" t="s">
        <v>460</v>
      </c>
      <c r="P100" s="27" t="s">
        <v>73</v>
      </c>
      <c r="Q100" s="27"/>
      <c r="R100" s="27"/>
      <c r="S100" s="27"/>
      <c r="T100" s="55">
        <f>IF(D100=Table!$C$3,V100*Table!$C$4/8,V100*Table!$D$4/8)</f>
        <v>70.443749999999994</v>
      </c>
      <c r="U100" s="27"/>
      <c r="V100" s="27">
        <v>4.335</v>
      </c>
      <c r="W100" s="27"/>
      <c r="X100" s="27"/>
      <c r="Y100" s="31">
        <v>43910</v>
      </c>
      <c r="Z100" s="31">
        <v>43920</v>
      </c>
      <c r="AA100" s="31"/>
      <c r="AB100" s="31"/>
      <c r="AC100" s="31"/>
      <c r="AD100" s="27"/>
      <c r="AE100" s="27"/>
      <c r="AF100" s="27"/>
      <c r="AG100" s="27"/>
      <c r="AH100" s="27"/>
    </row>
    <row r="101" spans="2:34" x14ac:dyDescent="0.35">
      <c r="B101" s="66">
        <v>99</v>
      </c>
      <c r="C101" s="28">
        <v>20200319</v>
      </c>
      <c r="D101" s="27" t="s">
        <v>2</v>
      </c>
      <c r="E101" s="27" t="s">
        <v>459</v>
      </c>
      <c r="F101" s="29"/>
      <c r="G101" s="27" t="s">
        <v>152</v>
      </c>
      <c r="H101" s="27" t="s">
        <v>377</v>
      </c>
      <c r="I101" s="27" t="s">
        <v>337</v>
      </c>
      <c r="J101" s="27"/>
      <c r="K101" s="27"/>
      <c r="L101" s="29" t="s">
        <v>420</v>
      </c>
      <c r="M101" s="29" t="s">
        <v>482</v>
      </c>
      <c r="N101" s="30"/>
      <c r="O101" s="28" t="s">
        <v>460</v>
      </c>
      <c r="P101" s="27" t="s">
        <v>73</v>
      </c>
      <c r="Q101" s="27"/>
      <c r="R101" s="27"/>
      <c r="S101" s="27"/>
      <c r="T101" s="55">
        <f>IF(D101=Table!$C$3,V101*Table!$C$4/8,V101*Table!$D$4/8)</f>
        <v>26.243749999999999</v>
      </c>
      <c r="U101" s="27"/>
      <c r="V101" s="27">
        <v>1.615</v>
      </c>
      <c r="W101" s="27"/>
      <c r="X101" s="27"/>
      <c r="Y101" s="31">
        <v>43910</v>
      </c>
      <c r="Z101" s="31">
        <v>43920</v>
      </c>
      <c r="AA101" s="31"/>
      <c r="AB101" s="31"/>
      <c r="AC101" s="31"/>
      <c r="AD101" s="27"/>
      <c r="AE101" s="27"/>
      <c r="AF101" s="27"/>
      <c r="AG101" s="27"/>
      <c r="AH101" s="27"/>
    </row>
    <row r="102" spans="2:34" x14ac:dyDescent="0.35">
      <c r="B102" s="66">
        <v>100</v>
      </c>
      <c r="C102" s="28">
        <v>20200319</v>
      </c>
      <c r="D102" s="27" t="s">
        <v>2</v>
      </c>
      <c r="E102" s="27" t="s">
        <v>459</v>
      </c>
      <c r="F102" s="29"/>
      <c r="G102" s="27" t="s">
        <v>153</v>
      </c>
      <c r="H102" s="27" t="s">
        <v>378</v>
      </c>
      <c r="I102" s="27" t="s">
        <v>337</v>
      </c>
      <c r="J102" s="27"/>
      <c r="K102" s="27"/>
      <c r="L102" s="29" t="s">
        <v>420</v>
      </c>
      <c r="M102" s="29" t="s">
        <v>482</v>
      </c>
      <c r="N102" s="30"/>
      <c r="O102" s="28" t="s">
        <v>460</v>
      </c>
      <c r="P102" s="27" t="s">
        <v>73</v>
      </c>
      <c r="Q102" s="27"/>
      <c r="R102" s="27"/>
      <c r="S102" s="27"/>
      <c r="T102" s="55">
        <f>IF(D102=Table!$C$3,V102*Table!$C$4/8,V102*Table!$D$4/8)</f>
        <v>48.34375</v>
      </c>
      <c r="U102" s="27"/>
      <c r="V102" s="27">
        <v>2.9750000000000001</v>
      </c>
      <c r="W102" s="27"/>
      <c r="X102" s="27"/>
      <c r="Y102" s="31">
        <v>43910</v>
      </c>
      <c r="Z102" s="31">
        <v>43920</v>
      </c>
      <c r="AA102" s="31"/>
      <c r="AB102" s="31"/>
      <c r="AC102" s="31"/>
      <c r="AD102" s="27"/>
      <c r="AE102" s="27"/>
      <c r="AF102" s="27"/>
      <c r="AG102" s="27"/>
      <c r="AH102" s="27"/>
    </row>
    <row r="103" spans="2:34" x14ac:dyDescent="0.35">
      <c r="B103" s="66">
        <v>101</v>
      </c>
      <c r="C103" s="28">
        <v>20200319</v>
      </c>
      <c r="D103" s="27" t="s">
        <v>2</v>
      </c>
      <c r="E103" s="27" t="s">
        <v>459</v>
      </c>
      <c r="F103" s="29"/>
      <c r="G103" s="27" t="s">
        <v>154</v>
      </c>
      <c r="H103" s="27" t="s">
        <v>379</v>
      </c>
      <c r="I103" s="27" t="s">
        <v>337</v>
      </c>
      <c r="J103" s="27"/>
      <c r="K103" s="27"/>
      <c r="L103" s="29" t="s">
        <v>419</v>
      </c>
      <c r="M103" s="29" t="s">
        <v>482</v>
      </c>
      <c r="N103" s="30"/>
      <c r="O103" s="28" t="s">
        <v>460</v>
      </c>
      <c r="P103" s="27" t="s">
        <v>73</v>
      </c>
      <c r="Q103" s="27"/>
      <c r="R103" s="27"/>
      <c r="S103" s="27"/>
      <c r="T103" s="55">
        <f>IF(D103=Table!$C$3,V103*Table!$C$4/8,V103*Table!$D$4/8)</f>
        <v>26.243749999999999</v>
      </c>
      <c r="U103" s="27"/>
      <c r="V103" s="27">
        <v>1.615</v>
      </c>
      <c r="W103" s="27"/>
      <c r="X103" s="27"/>
      <c r="Y103" s="31">
        <v>43910</v>
      </c>
      <c r="Z103" s="31">
        <v>43920</v>
      </c>
      <c r="AA103" s="31"/>
      <c r="AB103" s="31"/>
      <c r="AC103" s="31"/>
      <c r="AD103" s="27"/>
      <c r="AE103" s="27"/>
      <c r="AF103" s="27"/>
      <c r="AG103" s="27"/>
      <c r="AH103" s="27"/>
    </row>
    <row r="104" spans="2:34" x14ac:dyDescent="0.35">
      <c r="B104" s="66">
        <v>102</v>
      </c>
      <c r="C104" s="28">
        <v>20200319</v>
      </c>
      <c r="D104" s="27" t="s">
        <v>2</v>
      </c>
      <c r="E104" s="27" t="s">
        <v>459</v>
      </c>
      <c r="F104" s="29"/>
      <c r="G104" s="27" t="s">
        <v>155</v>
      </c>
      <c r="H104" s="27" t="s">
        <v>380</v>
      </c>
      <c r="I104" s="27" t="s">
        <v>337</v>
      </c>
      <c r="J104" s="27"/>
      <c r="K104" s="27"/>
      <c r="L104" s="29" t="s">
        <v>419</v>
      </c>
      <c r="M104" s="29" t="s">
        <v>482</v>
      </c>
      <c r="N104" s="30"/>
      <c r="O104" s="28" t="s">
        <v>460</v>
      </c>
      <c r="P104" s="27" t="s">
        <v>73</v>
      </c>
      <c r="Q104" s="27"/>
      <c r="R104" s="27"/>
      <c r="S104" s="27"/>
      <c r="T104" s="55">
        <f>IF(D104=Table!$C$3,V104*Table!$C$4/8,V104*Table!$D$4/8)</f>
        <v>26.243749999999999</v>
      </c>
      <c r="U104" s="27"/>
      <c r="V104" s="27">
        <v>1.615</v>
      </c>
      <c r="W104" s="27"/>
      <c r="X104" s="27"/>
      <c r="Y104" s="31">
        <v>43910</v>
      </c>
      <c r="Z104" s="31">
        <v>43920</v>
      </c>
      <c r="AA104" s="31"/>
      <c r="AB104" s="31"/>
      <c r="AC104" s="31"/>
      <c r="AD104" s="27"/>
      <c r="AE104" s="27"/>
      <c r="AF104" s="27"/>
      <c r="AG104" s="27"/>
      <c r="AH104" s="27"/>
    </row>
    <row r="105" spans="2:34" x14ac:dyDescent="0.35">
      <c r="B105" s="66">
        <v>103</v>
      </c>
      <c r="C105" s="28">
        <v>20200319</v>
      </c>
      <c r="D105" s="27" t="s">
        <v>2</v>
      </c>
      <c r="E105" s="27" t="s">
        <v>459</v>
      </c>
      <c r="F105" s="29"/>
      <c r="G105" s="27" t="s">
        <v>156</v>
      </c>
      <c r="H105" s="27" t="s">
        <v>381</v>
      </c>
      <c r="I105" s="27" t="s">
        <v>337</v>
      </c>
      <c r="J105" s="27"/>
      <c r="K105" s="27"/>
      <c r="L105" s="29" t="s">
        <v>421</v>
      </c>
      <c r="M105" s="29" t="s">
        <v>482</v>
      </c>
      <c r="N105" s="30"/>
      <c r="O105" s="28" t="s">
        <v>460</v>
      </c>
      <c r="P105" s="27" t="s">
        <v>73</v>
      </c>
      <c r="Q105" s="27"/>
      <c r="R105" s="27"/>
      <c r="S105" s="27"/>
      <c r="T105" s="55">
        <f>IF(D105=Table!$C$3,V105*Table!$C$4/8,V105*Table!$D$4/8)</f>
        <v>26.243749999999999</v>
      </c>
      <c r="U105" s="27"/>
      <c r="V105" s="27">
        <v>1.615</v>
      </c>
      <c r="W105" s="27"/>
      <c r="X105" s="27"/>
      <c r="Y105" s="31">
        <v>43910</v>
      </c>
      <c r="Z105" s="31">
        <v>43920</v>
      </c>
      <c r="AA105" s="31"/>
      <c r="AB105" s="31"/>
      <c r="AC105" s="31"/>
      <c r="AD105" s="27"/>
      <c r="AE105" s="27"/>
      <c r="AF105" s="27"/>
      <c r="AG105" s="27"/>
      <c r="AH105" s="27"/>
    </row>
    <row r="106" spans="2:34" x14ac:dyDescent="0.35">
      <c r="B106" s="66">
        <v>104</v>
      </c>
      <c r="C106" s="28">
        <v>20200319</v>
      </c>
      <c r="D106" s="27" t="s">
        <v>2</v>
      </c>
      <c r="E106" s="27" t="s">
        <v>459</v>
      </c>
      <c r="F106" s="29"/>
      <c r="G106" s="27" t="s">
        <v>157</v>
      </c>
      <c r="H106" s="27" t="s">
        <v>382</v>
      </c>
      <c r="I106" s="27" t="s">
        <v>337</v>
      </c>
      <c r="J106" s="27"/>
      <c r="K106" s="27"/>
      <c r="L106" s="29" t="s">
        <v>419</v>
      </c>
      <c r="M106" s="29" t="s">
        <v>482</v>
      </c>
      <c r="N106" s="30"/>
      <c r="O106" s="28" t="s">
        <v>460</v>
      </c>
      <c r="P106" s="27" t="s">
        <v>73</v>
      </c>
      <c r="Q106" s="27"/>
      <c r="R106" s="27"/>
      <c r="S106" s="27"/>
      <c r="T106" s="55">
        <f>IF(D106=Table!$C$3,V106*Table!$C$4/8,V106*Table!$D$4/8)</f>
        <v>26.243749999999999</v>
      </c>
      <c r="U106" s="27"/>
      <c r="V106" s="27">
        <v>1.615</v>
      </c>
      <c r="W106" s="27"/>
      <c r="X106" s="27"/>
      <c r="Y106" s="31">
        <v>43910</v>
      </c>
      <c r="Z106" s="31">
        <v>43920</v>
      </c>
      <c r="AA106" s="31"/>
      <c r="AB106" s="31"/>
      <c r="AC106" s="31"/>
      <c r="AD106" s="27"/>
      <c r="AE106" s="27"/>
      <c r="AF106" s="27"/>
      <c r="AG106" s="27"/>
      <c r="AH106" s="27"/>
    </row>
    <row r="107" spans="2:34" x14ac:dyDescent="0.35">
      <c r="B107" s="66">
        <v>105</v>
      </c>
      <c r="C107" s="28">
        <v>20200319</v>
      </c>
      <c r="D107" s="27" t="s">
        <v>2</v>
      </c>
      <c r="E107" s="27" t="s">
        <v>459</v>
      </c>
      <c r="F107" s="29"/>
      <c r="G107" s="27" t="s">
        <v>302</v>
      </c>
      <c r="H107" s="27" t="s">
        <v>383</v>
      </c>
      <c r="I107" s="27" t="s">
        <v>337</v>
      </c>
      <c r="J107" s="27"/>
      <c r="K107" s="27"/>
      <c r="L107" s="29" t="s">
        <v>419</v>
      </c>
      <c r="M107" s="29" t="s">
        <v>482</v>
      </c>
      <c r="N107" s="30"/>
      <c r="O107" s="28" t="s">
        <v>460</v>
      </c>
      <c r="P107" s="27" t="s">
        <v>73</v>
      </c>
      <c r="Q107" s="27"/>
      <c r="R107" s="27"/>
      <c r="S107" s="27"/>
      <c r="T107" s="55">
        <f>IF(D107=Table!$C$3,V107*Table!$C$4/8,V107*Table!$D$4/8)</f>
        <v>26.243749999999999</v>
      </c>
      <c r="U107" s="27"/>
      <c r="V107" s="27">
        <v>1.615</v>
      </c>
      <c r="W107" s="27"/>
      <c r="X107" s="27"/>
      <c r="Y107" s="31">
        <v>43910</v>
      </c>
      <c r="Z107" s="31">
        <v>43920</v>
      </c>
      <c r="AA107" s="31"/>
      <c r="AB107" s="31"/>
      <c r="AC107" s="31"/>
      <c r="AD107" s="27"/>
      <c r="AE107" s="27"/>
      <c r="AF107" s="27"/>
      <c r="AG107" s="27"/>
      <c r="AH107" s="27"/>
    </row>
    <row r="108" spans="2:34" x14ac:dyDescent="0.35">
      <c r="B108" s="66">
        <v>106</v>
      </c>
      <c r="C108" s="28">
        <v>20200319</v>
      </c>
      <c r="D108" s="27" t="s">
        <v>2</v>
      </c>
      <c r="E108" s="27" t="s">
        <v>459</v>
      </c>
      <c r="F108" s="29"/>
      <c r="G108" s="27" t="s">
        <v>158</v>
      </c>
      <c r="H108" s="27" t="s">
        <v>384</v>
      </c>
      <c r="I108" s="27" t="s">
        <v>337</v>
      </c>
      <c r="J108" s="27"/>
      <c r="K108" s="27"/>
      <c r="L108" s="29" t="s">
        <v>419</v>
      </c>
      <c r="M108" s="29" t="s">
        <v>482</v>
      </c>
      <c r="N108" s="30"/>
      <c r="O108" s="28" t="s">
        <v>460</v>
      </c>
      <c r="P108" s="27" t="s">
        <v>73</v>
      </c>
      <c r="Q108" s="27"/>
      <c r="R108" s="27"/>
      <c r="S108" s="27"/>
      <c r="T108" s="55">
        <f>IF(D108=Table!$C$3,V108*Table!$C$4/8,V108*Table!$D$4/8)</f>
        <v>64.918750000000003</v>
      </c>
      <c r="U108" s="27"/>
      <c r="V108" s="27">
        <v>3.9950000000000001</v>
      </c>
      <c r="W108" s="27"/>
      <c r="X108" s="27"/>
      <c r="Y108" s="31">
        <v>43910</v>
      </c>
      <c r="Z108" s="31">
        <v>43920</v>
      </c>
      <c r="AA108" s="31"/>
      <c r="AB108" s="31"/>
      <c r="AC108" s="31"/>
      <c r="AD108" s="27"/>
      <c r="AE108" s="27"/>
      <c r="AF108" s="27"/>
      <c r="AG108" s="27"/>
      <c r="AH108" s="27"/>
    </row>
    <row r="109" spans="2:34" x14ac:dyDescent="0.35">
      <c r="B109" s="66">
        <v>107</v>
      </c>
      <c r="C109" s="28">
        <v>20200319</v>
      </c>
      <c r="D109" s="27" t="s">
        <v>2</v>
      </c>
      <c r="E109" s="27" t="s">
        <v>459</v>
      </c>
      <c r="F109" s="29"/>
      <c r="G109" s="27" t="s">
        <v>159</v>
      </c>
      <c r="H109" s="27" t="s">
        <v>385</v>
      </c>
      <c r="I109" s="27" t="s">
        <v>337</v>
      </c>
      <c r="J109" s="27"/>
      <c r="K109" s="27"/>
      <c r="L109" s="29" t="s">
        <v>419</v>
      </c>
      <c r="M109" s="29" t="s">
        <v>482</v>
      </c>
      <c r="N109" s="30"/>
      <c r="O109" s="28" t="s">
        <v>460</v>
      </c>
      <c r="P109" s="27" t="s">
        <v>73</v>
      </c>
      <c r="Q109" s="27"/>
      <c r="R109" s="27"/>
      <c r="S109" s="27"/>
      <c r="T109" s="55">
        <f>IF(D109=Table!$C$3,V109*Table!$C$4/8,V109*Table!$D$4/8)</f>
        <v>103.59375</v>
      </c>
      <c r="U109" s="27"/>
      <c r="V109" s="27">
        <v>6.375</v>
      </c>
      <c r="W109" s="27"/>
      <c r="X109" s="27"/>
      <c r="Y109" s="31">
        <v>43910</v>
      </c>
      <c r="Z109" s="31">
        <v>43920</v>
      </c>
      <c r="AA109" s="31"/>
      <c r="AB109" s="31"/>
      <c r="AC109" s="31"/>
      <c r="AD109" s="27"/>
      <c r="AE109" s="27"/>
      <c r="AF109" s="27"/>
      <c r="AG109" s="27"/>
      <c r="AH109" s="27"/>
    </row>
    <row r="110" spans="2:34" x14ac:dyDescent="0.35">
      <c r="B110" s="66">
        <v>108</v>
      </c>
      <c r="C110" s="28">
        <v>20200319</v>
      </c>
      <c r="D110" s="27" t="s">
        <v>2</v>
      </c>
      <c r="E110" s="27" t="s">
        <v>459</v>
      </c>
      <c r="F110" s="29"/>
      <c r="G110" s="27" t="s">
        <v>160</v>
      </c>
      <c r="H110" s="27" t="s">
        <v>386</v>
      </c>
      <c r="I110" s="27" t="s">
        <v>337</v>
      </c>
      <c r="J110" s="27"/>
      <c r="K110" s="27"/>
      <c r="L110" s="29" t="s">
        <v>419</v>
      </c>
      <c r="M110" s="29" t="s">
        <v>482</v>
      </c>
      <c r="N110" s="30"/>
      <c r="O110" s="28" t="s">
        <v>460</v>
      </c>
      <c r="P110" s="27" t="s">
        <v>73</v>
      </c>
      <c r="Q110" s="27"/>
      <c r="R110" s="27"/>
      <c r="S110" s="27"/>
      <c r="T110" s="55">
        <f>IF(D110=Table!$C$3,V110*Table!$C$4/8,V110*Table!$D$4/8)</f>
        <v>26.243749999999999</v>
      </c>
      <c r="U110" s="27"/>
      <c r="V110" s="27">
        <v>1.615</v>
      </c>
      <c r="W110" s="27"/>
      <c r="X110" s="27"/>
      <c r="Y110" s="31">
        <v>43910</v>
      </c>
      <c r="Z110" s="31">
        <v>43920</v>
      </c>
      <c r="AA110" s="31"/>
      <c r="AB110" s="31"/>
      <c r="AC110" s="31"/>
      <c r="AD110" s="27"/>
      <c r="AE110" s="27"/>
      <c r="AF110" s="27"/>
      <c r="AG110" s="27"/>
      <c r="AH110" s="27"/>
    </row>
    <row r="111" spans="2:34" x14ac:dyDescent="0.35">
      <c r="B111" s="66">
        <v>109</v>
      </c>
      <c r="C111" s="28">
        <v>20200319</v>
      </c>
      <c r="D111" s="27" t="s">
        <v>2</v>
      </c>
      <c r="E111" s="27" t="s">
        <v>459</v>
      </c>
      <c r="F111" s="29"/>
      <c r="G111" s="27" t="s">
        <v>303</v>
      </c>
      <c r="H111" s="27" t="s">
        <v>387</v>
      </c>
      <c r="I111" s="27" t="s">
        <v>338</v>
      </c>
      <c r="J111" s="27"/>
      <c r="K111" s="27"/>
      <c r="L111" s="29" t="s">
        <v>419</v>
      </c>
      <c r="M111" s="29" t="s">
        <v>482</v>
      </c>
      <c r="N111" s="30"/>
      <c r="O111" s="28" t="s">
        <v>460</v>
      </c>
      <c r="P111" s="27" t="s">
        <v>73</v>
      </c>
      <c r="Q111" s="27"/>
      <c r="R111" s="27"/>
      <c r="S111" s="27"/>
      <c r="T111" s="55">
        <f>IF(D111=Table!$C$3,V111*Table!$C$4/8,V111*Table!$D$4/8)</f>
        <v>48.34375</v>
      </c>
      <c r="U111" s="27"/>
      <c r="V111" s="27">
        <v>2.9750000000000001</v>
      </c>
      <c r="W111" s="27"/>
      <c r="X111" s="27"/>
      <c r="Y111" s="31">
        <v>43910</v>
      </c>
      <c r="Z111" s="31">
        <v>43920</v>
      </c>
      <c r="AA111" s="31"/>
      <c r="AB111" s="31"/>
      <c r="AC111" s="31"/>
      <c r="AD111" s="27"/>
      <c r="AE111" s="27"/>
      <c r="AF111" s="27"/>
      <c r="AG111" s="27"/>
      <c r="AH111" s="27"/>
    </row>
    <row r="112" spans="2:34" x14ac:dyDescent="0.35">
      <c r="B112" s="66">
        <v>110</v>
      </c>
      <c r="C112" s="28">
        <v>20200319</v>
      </c>
      <c r="D112" s="27" t="s">
        <v>2</v>
      </c>
      <c r="E112" s="27" t="s">
        <v>459</v>
      </c>
      <c r="F112" s="29"/>
      <c r="G112" s="27" t="s">
        <v>437</v>
      </c>
      <c r="H112" s="27" t="s">
        <v>388</v>
      </c>
      <c r="I112" s="27" t="s">
        <v>337</v>
      </c>
      <c r="J112" s="27"/>
      <c r="K112" s="27"/>
      <c r="L112" s="29" t="s">
        <v>419</v>
      </c>
      <c r="M112" s="29" t="s">
        <v>482</v>
      </c>
      <c r="N112" s="30"/>
      <c r="O112" s="28" t="s">
        <v>460</v>
      </c>
      <c r="P112" s="27" t="s">
        <v>73</v>
      </c>
      <c r="Q112" s="27"/>
      <c r="R112" s="27"/>
      <c r="S112" s="27"/>
      <c r="T112" s="55">
        <f>IF(D112=Table!$C$3,V112*Table!$C$4/8,V112*Table!$D$4/8)</f>
        <v>81.493750000000006</v>
      </c>
      <c r="U112" s="27"/>
      <c r="V112" s="27">
        <v>5.0150000000000006</v>
      </c>
      <c r="W112" s="27"/>
      <c r="X112" s="27"/>
      <c r="Y112" s="31">
        <v>43910</v>
      </c>
      <c r="Z112" s="31">
        <v>43920</v>
      </c>
      <c r="AA112" s="31"/>
      <c r="AB112" s="31"/>
      <c r="AC112" s="31"/>
      <c r="AD112" s="27"/>
      <c r="AE112" s="27"/>
      <c r="AF112" s="27"/>
      <c r="AG112" s="27"/>
      <c r="AH112" s="27"/>
    </row>
    <row r="113" spans="2:34" x14ac:dyDescent="0.35">
      <c r="B113" s="66">
        <v>111</v>
      </c>
      <c r="C113" s="28">
        <v>20200319</v>
      </c>
      <c r="D113" s="27" t="s">
        <v>2</v>
      </c>
      <c r="E113" s="27" t="s">
        <v>459</v>
      </c>
      <c r="F113" s="29"/>
      <c r="G113" s="27" t="s">
        <v>161</v>
      </c>
      <c r="H113" s="27" t="s">
        <v>389</v>
      </c>
      <c r="I113" s="27" t="s">
        <v>337</v>
      </c>
      <c r="J113" s="27"/>
      <c r="K113" s="27"/>
      <c r="L113" s="29" t="s">
        <v>419</v>
      </c>
      <c r="M113" s="29" t="s">
        <v>482</v>
      </c>
      <c r="N113" s="30"/>
      <c r="O113" s="28" t="s">
        <v>460</v>
      </c>
      <c r="P113" s="27" t="s">
        <v>73</v>
      </c>
      <c r="Q113" s="27"/>
      <c r="R113" s="27"/>
      <c r="S113" s="27"/>
      <c r="T113" s="55">
        <f>IF(D113=Table!$C$3,V113*Table!$C$4/8,V113*Table!$D$4/8)</f>
        <v>26.243749999999999</v>
      </c>
      <c r="U113" s="27"/>
      <c r="V113" s="27">
        <v>1.615</v>
      </c>
      <c r="W113" s="27"/>
      <c r="X113" s="27"/>
      <c r="Y113" s="31">
        <v>43910</v>
      </c>
      <c r="Z113" s="31">
        <v>43920</v>
      </c>
      <c r="AA113" s="31"/>
      <c r="AB113" s="31"/>
      <c r="AC113" s="31"/>
      <c r="AD113" s="27"/>
      <c r="AE113" s="27"/>
      <c r="AF113" s="27"/>
      <c r="AG113" s="27"/>
      <c r="AH113" s="27"/>
    </row>
    <row r="114" spans="2:34" x14ac:dyDescent="0.35">
      <c r="B114" s="66">
        <v>112</v>
      </c>
      <c r="C114" s="28">
        <v>20200319</v>
      </c>
      <c r="D114" s="27" t="s">
        <v>2</v>
      </c>
      <c r="E114" s="27" t="s">
        <v>459</v>
      </c>
      <c r="F114" s="29"/>
      <c r="G114" s="27" t="s">
        <v>438</v>
      </c>
      <c r="H114" s="27" t="s">
        <v>390</v>
      </c>
      <c r="I114" s="27" t="s">
        <v>337</v>
      </c>
      <c r="J114" s="27"/>
      <c r="K114" s="27"/>
      <c r="L114" s="29" t="s">
        <v>422</v>
      </c>
      <c r="M114" s="29" t="s">
        <v>482</v>
      </c>
      <c r="N114" s="30"/>
      <c r="O114" s="28" t="s">
        <v>460</v>
      </c>
      <c r="P114" s="27" t="s">
        <v>75</v>
      </c>
      <c r="Q114" s="27"/>
      <c r="R114" s="27"/>
      <c r="S114" s="27"/>
      <c r="T114" s="55">
        <f>IF(D114=Table!$C$3,V114*Table!$C$4/8,V114*Table!$D$4/8)</f>
        <v>26.243749999999999</v>
      </c>
      <c r="U114" s="27"/>
      <c r="V114" s="27">
        <v>1.615</v>
      </c>
      <c r="W114" s="27"/>
      <c r="X114" s="27"/>
      <c r="Y114" s="31">
        <v>43910</v>
      </c>
      <c r="Z114" s="31">
        <v>43920</v>
      </c>
      <c r="AA114" s="31"/>
      <c r="AB114" s="31"/>
      <c r="AC114" s="31"/>
      <c r="AD114" s="27"/>
      <c r="AE114" s="27"/>
      <c r="AF114" s="27"/>
      <c r="AG114" s="27"/>
      <c r="AH114" s="27"/>
    </row>
    <row r="115" spans="2:34" x14ac:dyDescent="0.35">
      <c r="B115" s="66">
        <v>113</v>
      </c>
      <c r="C115" s="28">
        <v>20200319</v>
      </c>
      <c r="D115" s="27" t="s">
        <v>2</v>
      </c>
      <c r="E115" s="27" t="s">
        <v>459</v>
      </c>
      <c r="F115" s="29"/>
      <c r="G115" s="27" t="s">
        <v>304</v>
      </c>
      <c r="H115" s="27" t="s">
        <v>391</v>
      </c>
      <c r="I115" s="27" t="s">
        <v>337</v>
      </c>
      <c r="J115" s="27"/>
      <c r="K115" s="27"/>
      <c r="L115" s="29" t="s">
        <v>419</v>
      </c>
      <c r="M115" s="29" t="s">
        <v>482</v>
      </c>
      <c r="N115" s="30"/>
      <c r="O115" s="28" t="s">
        <v>460</v>
      </c>
      <c r="P115" s="27" t="s">
        <v>75</v>
      </c>
      <c r="Q115" s="27"/>
      <c r="R115" s="27"/>
      <c r="S115" s="27"/>
      <c r="T115" s="55">
        <f>IF(D115=Table!$C$3,V115*Table!$C$4/8,V115*Table!$D$4/8)</f>
        <v>26.243749999999999</v>
      </c>
      <c r="U115" s="27"/>
      <c r="V115" s="27">
        <v>1.615</v>
      </c>
      <c r="W115" s="27"/>
      <c r="X115" s="27"/>
      <c r="Y115" s="31">
        <v>43910</v>
      </c>
      <c r="Z115" s="31">
        <v>43920</v>
      </c>
      <c r="AA115" s="31"/>
      <c r="AB115" s="31"/>
      <c r="AC115" s="31"/>
      <c r="AD115" s="27"/>
      <c r="AE115" s="27"/>
      <c r="AF115" s="27"/>
      <c r="AG115" s="27"/>
      <c r="AH115" s="27"/>
    </row>
    <row r="116" spans="2:34" x14ac:dyDescent="0.35">
      <c r="B116" s="66">
        <v>114</v>
      </c>
      <c r="C116" s="28">
        <v>20200319</v>
      </c>
      <c r="D116" s="27" t="s">
        <v>2</v>
      </c>
      <c r="E116" s="27" t="s">
        <v>459</v>
      </c>
      <c r="F116" s="29"/>
      <c r="G116" s="27" t="s">
        <v>305</v>
      </c>
      <c r="H116" s="27" t="s">
        <v>392</v>
      </c>
      <c r="I116" s="27" t="s">
        <v>337</v>
      </c>
      <c r="J116" s="27"/>
      <c r="K116" s="27"/>
      <c r="L116" s="29" t="s">
        <v>419</v>
      </c>
      <c r="M116" s="29" t="s">
        <v>482</v>
      </c>
      <c r="N116" s="30"/>
      <c r="O116" s="28" t="s">
        <v>460</v>
      </c>
      <c r="P116" s="27" t="s">
        <v>75</v>
      </c>
      <c r="Q116" s="27"/>
      <c r="R116" s="27"/>
      <c r="S116" s="27"/>
      <c r="T116" s="55">
        <f>IF(D116=Table!$C$3,V116*Table!$C$4/8,V116*Table!$D$4/8)</f>
        <v>53.868750000000006</v>
      </c>
      <c r="U116" s="27"/>
      <c r="V116" s="27">
        <v>3.3150000000000004</v>
      </c>
      <c r="W116" s="27"/>
      <c r="X116" s="27"/>
      <c r="Y116" s="31">
        <v>43910</v>
      </c>
      <c r="Z116" s="31">
        <v>43920</v>
      </c>
      <c r="AA116" s="31"/>
      <c r="AB116" s="31"/>
      <c r="AC116" s="31"/>
      <c r="AD116" s="27"/>
      <c r="AE116" s="27"/>
      <c r="AF116" s="27"/>
      <c r="AG116" s="27"/>
      <c r="AH116" s="27"/>
    </row>
    <row r="117" spans="2:34" x14ac:dyDescent="0.35">
      <c r="B117" s="66">
        <v>115</v>
      </c>
      <c r="C117" s="28">
        <v>20200319</v>
      </c>
      <c r="D117" s="27" t="s">
        <v>2</v>
      </c>
      <c r="E117" s="27" t="s">
        <v>459</v>
      </c>
      <c r="F117" s="29"/>
      <c r="G117" s="27" t="s">
        <v>439</v>
      </c>
      <c r="H117" s="27" t="s">
        <v>393</v>
      </c>
      <c r="I117" s="27" t="s">
        <v>337</v>
      </c>
      <c r="J117" s="27"/>
      <c r="K117" s="27"/>
      <c r="L117" s="29" t="s">
        <v>419</v>
      </c>
      <c r="M117" s="29" t="s">
        <v>482</v>
      </c>
      <c r="N117" s="30"/>
      <c r="O117" s="28" t="s">
        <v>460</v>
      </c>
      <c r="P117" s="27" t="s">
        <v>75</v>
      </c>
      <c r="Q117" s="27"/>
      <c r="R117" s="27"/>
      <c r="S117" s="27"/>
      <c r="T117" s="55">
        <f>IF(D117=Table!$C$3,V117*Table!$C$4/8,V117*Table!$D$4/8)</f>
        <v>26.243749999999999</v>
      </c>
      <c r="U117" s="27"/>
      <c r="V117" s="27">
        <v>1.615</v>
      </c>
      <c r="W117" s="27"/>
      <c r="X117" s="27"/>
      <c r="Y117" s="31">
        <v>43910</v>
      </c>
      <c r="Z117" s="31">
        <v>43920</v>
      </c>
      <c r="AA117" s="31"/>
      <c r="AB117" s="31"/>
      <c r="AC117" s="31"/>
      <c r="AD117" s="27"/>
      <c r="AE117" s="27"/>
      <c r="AF117" s="27"/>
      <c r="AG117" s="27"/>
      <c r="AH117" s="27"/>
    </row>
    <row r="118" spans="2:34" x14ac:dyDescent="0.35">
      <c r="B118" s="66">
        <v>116</v>
      </c>
      <c r="C118" s="28">
        <v>20200319</v>
      </c>
      <c r="D118" s="27" t="s">
        <v>2</v>
      </c>
      <c r="E118" s="27" t="s">
        <v>459</v>
      </c>
      <c r="F118" s="29"/>
      <c r="G118" s="27" t="s">
        <v>440</v>
      </c>
      <c r="H118" s="27" t="s">
        <v>394</v>
      </c>
      <c r="I118" s="27" t="s">
        <v>337</v>
      </c>
      <c r="J118" s="27"/>
      <c r="K118" s="27"/>
      <c r="L118" s="29" t="s">
        <v>420</v>
      </c>
      <c r="M118" s="29" t="s">
        <v>482</v>
      </c>
      <c r="N118" s="30"/>
      <c r="O118" s="28" t="s">
        <v>460</v>
      </c>
      <c r="P118" s="27" t="s">
        <v>75</v>
      </c>
      <c r="Q118" s="27"/>
      <c r="R118" s="27"/>
      <c r="S118" s="27"/>
      <c r="T118" s="55">
        <f>IF(D118=Table!$C$3,V118*Table!$C$4/8,V118*Table!$D$4/8)</f>
        <v>26.243749999999999</v>
      </c>
      <c r="U118" s="27"/>
      <c r="V118" s="27">
        <v>1.615</v>
      </c>
      <c r="W118" s="27"/>
      <c r="X118" s="27"/>
      <c r="Y118" s="31">
        <v>43910</v>
      </c>
      <c r="Z118" s="31">
        <v>43920</v>
      </c>
      <c r="AA118" s="31"/>
      <c r="AB118" s="31"/>
      <c r="AC118" s="31"/>
      <c r="AD118" s="27"/>
      <c r="AE118" s="27"/>
      <c r="AF118" s="27"/>
      <c r="AG118" s="27"/>
      <c r="AH118" s="27"/>
    </row>
    <row r="119" spans="2:34" x14ac:dyDescent="0.35">
      <c r="B119" s="66">
        <v>117</v>
      </c>
      <c r="C119" s="28">
        <v>20200319</v>
      </c>
      <c r="D119" s="27" t="s">
        <v>2</v>
      </c>
      <c r="E119" s="27" t="s">
        <v>459</v>
      </c>
      <c r="F119" s="29"/>
      <c r="G119" s="27" t="s">
        <v>306</v>
      </c>
      <c r="H119" s="27" t="s">
        <v>395</v>
      </c>
      <c r="I119" s="27" t="s">
        <v>337</v>
      </c>
      <c r="J119" s="27"/>
      <c r="K119" s="27"/>
      <c r="L119" s="29" t="s">
        <v>419</v>
      </c>
      <c r="M119" s="29" t="s">
        <v>482</v>
      </c>
      <c r="N119" s="30"/>
      <c r="O119" s="28" t="s">
        <v>460</v>
      </c>
      <c r="P119" s="27" t="s">
        <v>75</v>
      </c>
      <c r="Q119" s="27"/>
      <c r="R119" s="27"/>
      <c r="S119" s="27"/>
      <c r="T119" s="55">
        <f>IF(D119=Table!$C$3,V119*Table!$C$4/8,V119*Table!$D$4/8)</f>
        <v>59.393749999999997</v>
      </c>
      <c r="U119" s="27"/>
      <c r="V119" s="27">
        <v>3.6549999999999998</v>
      </c>
      <c r="W119" s="27"/>
      <c r="X119" s="27"/>
      <c r="Y119" s="31">
        <v>43910</v>
      </c>
      <c r="Z119" s="31">
        <v>43920</v>
      </c>
      <c r="AA119" s="31"/>
      <c r="AB119" s="31"/>
      <c r="AC119" s="31"/>
      <c r="AD119" s="27"/>
      <c r="AE119" s="27"/>
      <c r="AF119" s="27"/>
      <c r="AG119" s="27"/>
      <c r="AH119" s="27"/>
    </row>
    <row r="120" spans="2:34" x14ac:dyDescent="0.35">
      <c r="B120" s="66">
        <v>118</v>
      </c>
      <c r="C120" s="28">
        <v>20200319</v>
      </c>
      <c r="D120" s="27" t="s">
        <v>2</v>
      </c>
      <c r="E120" s="27" t="s">
        <v>459</v>
      </c>
      <c r="F120" s="29"/>
      <c r="G120" s="27" t="s">
        <v>307</v>
      </c>
      <c r="H120" s="27" t="s">
        <v>396</v>
      </c>
      <c r="I120" s="27" t="s">
        <v>431</v>
      </c>
      <c r="J120" s="27"/>
      <c r="K120" s="27"/>
      <c r="L120" s="29" t="s">
        <v>423</v>
      </c>
      <c r="M120" s="29" t="s">
        <v>482</v>
      </c>
      <c r="N120" s="30"/>
      <c r="O120" s="28" t="s">
        <v>460</v>
      </c>
      <c r="P120" s="27" t="s">
        <v>75</v>
      </c>
      <c r="Q120" s="27"/>
      <c r="R120" s="27"/>
      <c r="S120" s="27"/>
      <c r="T120" s="55">
        <f>IF(D120=Table!$C$3,V120*Table!$C$4/8,V120*Table!$D$4/8)</f>
        <v>158.84375</v>
      </c>
      <c r="U120" s="27"/>
      <c r="V120" s="27">
        <v>9.7750000000000004</v>
      </c>
      <c r="W120" s="27"/>
      <c r="X120" s="27"/>
      <c r="Y120" s="31">
        <v>43910</v>
      </c>
      <c r="Z120" s="31">
        <v>43920</v>
      </c>
      <c r="AA120" s="31"/>
      <c r="AB120" s="31"/>
      <c r="AC120" s="31"/>
      <c r="AD120" s="27"/>
      <c r="AE120" s="27"/>
      <c r="AF120" s="27"/>
      <c r="AG120" s="27"/>
      <c r="AH120" s="27"/>
    </row>
    <row r="121" spans="2:34" x14ac:dyDescent="0.35">
      <c r="B121" s="66">
        <v>119</v>
      </c>
      <c r="C121" s="28">
        <v>20200319</v>
      </c>
      <c r="D121" s="27" t="s">
        <v>2</v>
      </c>
      <c r="E121" s="27" t="s">
        <v>459</v>
      </c>
      <c r="F121" s="29"/>
      <c r="G121" s="27" t="s">
        <v>308</v>
      </c>
      <c r="H121" s="27" t="s">
        <v>397</v>
      </c>
      <c r="I121" s="27" t="s">
        <v>337</v>
      </c>
      <c r="J121" s="27"/>
      <c r="K121" s="27"/>
      <c r="L121" s="29" t="s">
        <v>424</v>
      </c>
      <c r="M121" s="29" t="s">
        <v>482</v>
      </c>
      <c r="N121" s="30"/>
      <c r="O121" s="28" t="s">
        <v>460</v>
      </c>
      <c r="P121" s="27" t="s">
        <v>75</v>
      </c>
      <c r="Q121" s="27"/>
      <c r="R121" s="27"/>
      <c r="S121" s="27"/>
      <c r="T121" s="55">
        <f>IF(D121=Table!$C$3,V121*Table!$C$4/8,V121*Table!$D$4/8)</f>
        <v>26.243749999999999</v>
      </c>
      <c r="U121" s="27"/>
      <c r="V121" s="27">
        <v>1.615</v>
      </c>
      <c r="W121" s="27"/>
      <c r="X121" s="27"/>
      <c r="Y121" s="31">
        <v>43910</v>
      </c>
      <c r="Z121" s="31">
        <v>43920</v>
      </c>
      <c r="AA121" s="31"/>
      <c r="AB121" s="31"/>
      <c r="AC121" s="31"/>
      <c r="AD121" s="27"/>
      <c r="AE121" s="27"/>
      <c r="AF121" s="27"/>
      <c r="AG121" s="27"/>
      <c r="AH121" s="27"/>
    </row>
    <row r="122" spans="2:34" x14ac:dyDescent="0.35">
      <c r="B122" s="66">
        <v>120</v>
      </c>
      <c r="C122" s="28">
        <v>20200319</v>
      </c>
      <c r="D122" s="27" t="s">
        <v>2</v>
      </c>
      <c r="E122" s="27" t="s">
        <v>459</v>
      </c>
      <c r="F122" s="29"/>
      <c r="G122" s="27" t="s">
        <v>309</v>
      </c>
      <c r="H122" s="27" t="s">
        <v>398</v>
      </c>
      <c r="I122" s="27" t="s">
        <v>337</v>
      </c>
      <c r="J122" s="27"/>
      <c r="K122" s="27"/>
      <c r="L122" s="29" t="s">
        <v>424</v>
      </c>
      <c r="M122" s="29" t="s">
        <v>482</v>
      </c>
      <c r="N122" s="30"/>
      <c r="O122" s="28" t="s">
        <v>460</v>
      </c>
      <c r="P122" s="27" t="s">
        <v>75</v>
      </c>
      <c r="Q122" s="27"/>
      <c r="R122" s="27"/>
      <c r="S122" s="27"/>
      <c r="T122" s="55">
        <f>IF(D122=Table!$C$3,V122*Table!$C$4/8,V122*Table!$D$4/8)</f>
        <v>114.64375000000001</v>
      </c>
      <c r="U122" s="27"/>
      <c r="V122" s="27">
        <v>7.0550000000000006</v>
      </c>
      <c r="W122" s="27"/>
      <c r="X122" s="27"/>
      <c r="Y122" s="31">
        <v>43910</v>
      </c>
      <c r="Z122" s="31">
        <v>43920</v>
      </c>
      <c r="AA122" s="31"/>
      <c r="AB122" s="31"/>
      <c r="AC122" s="31"/>
      <c r="AD122" s="27"/>
      <c r="AE122" s="27"/>
      <c r="AF122" s="27"/>
      <c r="AG122" s="27"/>
      <c r="AH122" s="27"/>
    </row>
    <row r="123" spans="2:34" x14ac:dyDescent="0.35">
      <c r="B123" s="66">
        <v>121</v>
      </c>
      <c r="C123" s="28">
        <v>20200319</v>
      </c>
      <c r="D123" s="27" t="s">
        <v>2</v>
      </c>
      <c r="E123" s="27" t="s">
        <v>459</v>
      </c>
      <c r="F123" s="29"/>
      <c r="G123" s="27" t="s">
        <v>310</v>
      </c>
      <c r="H123" s="27" t="s">
        <v>399</v>
      </c>
      <c r="I123" s="27" t="s">
        <v>337</v>
      </c>
      <c r="J123" s="27"/>
      <c r="K123" s="27"/>
      <c r="L123" s="29" t="s">
        <v>425</v>
      </c>
      <c r="M123" s="29" t="s">
        <v>482</v>
      </c>
      <c r="N123" s="30"/>
      <c r="O123" s="28" t="s">
        <v>460</v>
      </c>
      <c r="P123" s="27" t="s">
        <v>75</v>
      </c>
      <c r="Q123" s="27"/>
      <c r="R123" s="27"/>
      <c r="S123" s="27"/>
      <c r="T123" s="55">
        <f>IF(D123=Table!$C$3,V123*Table!$C$4/8,V123*Table!$D$4/8)</f>
        <v>114.64375000000001</v>
      </c>
      <c r="U123" s="27"/>
      <c r="V123" s="27">
        <v>7.0550000000000006</v>
      </c>
      <c r="W123" s="27"/>
      <c r="X123" s="27"/>
      <c r="Y123" s="31">
        <v>43910</v>
      </c>
      <c r="Z123" s="31">
        <v>43920</v>
      </c>
      <c r="AA123" s="31"/>
      <c r="AB123" s="31"/>
      <c r="AC123" s="31"/>
      <c r="AD123" s="27"/>
      <c r="AE123" s="27"/>
      <c r="AF123" s="27"/>
      <c r="AG123" s="27"/>
      <c r="AH123" s="27"/>
    </row>
    <row r="124" spans="2:34" x14ac:dyDescent="0.35">
      <c r="B124" s="66">
        <v>122</v>
      </c>
      <c r="C124" s="28">
        <v>20200319</v>
      </c>
      <c r="D124" s="27" t="s">
        <v>2</v>
      </c>
      <c r="E124" s="27" t="s">
        <v>459</v>
      </c>
      <c r="F124" s="29"/>
      <c r="G124" s="27" t="s">
        <v>441</v>
      </c>
      <c r="H124" s="27" t="s">
        <v>400</v>
      </c>
      <c r="I124" s="27" t="s">
        <v>337</v>
      </c>
      <c r="J124" s="27"/>
      <c r="K124" s="27"/>
      <c r="L124" s="29" t="s">
        <v>424</v>
      </c>
      <c r="M124" s="29" t="s">
        <v>482</v>
      </c>
      <c r="N124" s="30"/>
      <c r="O124" s="28" t="s">
        <v>460</v>
      </c>
      <c r="P124" s="27" t="s">
        <v>75</v>
      </c>
      <c r="Q124" s="27"/>
      <c r="R124" s="27"/>
      <c r="S124" s="27"/>
      <c r="T124" s="55">
        <f>IF(D124=Table!$C$3,V124*Table!$C$4/8,V124*Table!$D$4/8)</f>
        <v>48.34375</v>
      </c>
      <c r="U124" s="27"/>
      <c r="V124" s="27">
        <v>2.9750000000000001</v>
      </c>
      <c r="W124" s="27"/>
      <c r="X124" s="27"/>
      <c r="Y124" s="31">
        <v>43910</v>
      </c>
      <c r="Z124" s="31">
        <v>43920</v>
      </c>
      <c r="AA124" s="31"/>
      <c r="AB124" s="31"/>
      <c r="AC124" s="31"/>
      <c r="AD124" s="27"/>
      <c r="AE124" s="27"/>
      <c r="AF124" s="27"/>
      <c r="AG124" s="27"/>
      <c r="AH124" s="27"/>
    </row>
    <row r="125" spans="2:34" x14ac:dyDescent="0.35">
      <c r="B125" s="66">
        <v>123</v>
      </c>
      <c r="C125" s="28">
        <v>20200319</v>
      </c>
      <c r="D125" s="27" t="s">
        <v>2</v>
      </c>
      <c r="E125" s="27" t="s">
        <v>459</v>
      </c>
      <c r="F125" s="29"/>
      <c r="G125" s="27" t="s">
        <v>442</v>
      </c>
      <c r="H125" s="27" t="s">
        <v>401</v>
      </c>
      <c r="I125" s="27" t="s">
        <v>337</v>
      </c>
      <c r="J125" s="27"/>
      <c r="K125" s="27"/>
      <c r="L125" s="29" t="s">
        <v>424</v>
      </c>
      <c r="M125" s="29" t="s">
        <v>482</v>
      </c>
      <c r="N125" s="30"/>
      <c r="O125" s="28" t="s">
        <v>460</v>
      </c>
      <c r="P125" s="27" t="s">
        <v>75</v>
      </c>
      <c r="Q125" s="27"/>
      <c r="R125" s="27"/>
      <c r="S125" s="27"/>
      <c r="T125" s="55">
        <f>IF(D125=Table!$C$3,V125*Table!$C$4/8,V125*Table!$D$4/8)</f>
        <v>114.64375000000001</v>
      </c>
      <c r="U125" s="27"/>
      <c r="V125" s="27">
        <v>7.0550000000000006</v>
      </c>
      <c r="W125" s="27"/>
      <c r="X125" s="27"/>
      <c r="Y125" s="31">
        <v>43910</v>
      </c>
      <c r="Z125" s="31">
        <v>43920</v>
      </c>
      <c r="AA125" s="31"/>
      <c r="AB125" s="31"/>
      <c r="AC125" s="31"/>
      <c r="AD125" s="27"/>
      <c r="AE125" s="27"/>
      <c r="AF125" s="27"/>
      <c r="AG125" s="27"/>
      <c r="AH125" s="27"/>
    </row>
    <row r="126" spans="2:34" x14ac:dyDescent="0.35">
      <c r="B126" s="66">
        <v>124</v>
      </c>
      <c r="C126" s="28">
        <v>20200319</v>
      </c>
      <c r="D126" s="27" t="s">
        <v>2</v>
      </c>
      <c r="E126" s="27" t="s">
        <v>459</v>
      </c>
      <c r="F126" s="29"/>
      <c r="G126" s="27" t="s">
        <v>443</v>
      </c>
      <c r="H126" s="27" t="s">
        <v>402</v>
      </c>
      <c r="I126" s="27" t="s">
        <v>337</v>
      </c>
      <c r="J126" s="27"/>
      <c r="K126" s="27"/>
      <c r="L126" s="29" t="s">
        <v>424</v>
      </c>
      <c r="M126" s="29" t="s">
        <v>482</v>
      </c>
      <c r="N126" s="30"/>
      <c r="O126" s="28" t="s">
        <v>460</v>
      </c>
      <c r="P126" s="27" t="s">
        <v>75</v>
      </c>
      <c r="Q126" s="27"/>
      <c r="R126" s="27"/>
      <c r="S126" s="27"/>
      <c r="T126" s="55">
        <f>IF(D126=Table!$C$3,V126*Table!$C$4/8,V126*Table!$D$4/8)</f>
        <v>26.243749999999999</v>
      </c>
      <c r="U126" s="27"/>
      <c r="V126" s="27">
        <v>1.615</v>
      </c>
      <c r="W126" s="27"/>
      <c r="X126" s="27"/>
      <c r="Y126" s="31">
        <v>43910</v>
      </c>
      <c r="Z126" s="31">
        <v>43920</v>
      </c>
      <c r="AA126" s="31"/>
      <c r="AB126" s="31"/>
      <c r="AC126" s="31"/>
      <c r="AD126" s="27"/>
      <c r="AE126" s="27"/>
      <c r="AF126" s="27"/>
      <c r="AG126" s="27"/>
      <c r="AH126" s="27"/>
    </row>
    <row r="127" spans="2:34" x14ac:dyDescent="0.35">
      <c r="B127" s="66">
        <v>125</v>
      </c>
      <c r="C127" s="28">
        <v>20200319</v>
      </c>
      <c r="D127" s="27" t="s">
        <v>2</v>
      </c>
      <c r="E127" s="27" t="s">
        <v>459</v>
      </c>
      <c r="F127" s="29"/>
      <c r="G127" s="27" t="s">
        <v>444</v>
      </c>
      <c r="H127" s="27" t="s">
        <v>403</v>
      </c>
      <c r="I127" s="27" t="s">
        <v>337</v>
      </c>
      <c r="J127" s="27"/>
      <c r="K127" s="27"/>
      <c r="L127" s="29" t="s">
        <v>424</v>
      </c>
      <c r="M127" s="29" t="s">
        <v>482</v>
      </c>
      <c r="N127" s="30"/>
      <c r="O127" s="28" t="s">
        <v>460</v>
      </c>
      <c r="P127" s="27" t="s">
        <v>75</v>
      </c>
      <c r="Q127" s="27"/>
      <c r="R127" s="27"/>
      <c r="S127" s="27"/>
      <c r="T127" s="55">
        <f>IF(D127=Table!$C$3,V127*Table!$C$4/8,V127*Table!$D$4/8)</f>
        <v>26.243749999999999</v>
      </c>
      <c r="U127" s="27"/>
      <c r="V127" s="27">
        <v>1.615</v>
      </c>
      <c r="W127" s="27"/>
      <c r="X127" s="27"/>
      <c r="Y127" s="31">
        <v>43910</v>
      </c>
      <c r="Z127" s="31">
        <v>43920</v>
      </c>
      <c r="AA127" s="31"/>
      <c r="AB127" s="31"/>
      <c r="AC127" s="31"/>
      <c r="AD127" s="27"/>
      <c r="AE127" s="27"/>
      <c r="AF127" s="27"/>
      <c r="AG127" s="27"/>
      <c r="AH127" s="27"/>
    </row>
    <row r="128" spans="2:34" x14ac:dyDescent="0.35">
      <c r="B128" s="66">
        <v>126</v>
      </c>
      <c r="C128" s="28">
        <v>20200319</v>
      </c>
      <c r="D128" s="27" t="s">
        <v>2</v>
      </c>
      <c r="E128" s="27" t="s">
        <v>459</v>
      </c>
      <c r="F128" s="29"/>
      <c r="G128" s="27" t="s">
        <v>445</v>
      </c>
      <c r="H128" s="27" t="s">
        <v>404</v>
      </c>
      <c r="I128" s="27" t="s">
        <v>337</v>
      </c>
      <c r="J128" s="27"/>
      <c r="K128" s="27"/>
      <c r="L128" s="29" t="s">
        <v>424</v>
      </c>
      <c r="M128" s="29" t="s">
        <v>482</v>
      </c>
      <c r="N128" s="30"/>
      <c r="O128" s="28" t="s">
        <v>460</v>
      </c>
      <c r="P128" s="27" t="s">
        <v>74</v>
      </c>
      <c r="Q128" s="27"/>
      <c r="R128" s="27"/>
      <c r="S128" s="27"/>
      <c r="T128" s="55">
        <f>IF(D128=Table!$C$3,V128*Table!$C$4/8,V128*Table!$D$4/8)</f>
        <v>81.493750000000006</v>
      </c>
      <c r="U128" s="27"/>
      <c r="V128" s="27">
        <v>5.0150000000000006</v>
      </c>
      <c r="W128" s="27"/>
      <c r="X128" s="27"/>
      <c r="Y128" s="31">
        <v>43910</v>
      </c>
      <c r="Z128" s="31">
        <v>43920</v>
      </c>
      <c r="AA128" s="31"/>
      <c r="AB128" s="31"/>
      <c r="AC128" s="31"/>
      <c r="AD128" s="27"/>
      <c r="AE128" s="27"/>
      <c r="AF128" s="27"/>
      <c r="AG128" s="27"/>
      <c r="AH128" s="27"/>
    </row>
    <row r="129" spans="2:34" x14ac:dyDescent="0.35">
      <c r="B129" s="66">
        <v>127</v>
      </c>
      <c r="C129" s="28">
        <v>20200319</v>
      </c>
      <c r="D129" s="27" t="s">
        <v>2</v>
      </c>
      <c r="E129" s="27" t="s">
        <v>459</v>
      </c>
      <c r="F129" s="29"/>
      <c r="G129" s="27" t="s">
        <v>446</v>
      </c>
      <c r="H129" s="27" t="s">
        <v>405</v>
      </c>
      <c r="I129" s="27" t="s">
        <v>337</v>
      </c>
      <c r="J129" s="27"/>
      <c r="K129" s="27"/>
      <c r="L129" s="29" t="s">
        <v>424</v>
      </c>
      <c r="M129" s="29" t="s">
        <v>482</v>
      </c>
      <c r="N129" s="30"/>
      <c r="O129" s="28" t="s">
        <v>460</v>
      </c>
      <c r="P129" s="27" t="s">
        <v>74</v>
      </c>
      <c r="Q129" s="27"/>
      <c r="R129" s="27"/>
      <c r="S129" s="27"/>
      <c r="T129" s="55">
        <f>IF(D129=Table!$C$3,V129*Table!$C$4/8,V129*Table!$D$4/8)</f>
        <v>59.393749999999997</v>
      </c>
      <c r="U129" s="27"/>
      <c r="V129" s="27">
        <v>3.6549999999999998</v>
      </c>
      <c r="W129" s="27"/>
      <c r="X129" s="27"/>
      <c r="Y129" s="31">
        <v>43910</v>
      </c>
      <c r="Z129" s="31">
        <v>43920</v>
      </c>
      <c r="AA129" s="31"/>
      <c r="AB129" s="31"/>
      <c r="AC129" s="31"/>
      <c r="AD129" s="27"/>
      <c r="AE129" s="27"/>
      <c r="AF129" s="27"/>
      <c r="AG129" s="27"/>
      <c r="AH129" s="27"/>
    </row>
    <row r="130" spans="2:34" x14ac:dyDescent="0.35">
      <c r="B130" s="66">
        <v>128</v>
      </c>
      <c r="C130" s="28">
        <v>20200319</v>
      </c>
      <c r="D130" s="27" t="s">
        <v>2</v>
      </c>
      <c r="E130" s="27" t="s">
        <v>459</v>
      </c>
      <c r="F130" s="29"/>
      <c r="G130" s="27" t="s">
        <v>447</v>
      </c>
      <c r="H130" s="27" t="s">
        <v>406</v>
      </c>
      <c r="I130" s="27" t="s">
        <v>337</v>
      </c>
      <c r="J130" s="27"/>
      <c r="K130" s="27"/>
      <c r="L130" s="29" t="s">
        <v>424</v>
      </c>
      <c r="M130" s="29" t="s">
        <v>482</v>
      </c>
      <c r="N130" s="30"/>
      <c r="O130" s="28" t="s">
        <v>460</v>
      </c>
      <c r="P130" s="27" t="s">
        <v>74</v>
      </c>
      <c r="Q130" s="27"/>
      <c r="R130" s="27"/>
      <c r="S130" s="27"/>
      <c r="T130" s="55">
        <f>IF(D130=Table!$C$3,V130*Table!$C$4/8,V130*Table!$D$4/8)</f>
        <v>53.868750000000006</v>
      </c>
      <c r="U130" s="27"/>
      <c r="V130" s="27">
        <v>3.3150000000000004</v>
      </c>
      <c r="W130" s="27"/>
      <c r="X130" s="27"/>
      <c r="Y130" s="31">
        <v>43910</v>
      </c>
      <c r="Z130" s="31">
        <v>43920</v>
      </c>
      <c r="AA130" s="31"/>
      <c r="AB130" s="31"/>
      <c r="AC130" s="31"/>
      <c r="AD130" s="27"/>
      <c r="AE130" s="27"/>
      <c r="AF130" s="27"/>
      <c r="AG130" s="27"/>
      <c r="AH130" s="27"/>
    </row>
    <row r="131" spans="2:34" x14ac:dyDescent="0.35">
      <c r="B131" s="66">
        <v>129</v>
      </c>
      <c r="C131" s="28">
        <v>20200319</v>
      </c>
      <c r="D131" s="27" t="s">
        <v>2</v>
      </c>
      <c r="E131" s="27" t="s">
        <v>459</v>
      </c>
      <c r="F131" s="29"/>
      <c r="G131" s="27" t="s">
        <v>448</v>
      </c>
      <c r="H131" s="27" t="s">
        <v>407</v>
      </c>
      <c r="I131" s="27" t="s">
        <v>337</v>
      </c>
      <c r="J131" s="27"/>
      <c r="K131" s="27"/>
      <c r="L131" s="29" t="s">
        <v>424</v>
      </c>
      <c r="M131" s="29" t="s">
        <v>482</v>
      </c>
      <c r="N131" s="30"/>
      <c r="O131" s="28" t="s">
        <v>460</v>
      </c>
      <c r="P131" s="27" t="s">
        <v>74</v>
      </c>
      <c r="Q131" s="27"/>
      <c r="R131" s="27"/>
      <c r="S131" s="27"/>
      <c r="T131" s="55">
        <f>IF(D131=Table!$C$3,V131*Table!$C$4/8,V131*Table!$D$4/8)</f>
        <v>26.243749999999999</v>
      </c>
      <c r="U131" s="27"/>
      <c r="V131" s="27">
        <v>1.615</v>
      </c>
      <c r="W131" s="27"/>
      <c r="X131" s="27"/>
      <c r="Y131" s="31">
        <v>43910</v>
      </c>
      <c r="Z131" s="31">
        <v>43920</v>
      </c>
      <c r="AA131" s="31"/>
      <c r="AB131" s="31"/>
      <c r="AC131" s="31"/>
      <c r="AD131" s="27"/>
      <c r="AE131" s="27"/>
      <c r="AF131" s="27"/>
      <c r="AG131" s="27"/>
      <c r="AH131" s="27"/>
    </row>
    <row r="132" spans="2:34" x14ac:dyDescent="0.35">
      <c r="B132" s="66">
        <v>130</v>
      </c>
      <c r="C132" s="28">
        <v>20200319</v>
      </c>
      <c r="D132" s="27" t="s">
        <v>2</v>
      </c>
      <c r="E132" s="27" t="s">
        <v>459</v>
      </c>
      <c r="F132" s="29"/>
      <c r="G132" s="27" t="s">
        <v>449</v>
      </c>
      <c r="H132" s="27" t="s">
        <v>408</v>
      </c>
      <c r="I132" s="27" t="s">
        <v>337</v>
      </c>
      <c r="J132" s="27"/>
      <c r="K132" s="27"/>
      <c r="L132" s="29" t="s">
        <v>424</v>
      </c>
      <c r="M132" s="29" t="s">
        <v>482</v>
      </c>
      <c r="N132" s="30"/>
      <c r="O132" s="28" t="s">
        <v>460</v>
      </c>
      <c r="P132" s="27" t="s">
        <v>74</v>
      </c>
      <c r="Q132" s="27"/>
      <c r="R132" s="27"/>
      <c r="S132" s="27"/>
      <c r="T132" s="55">
        <f>IF(D132=Table!$C$3,V132*Table!$C$4/8,V132*Table!$D$4/8)</f>
        <v>203.04374999999999</v>
      </c>
      <c r="U132" s="27"/>
      <c r="V132" s="27">
        <v>12.494999999999999</v>
      </c>
      <c r="W132" s="27"/>
      <c r="X132" s="27"/>
      <c r="Y132" s="31">
        <v>43910</v>
      </c>
      <c r="Z132" s="31">
        <v>43920</v>
      </c>
      <c r="AA132" s="31"/>
      <c r="AB132" s="31"/>
      <c r="AC132" s="31"/>
      <c r="AD132" s="27"/>
      <c r="AE132" s="27"/>
      <c r="AF132" s="27"/>
      <c r="AG132" s="27"/>
      <c r="AH132" s="27"/>
    </row>
    <row r="133" spans="2:34" x14ac:dyDescent="0.35">
      <c r="B133" s="66">
        <v>131</v>
      </c>
      <c r="C133" s="28">
        <v>20200319</v>
      </c>
      <c r="D133" s="27" t="s">
        <v>2</v>
      </c>
      <c r="E133" s="27" t="s">
        <v>459</v>
      </c>
      <c r="F133" s="29"/>
      <c r="G133" s="27" t="s">
        <v>450</v>
      </c>
      <c r="H133" s="27" t="s">
        <v>409</v>
      </c>
      <c r="I133" s="27" t="s">
        <v>337</v>
      </c>
      <c r="J133" s="27"/>
      <c r="K133" s="27"/>
      <c r="L133" s="29" t="s">
        <v>420</v>
      </c>
      <c r="M133" s="29" t="s">
        <v>482</v>
      </c>
      <c r="N133" s="30"/>
      <c r="O133" s="28" t="s">
        <v>460</v>
      </c>
      <c r="P133" s="27" t="s">
        <v>74</v>
      </c>
      <c r="Q133" s="27"/>
      <c r="R133" s="27"/>
      <c r="S133" s="27"/>
      <c r="T133" s="55">
        <f>IF(D133=Table!$C$3,V133*Table!$C$4/8,V133*Table!$D$4/8)</f>
        <v>64.918750000000003</v>
      </c>
      <c r="U133" s="27"/>
      <c r="V133" s="27">
        <v>3.9950000000000001</v>
      </c>
      <c r="W133" s="27"/>
      <c r="X133" s="27"/>
      <c r="Y133" s="31">
        <v>43910</v>
      </c>
      <c r="Z133" s="31">
        <v>43920</v>
      </c>
      <c r="AA133" s="31"/>
      <c r="AB133" s="31"/>
      <c r="AC133" s="31"/>
      <c r="AD133" s="27"/>
      <c r="AE133" s="27"/>
      <c r="AF133" s="27"/>
      <c r="AG133" s="27"/>
      <c r="AH133" s="27"/>
    </row>
    <row r="134" spans="2:34" x14ac:dyDescent="0.35">
      <c r="B134" s="66">
        <v>132</v>
      </c>
      <c r="C134" s="28">
        <v>20200319</v>
      </c>
      <c r="D134" s="27" t="s">
        <v>2</v>
      </c>
      <c r="E134" s="27" t="s">
        <v>459</v>
      </c>
      <c r="F134" s="29"/>
      <c r="G134" s="27" t="s">
        <v>451</v>
      </c>
      <c r="H134" s="27" t="s">
        <v>410</v>
      </c>
      <c r="I134" s="27" t="s">
        <v>337</v>
      </c>
      <c r="J134" s="27"/>
      <c r="K134" s="27"/>
      <c r="L134" s="29" t="s">
        <v>426</v>
      </c>
      <c r="M134" s="29" t="s">
        <v>482</v>
      </c>
      <c r="N134" s="30"/>
      <c r="O134" s="28" t="s">
        <v>460</v>
      </c>
      <c r="P134" s="27" t="s">
        <v>74</v>
      </c>
      <c r="Q134" s="27"/>
      <c r="R134" s="27"/>
      <c r="S134" s="27"/>
      <c r="T134" s="55">
        <f>IF(D134=Table!$C$3,V134*Table!$C$4/8,V134*Table!$D$4/8)</f>
        <v>37.293749999999996</v>
      </c>
      <c r="U134" s="27"/>
      <c r="V134" s="27">
        <v>2.2949999999999999</v>
      </c>
      <c r="W134" s="27"/>
      <c r="X134" s="27"/>
      <c r="Y134" s="31">
        <v>43910</v>
      </c>
      <c r="Z134" s="31">
        <v>43920</v>
      </c>
      <c r="AA134" s="31"/>
      <c r="AB134" s="31"/>
      <c r="AC134" s="31"/>
      <c r="AD134" s="27"/>
      <c r="AE134" s="27"/>
      <c r="AF134" s="27"/>
      <c r="AG134" s="27"/>
      <c r="AH134" s="27"/>
    </row>
    <row r="135" spans="2:34" x14ac:dyDescent="0.35">
      <c r="B135" s="66">
        <v>133</v>
      </c>
      <c r="C135" s="28">
        <v>20200319</v>
      </c>
      <c r="D135" s="27" t="s">
        <v>2</v>
      </c>
      <c r="E135" s="27" t="s">
        <v>459</v>
      </c>
      <c r="F135" s="29"/>
      <c r="G135" s="27" t="s">
        <v>452</v>
      </c>
      <c r="H135" s="27" t="s">
        <v>411</v>
      </c>
      <c r="I135" s="27" t="s">
        <v>337</v>
      </c>
      <c r="J135" s="27"/>
      <c r="K135" s="27"/>
      <c r="L135" s="29" t="s">
        <v>427</v>
      </c>
      <c r="M135" s="29" t="s">
        <v>482</v>
      </c>
      <c r="N135" s="30"/>
      <c r="O135" s="28" t="s">
        <v>460</v>
      </c>
      <c r="P135" s="27" t="s">
        <v>74</v>
      </c>
      <c r="Q135" s="27"/>
      <c r="R135" s="27"/>
      <c r="S135" s="27"/>
      <c r="T135" s="55">
        <f>IF(D135=Table!$C$3,V135*Table!$C$4/8,V135*Table!$D$4/8)</f>
        <v>26.243749999999999</v>
      </c>
      <c r="U135" s="27"/>
      <c r="V135" s="27">
        <v>1.615</v>
      </c>
      <c r="W135" s="27"/>
      <c r="X135" s="27"/>
      <c r="Y135" s="31">
        <v>43910</v>
      </c>
      <c r="Z135" s="31">
        <v>43920</v>
      </c>
      <c r="AA135" s="31"/>
      <c r="AB135" s="31"/>
      <c r="AC135" s="31"/>
      <c r="AD135" s="27"/>
      <c r="AE135" s="27"/>
      <c r="AF135" s="27"/>
      <c r="AG135" s="27"/>
      <c r="AH135" s="27"/>
    </row>
    <row r="136" spans="2:34" x14ac:dyDescent="0.35">
      <c r="B136" s="66">
        <v>134</v>
      </c>
      <c r="C136" s="28">
        <v>20200319</v>
      </c>
      <c r="D136" s="27" t="s">
        <v>2</v>
      </c>
      <c r="E136" s="27" t="s">
        <v>459</v>
      </c>
      <c r="F136" s="29"/>
      <c r="G136" s="27" t="s">
        <v>453</v>
      </c>
      <c r="H136" s="27" t="s">
        <v>412</v>
      </c>
      <c r="I136" s="27" t="s">
        <v>337</v>
      </c>
      <c r="J136" s="27"/>
      <c r="K136" s="27"/>
      <c r="L136" s="29" t="s">
        <v>428</v>
      </c>
      <c r="M136" s="29" t="s">
        <v>482</v>
      </c>
      <c r="N136" s="30"/>
      <c r="O136" s="28" t="s">
        <v>460</v>
      </c>
      <c r="P136" s="27" t="s">
        <v>74</v>
      </c>
      <c r="Q136" s="27"/>
      <c r="R136" s="27"/>
      <c r="S136" s="27"/>
      <c r="T136" s="55">
        <f>IF(D136=Table!$C$3,V136*Table!$C$4/8,V136*Table!$D$4/8)</f>
        <v>26.243749999999999</v>
      </c>
      <c r="U136" s="27"/>
      <c r="V136" s="27">
        <v>1.615</v>
      </c>
      <c r="W136" s="27"/>
      <c r="X136" s="27"/>
      <c r="Y136" s="31">
        <v>43910</v>
      </c>
      <c r="Z136" s="31">
        <v>43920</v>
      </c>
      <c r="AA136" s="31"/>
      <c r="AB136" s="31"/>
      <c r="AC136" s="31"/>
      <c r="AD136" s="27"/>
      <c r="AE136" s="27"/>
      <c r="AF136" s="27"/>
      <c r="AG136" s="27"/>
      <c r="AH136" s="27"/>
    </row>
    <row r="137" spans="2:34" x14ac:dyDescent="0.35">
      <c r="B137" s="66">
        <v>135</v>
      </c>
      <c r="C137" s="28">
        <v>20200319</v>
      </c>
      <c r="D137" s="27" t="s">
        <v>2</v>
      </c>
      <c r="E137" s="27" t="s">
        <v>459</v>
      </c>
      <c r="F137" s="29"/>
      <c r="G137" s="27" t="s">
        <v>454</v>
      </c>
      <c r="H137" s="27" t="s">
        <v>413</v>
      </c>
      <c r="I137" s="27" t="s">
        <v>337</v>
      </c>
      <c r="J137" s="27"/>
      <c r="K137" s="27"/>
      <c r="L137" s="29" t="s">
        <v>426</v>
      </c>
      <c r="M137" s="29" t="s">
        <v>482</v>
      </c>
      <c r="N137" s="30"/>
      <c r="O137" s="28" t="s">
        <v>460</v>
      </c>
      <c r="P137" s="27" t="s">
        <v>74</v>
      </c>
      <c r="Q137" s="27"/>
      <c r="R137" s="27"/>
      <c r="S137" s="27"/>
      <c r="T137" s="55">
        <f>IF(D137=Table!$C$3,V137*Table!$C$4/8,V137*Table!$D$4/8)</f>
        <v>59.393749999999997</v>
      </c>
      <c r="U137" s="27"/>
      <c r="V137" s="27">
        <v>3.6549999999999998</v>
      </c>
      <c r="W137" s="27"/>
      <c r="X137" s="27"/>
      <c r="Y137" s="31">
        <v>43910</v>
      </c>
      <c r="Z137" s="31">
        <v>43920</v>
      </c>
      <c r="AA137" s="31"/>
      <c r="AB137" s="31"/>
      <c r="AC137" s="31"/>
      <c r="AD137" s="27"/>
      <c r="AE137" s="27"/>
      <c r="AF137" s="27"/>
      <c r="AG137" s="27"/>
      <c r="AH137" s="27"/>
    </row>
    <row r="138" spans="2:34" x14ac:dyDescent="0.35">
      <c r="B138" s="66">
        <v>136</v>
      </c>
      <c r="C138" s="28">
        <v>20200319</v>
      </c>
      <c r="D138" s="27" t="s">
        <v>2</v>
      </c>
      <c r="E138" s="27" t="s">
        <v>459</v>
      </c>
      <c r="F138" s="29"/>
      <c r="G138" s="27" t="s">
        <v>455</v>
      </c>
      <c r="H138" s="27" t="s">
        <v>414</v>
      </c>
      <c r="I138" s="27" t="s">
        <v>337</v>
      </c>
      <c r="J138" s="27"/>
      <c r="K138" s="27"/>
      <c r="L138" s="29" t="s">
        <v>426</v>
      </c>
      <c r="M138" s="29" t="s">
        <v>482</v>
      </c>
      <c r="N138" s="30"/>
      <c r="O138" s="28" t="s">
        <v>460</v>
      </c>
      <c r="P138" s="27" t="s">
        <v>74</v>
      </c>
      <c r="Q138" s="27"/>
      <c r="R138" s="27"/>
      <c r="S138" s="27"/>
      <c r="T138" s="55">
        <f>IF(D138=Table!$C$3,V138*Table!$C$4/8,V138*Table!$D$4/8)</f>
        <v>48.34375</v>
      </c>
      <c r="U138" s="27"/>
      <c r="V138" s="27">
        <v>2.9750000000000001</v>
      </c>
      <c r="W138" s="27"/>
      <c r="X138" s="27"/>
      <c r="Y138" s="31">
        <v>43910</v>
      </c>
      <c r="Z138" s="31">
        <v>43920</v>
      </c>
      <c r="AA138" s="31"/>
      <c r="AB138" s="31"/>
      <c r="AC138" s="31"/>
      <c r="AD138" s="27"/>
      <c r="AE138" s="27"/>
      <c r="AF138" s="27"/>
      <c r="AG138" s="27"/>
      <c r="AH138" s="27"/>
    </row>
    <row r="139" spans="2:34" x14ac:dyDescent="0.35">
      <c r="B139" s="66">
        <v>137</v>
      </c>
      <c r="C139" s="28">
        <v>20200319</v>
      </c>
      <c r="D139" s="27" t="s">
        <v>2</v>
      </c>
      <c r="E139" s="27" t="s">
        <v>459</v>
      </c>
      <c r="F139" s="29"/>
      <c r="G139" s="27" t="s">
        <v>456</v>
      </c>
      <c r="H139" s="27" t="s">
        <v>415</v>
      </c>
      <c r="I139" s="27" t="s">
        <v>337</v>
      </c>
      <c r="J139" s="27"/>
      <c r="K139" s="27"/>
      <c r="L139" s="29" t="s">
        <v>426</v>
      </c>
      <c r="M139" s="29" t="s">
        <v>482</v>
      </c>
      <c r="N139" s="30"/>
      <c r="O139" s="28" t="s">
        <v>460</v>
      </c>
      <c r="P139" s="27" t="s">
        <v>74</v>
      </c>
      <c r="Q139" s="27"/>
      <c r="R139" s="27"/>
      <c r="S139" s="27"/>
      <c r="T139" s="55">
        <f>IF(D139=Table!$C$3,V139*Table!$C$4/8,V139*Table!$D$4/8)</f>
        <v>48.34375</v>
      </c>
      <c r="U139" s="27"/>
      <c r="V139" s="27">
        <v>2.9750000000000001</v>
      </c>
      <c r="W139" s="27"/>
      <c r="X139" s="27"/>
      <c r="Y139" s="31">
        <v>43910</v>
      </c>
      <c r="Z139" s="31">
        <v>43920</v>
      </c>
      <c r="AA139" s="31"/>
      <c r="AB139" s="31"/>
      <c r="AC139" s="31"/>
      <c r="AD139" s="27"/>
      <c r="AE139" s="27"/>
      <c r="AF139" s="27"/>
      <c r="AG139" s="27"/>
      <c r="AH139" s="27"/>
    </row>
    <row r="140" spans="2:34" x14ac:dyDescent="0.35">
      <c r="B140" s="66">
        <v>138</v>
      </c>
      <c r="C140" s="28">
        <v>20200319</v>
      </c>
      <c r="D140" s="27" t="s">
        <v>2</v>
      </c>
      <c r="E140" s="27" t="s">
        <v>459</v>
      </c>
      <c r="F140" s="29"/>
      <c r="G140" s="27" t="s">
        <v>457</v>
      </c>
      <c r="H140" s="27" t="s">
        <v>416</v>
      </c>
      <c r="I140" s="27" t="s">
        <v>337</v>
      </c>
      <c r="J140" s="27"/>
      <c r="K140" s="27"/>
      <c r="L140" s="29" t="s">
        <v>429</v>
      </c>
      <c r="M140" s="29" t="s">
        <v>482</v>
      </c>
      <c r="N140" s="30"/>
      <c r="O140" s="28" t="s">
        <v>460</v>
      </c>
      <c r="P140" s="27" t="s">
        <v>74</v>
      </c>
      <c r="Q140" s="27"/>
      <c r="R140" s="27"/>
      <c r="S140" s="27"/>
      <c r="T140" s="55">
        <f>IF(D140=Table!$C$3,V140*Table!$C$4/8,V140*Table!$D$4/8)</f>
        <v>59.393749999999997</v>
      </c>
      <c r="U140" s="27"/>
      <c r="V140" s="27">
        <v>3.6549999999999998</v>
      </c>
      <c r="W140" s="27"/>
      <c r="X140" s="27"/>
      <c r="Y140" s="31">
        <v>43910</v>
      </c>
      <c r="Z140" s="31">
        <v>43920</v>
      </c>
      <c r="AA140" s="31"/>
      <c r="AB140" s="31"/>
      <c r="AC140" s="31"/>
      <c r="AD140" s="27"/>
      <c r="AE140" s="27"/>
      <c r="AF140" s="27"/>
      <c r="AG140" s="27"/>
      <c r="AH140" s="27"/>
    </row>
    <row r="141" spans="2:34" x14ac:dyDescent="0.35">
      <c r="B141" s="66">
        <v>139</v>
      </c>
      <c r="C141" s="28">
        <v>20200319</v>
      </c>
      <c r="D141" s="27" t="s">
        <v>2</v>
      </c>
      <c r="E141" s="27" t="s">
        <v>459</v>
      </c>
      <c r="F141" s="29"/>
      <c r="G141" s="27" t="s">
        <v>458</v>
      </c>
      <c r="H141" s="27" t="s">
        <v>417</v>
      </c>
      <c r="I141" s="27" t="s">
        <v>337</v>
      </c>
      <c r="J141" s="27"/>
      <c r="K141" s="27"/>
      <c r="L141" s="29" t="s">
        <v>430</v>
      </c>
      <c r="M141" s="29" t="s">
        <v>482</v>
      </c>
      <c r="N141" s="30"/>
      <c r="O141" s="28" t="s">
        <v>460</v>
      </c>
      <c r="P141" s="27" t="s">
        <v>74</v>
      </c>
      <c r="Q141" s="27"/>
      <c r="R141" s="27"/>
      <c r="S141" s="27"/>
      <c r="T141" s="55">
        <f>IF(D141=Table!$C$3,V141*Table!$C$4/8,V141*Table!$D$4/8)</f>
        <v>59.393749999999997</v>
      </c>
      <c r="U141" s="27"/>
      <c r="V141" s="27">
        <v>3.6549999999999998</v>
      </c>
      <c r="W141" s="27"/>
      <c r="X141" s="27"/>
      <c r="Y141" s="31">
        <v>43910</v>
      </c>
      <c r="Z141" s="31">
        <v>43920</v>
      </c>
      <c r="AA141" s="31"/>
      <c r="AB141" s="31"/>
      <c r="AC141" s="31"/>
      <c r="AD141" s="27"/>
      <c r="AE141" s="27"/>
      <c r="AF141" s="27"/>
      <c r="AG141" s="27"/>
      <c r="AH141" s="27"/>
    </row>
    <row r="142" spans="2:34" x14ac:dyDescent="0.35">
      <c r="B142" s="33"/>
      <c r="C142" s="28"/>
      <c r="D142" s="27"/>
      <c r="E142" s="27"/>
      <c r="F142" s="29"/>
      <c r="G142" s="27"/>
      <c r="H142" s="27"/>
      <c r="I142" s="27"/>
      <c r="J142" s="27"/>
      <c r="K142" s="27"/>
      <c r="L142" s="29"/>
      <c r="M142" s="29"/>
      <c r="N142" s="30"/>
      <c r="O142" s="28"/>
      <c r="P142" s="27"/>
      <c r="Q142" s="27"/>
      <c r="R142" s="27"/>
      <c r="S142" s="27"/>
      <c r="T142" s="3"/>
      <c r="U142" s="27"/>
      <c r="V142" s="27"/>
      <c r="W142" s="27"/>
      <c r="X142" s="27"/>
      <c r="Y142" s="31"/>
      <c r="Z142" s="31"/>
      <c r="AA142" s="31"/>
      <c r="AB142" s="31"/>
      <c r="AC142" s="31"/>
      <c r="AD142" s="27"/>
      <c r="AE142" s="27"/>
      <c r="AF142" s="27"/>
      <c r="AG142" s="27"/>
      <c r="AH142" s="27"/>
    </row>
    <row r="143" spans="2:34" x14ac:dyDescent="0.35">
      <c r="B143" s="33"/>
      <c r="C143" s="28"/>
      <c r="D143" s="27"/>
      <c r="E143" s="27"/>
      <c r="F143" s="29"/>
      <c r="G143" s="27"/>
      <c r="H143" s="27"/>
      <c r="I143" s="27"/>
      <c r="J143" s="27"/>
      <c r="K143" s="27"/>
      <c r="L143" s="29"/>
      <c r="M143" s="29"/>
      <c r="N143" s="30"/>
      <c r="O143" s="28"/>
      <c r="P143" s="27"/>
      <c r="Q143" s="27"/>
      <c r="R143" s="27"/>
      <c r="S143" s="27"/>
      <c r="T143" s="3"/>
      <c r="U143" s="27"/>
      <c r="V143" s="27"/>
      <c r="W143" s="27"/>
      <c r="X143" s="27"/>
      <c r="Y143" s="31"/>
      <c r="Z143" s="31"/>
      <c r="AA143" s="31"/>
      <c r="AB143" s="31"/>
      <c r="AC143" s="31"/>
      <c r="AD143" s="27"/>
      <c r="AE143" s="27"/>
      <c r="AF143" s="27"/>
      <c r="AG143" s="27"/>
      <c r="AH143" s="27"/>
    </row>
    <row r="144" spans="2:34" x14ac:dyDescent="0.35">
      <c r="B144" s="33"/>
      <c r="C144" s="28"/>
      <c r="D144" s="27"/>
      <c r="E144" s="27"/>
      <c r="F144" s="29"/>
      <c r="G144" s="27"/>
      <c r="H144" s="27"/>
      <c r="I144" s="27"/>
      <c r="J144" s="27"/>
      <c r="K144" s="27"/>
      <c r="L144" s="29"/>
      <c r="M144" s="29"/>
      <c r="N144" s="30"/>
      <c r="O144" s="28"/>
      <c r="P144" s="27"/>
      <c r="Q144" s="27"/>
      <c r="R144" s="27"/>
      <c r="S144" s="27"/>
      <c r="T144" s="3"/>
      <c r="U144" s="27"/>
      <c r="V144" s="27"/>
      <c r="W144" s="27"/>
      <c r="X144" s="27"/>
      <c r="Y144" s="31"/>
      <c r="Z144" s="31"/>
      <c r="AA144" s="31"/>
      <c r="AB144" s="31"/>
      <c r="AC144" s="31"/>
      <c r="AD144" s="27"/>
      <c r="AE144" s="27"/>
      <c r="AF144" s="27"/>
      <c r="AG144" s="27"/>
      <c r="AH144" s="27"/>
    </row>
    <row r="145" spans="2:34" x14ac:dyDescent="0.35">
      <c r="B145" s="27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30"/>
      <c r="O145" s="28"/>
      <c r="P145" s="27"/>
      <c r="Q145" s="27"/>
      <c r="R145" s="27"/>
      <c r="S145" s="27"/>
      <c r="T145" s="27"/>
      <c r="U145" s="27"/>
      <c r="V145" s="27"/>
      <c r="W145" s="27"/>
      <c r="X145" s="27"/>
      <c r="Y145" s="32"/>
      <c r="Z145" s="32"/>
      <c r="AA145" s="32"/>
      <c r="AB145" s="32"/>
      <c r="AC145" s="32"/>
      <c r="AD145" s="27"/>
      <c r="AE145" s="27"/>
      <c r="AF145" s="27"/>
      <c r="AG145" s="27"/>
      <c r="AH145" s="27"/>
    </row>
    <row r="146" spans="2:34" x14ac:dyDescent="0.35">
      <c r="B146" s="27"/>
      <c r="C146" s="27"/>
      <c r="D146" s="27"/>
      <c r="E146" s="27"/>
      <c r="F146" s="29"/>
      <c r="G146" s="27"/>
      <c r="H146" s="27"/>
      <c r="I146" s="27"/>
      <c r="J146" s="27"/>
      <c r="K146" s="27"/>
      <c r="L146" s="27"/>
      <c r="M146" s="27"/>
      <c r="N146" s="30"/>
      <c r="O146" s="28"/>
      <c r="P146" s="27"/>
      <c r="Q146" s="27"/>
      <c r="R146" s="27"/>
      <c r="S146" s="27"/>
      <c r="T146" s="27"/>
      <c r="U146" s="27"/>
      <c r="V146" s="27"/>
      <c r="W146" s="27"/>
      <c r="X146" s="27"/>
      <c r="Y146" s="32"/>
      <c r="Z146" s="32"/>
      <c r="AA146" s="32"/>
      <c r="AB146" s="32"/>
      <c r="AC146" s="32"/>
      <c r="AD146" s="27"/>
      <c r="AE146" s="27"/>
      <c r="AF146" s="27"/>
      <c r="AG146" s="27"/>
      <c r="AH146" s="27"/>
    </row>
    <row r="147" spans="2:34" x14ac:dyDescent="0.35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2:34" x14ac:dyDescent="0.35">
      <c r="B148" s="1" t="s">
        <v>60</v>
      </c>
      <c r="J148" s="1" t="s">
        <v>60</v>
      </c>
    </row>
    <row r="149" spans="2:34" x14ac:dyDescent="0.35">
      <c r="B149" s="2" t="s">
        <v>0</v>
      </c>
      <c r="C149" s="2" t="s">
        <v>8</v>
      </c>
      <c r="D149" s="2" t="s">
        <v>472</v>
      </c>
      <c r="E149" s="2" t="s">
        <v>62</v>
      </c>
      <c r="F149" s="2" t="s">
        <v>505</v>
      </c>
      <c r="G149" s="2" t="s">
        <v>23</v>
      </c>
      <c r="H149" s="4" t="s">
        <v>28</v>
      </c>
      <c r="J149" s="2" t="s">
        <v>0</v>
      </c>
      <c r="K149" s="2" t="s">
        <v>8</v>
      </c>
      <c r="L149" s="2" t="s">
        <v>26</v>
      </c>
      <c r="M149" s="2" t="s">
        <v>27</v>
      </c>
      <c r="N149" s="2" t="s">
        <v>24</v>
      </c>
      <c r="O149" s="2" t="s">
        <v>23</v>
      </c>
      <c r="P149" s="4" t="s">
        <v>28</v>
      </c>
    </row>
    <row r="150" spans="2:34" x14ac:dyDescent="0.35">
      <c r="B150" s="3">
        <v>1</v>
      </c>
      <c r="C150" s="39" t="s">
        <v>6</v>
      </c>
      <c r="D150" s="3">
        <f>SUMIFS($T$3:$T$146,$D$3:$D$146,Table!$C$3,$P$3:$P$146,C150)</f>
        <v>1711.6125000000013</v>
      </c>
      <c r="E150" s="3">
        <f>SUMIFS($U$3:$U$146,$D$3:$D$146,Table!$C$3,$P$3:$P$146,C150)-SUM(SUMIFS($U$3:$U$146,$D$3:$D$146,Table!$C$3,$P$3:$P$146,C150,$X$3:$X$146,{"Ongoing","N/A",""}))</f>
        <v>1112.6687500000003</v>
      </c>
      <c r="F150" s="3">
        <f>1/8*(SUMIFS($W$3:$W$146,$D$3:$D$146,Table!$C$3,$P$3:$P$146,C150)-SUM(SUMIFS($W$3:$W$146,$D$3:$D$146,Table!$C$3,$P$3:$P$146,C150,$X$3:$X$146,{"Ongoing","N/A",""})))</f>
        <v>9.5</v>
      </c>
      <c r="G150" s="3">
        <f>IF(ISERROR(E150/(F150)),"N/A",E150/F150)</f>
        <v>117.1230263157895</v>
      </c>
      <c r="H150" s="6">
        <f>IF(ISERROR(E150/D150),"N/A",E150/D150)</f>
        <v>0.65007047447947441</v>
      </c>
      <c r="J150" s="3">
        <v>1</v>
      </c>
      <c r="K150" s="39" t="s">
        <v>6</v>
      </c>
      <c r="L150" s="3">
        <f>SUMIFS($S$3:$S$146,$D$3:$D$146,Table!$C$3,$P$3:$P$146,K150)</f>
        <v>1168</v>
      </c>
      <c r="M150" s="3">
        <f>SUMIFS($S$3:$S$146,$D$3:$D$146,Table!$C$3,$P$3:$P$146,K150)-SUM(SUMIFS($S$3:$S$146,$D$3:$D$146,Table!$C$3,$P$3:$P$146,K150,$X$3:$X$146,{"Ongoing","N/A",""}))</f>
        <v>1168</v>
      </c>
      <c r="N150" s="3">
        <f>1/8*(SUMIFS($W$3:$W$146,$D$3:$D$146,Table!$C$3,$P$3:$P$146,K150)-SUM(SUMIFS($W$3:$W$146,$D$3:$D$146,Table!$C$3,$P$3:$P$146,K150,$X$3:$X$146,{"Ongoing","N/A",""})))</f>
        <v>9.5</v>
      </c>
      <c r="O150" s="3">
        <f>IF(ISERROR(M150/(N150)),"N/A",M150/N150)</f>
        <v>122.94736842105263</v>
      </c>
      <c r="P150" s="6">
        <f>IF(ISERROR(M150/L150),"N/A",M150/L150)</f>
        <v>1</v>
      </c>
    </row>
    <row r="151" spans="2:34" x14ac:dyDescent="0.35">
      <c r="B151" s="3">
        <v>2</v>
      </c>
      <c r="C151" s="39" t="s">
        <v>73</v>
      </c>
      <c r="D151" s="3">
        <f>SUMIFS($T$3:$T$146,$D$3:$D$146,Table!$C$3,$P$3:$P$146,C151)</f>
        <v>1970.4750000000015</v>
      </c>
      <c r="E151" s="3">
        <f>SUMIFS($U$3:$U$146,$D$3:$D$146,Table!$C$3,$P$3:$P$146,C151)-SUM(SUMIFS($U$3:$U$146,$D$3:$D$146,Table!$C$3,$P$3:$P$146,C151,$X$3:$X$146,{"Ongoing","N/A",""}))</f>
        <v>1085.09375</v>
      </c>
      <c r="F151" s="3">
        <f>1/8*(SUMIFS($W$3:$W$146,$D$3:$D$146,Table!$C$3,$P$3:$P$146,C151)-SUM(SUMIFS($W$3:$W$146,$D$3:$D$146,Table!$C$3,$P$3:$P$146,C151,$X$3:$X$146,{"Ongoing","N/A",""})))</f>
        <v>9.4250000000000007</v>
      </c>
      <c r="G151" s="3">
        <f t="shared" ref="G151:G154" si="19">IF(ISERROR(E151/(F151)),"N/A",E151/F151)</f>
        <v>115.12931034482757</v>
      </c>
      <c r="H151" s="6">
        <f t="shared" ref="H151:H154" si="20">IF(ISERROR(E151/D151),"N/A",E151/D151)</f>
        <v>0.55067623288800882</v>
      </c>
      <c r="J151" s="3">
        <v>2</v>
      </c>
      <c r="K151" s="39" t="s">
        <v>73</v>
      </c>
      <c r="L151" s="3">
        <f>SUMIFS($S$3:$S$146,$D$3:$D$146,Table!$C$3,$P$3:$P$146,K151)</f>
        <v>1449</v>
      </c>
      <c r="M151" s="3">
        <f>SUMIFS($S$3:$S$146,$D$3:$D$146,Table!$C$3,$P$3:$P$146,K151)-SUM(SUMIFS($S$3:$S$146,$D$3:$D$146,Table!$C$3,$P$3:$P$146,K151,$X$3:$X$146,{"Ongoing","N/A",""}))</f>
        <v>1449</v>
      </c>
      <c r="N151" s="3">
        <f>1/8*(SUMIFS($W$3:$W$146,$D$3:$D$146,Table!$C$3,$P$3:$P$146,K151)-SUM(SUMIFS($W$3:$W$146,$D$3:$D$146,Table!$C$3,$P$3:$P$146,K151,$X$3:$X$146,{"Ongoing","N/A",""})))</f>
        <v>9.4250000000000007</v>
      </c>
      <c r="O151" s="3">
        <f t="shared" ref="O151:O154" si="21">IF(ISERROR(M151/(N151)),"N/A",M151/N151)</f>
        <v>153.74005305039788</v>
      </c>
      <c r="P151" s="6">
        <f t="shared" ref="P151:P154" si="22">IF(ISERROR(M151/L151),"N/A",M151/L151)</f>
        <v>1</v>
      </c>
    </row>
    <row r="152" spans="2:34" x14ac:dyDescent="0.35">
      <c r="B152" s="3">
        <v>3</v>
      </c>
      <c r="C152" s="39" t="s">
        <v>74</v>
      </c>
      <c r="D152" s="3">
        <f>SUMIFS($T$3:$T$146,$D$3:$D$146,Table!$C$3,$P$3:$P$146,C152)</f>
        <v>1139.6125</v>
      </c>
      <c r="E152" s="3">
        <f>SUMIFS($U$3:$U$146,$D$3:$D$146,Table!$C$3,$P$3:$P$146,C152)-SUM(SUMIFS($U$3:$U$146,$D$3:$D$146,Table!$C$3,$P$3:$P$146,C152,$X$3:$X$146,{"Ongoing","N/A",""}))</f>
        <v>286</v>
      </c>
      <c r="F152" s="3">
        <f>1/8*(SUMIFS($W$3:$W$146,$D$3:$D$146,Table!$C$3,$P$3:$P$146,C152)-SUM(SUMIFS($W$3:$W$146,$D$3:$D$146,Table!$C$3,$P$3:$P$146,C152,$X$3:$X$146,{"Ongoing","N/A",""})))</f>
        <v>1.9749999999999999</v>
      </c>
      <c r="G152" s="3">
        <f t="shared" si="19"/>
        <v>144.81012658227849</v>
      </c>
      <c r="H152" s="6">
        <f t="shared" si="20"/>
        <v>0.25096249821759592</v>
      </c>
      <c r="J152" s="3">
        <v>3</v>
      </c>
      <c r="K152" s="39" t="s">
        <v>74</v>
      </c>
      <c r="L152" s="3">
        <f>SUMIFS($S$3:$S$146,$D$3:$D$146,Table!$C$3,$P$3:$P$146,K152)</f>
        <v>267</v>
      </c>
      <c r="M152" s="3">
        <f>SUMIFS($S$3:$S$146,$D$3:$D$146,Table!$C$3,$P$3:$P$146,K152)-SUM(SUMIFS($S$3:$S$146,$D$3:$D$146,Table!$C$3,$P$3:$P$146,K152,$X$3:$X$146,{"Ongoing","N/A",""}))</f>
        <v>267</v>
      </c>
      <c r="N152" s="3">
        <f>1/8*(SUMIFS($W$3:$W$146,$D$3:$D$146,Table!$C$3,$P$3:$P$146,K152)-SUM(SUMIFS($W$3:$W$146,$D$3:$D$146,Table!$C$3,$P$3:$P$146,K152,$X$3:$X$146,{"Ongoing","N/A",""})))</f>
        <v>1.9749999999999999</v>
      </c>
      <c r="O152" s="3">
        <f t="shared" si="21"/>
        <v>135.18987341772151</v>
      </c>
      <c r="P152" s="6">
        <f t="shared" si="22"/>
        <v>1</v>
      </c>
    </row>
    <row r="153" spans="2:34" x14ac:dyDescent="0.35">
      <c r="B153" s="3">
        <v>4</v>
      </c>
      <c r="C153" s="39" t="s">
        <v>75</v>
      </c>
      <c r="D153" s="3">
        <f>SUMIFS($T$3:$T$146,$D$3:$D$146,Table!$C$3,$P$3:$P$146,C153)</f>
        <v>1822.2750000000003</v>
      </c>
      <c r="E153" s="3">
        <f>SUMIFS($U$3:$U$146,$D$3:$D$146,Table!$C$3,$P$3:$P$146,C153)-SUM(SUMIFS($U$3:$U$146,$D$3:$D$146,Table!$C$3,$P$3:$P$146,C153,$X$3:$X$146,{"Ongoing","N/A",""}))</f>
        <v>974.1875</v>
      </c>
      <c r="F153" s="3">
        <f>1/8*(SUMIFS($W$3:$W$146,$D$3:$D$146,Table!$C$3,$P$3:$P$146,C153)-SUM(SUMIFS($W$3:$W$146,$D$3:$D$146,Table!$C$3,$P$3:$P$146,C153,$X$3:$X$146,{"Ongoing","N/A",""})))</f>
        <v>10.125</v>
      </c>
      <c r="G153" s="3">
        <f t="shared" si="19"/>
        <v>96.216049382716051</v>
      </c>
      <c r="H153" s="6">
        <f t="shared" si="20"/>
        <v>0.53459960763331538</v>
      </c>
      <c r="J153" s="3">
        <v>4</v>
      </c>
      <c r="K153" s="39" t="s">
        <v>75</v>
      </c>
      <c r="L153" s="3">
        <f>SUMIFS($S$3:$S$146,$D$3:$D$146,Table!$C$3,$P$3:$P$146,K153)</f>
        <v>1645</v>
      </c>
      <c r="M153" s="3">
        <f>SUMIFS($S$3:$S$146,$D$3:$D$146,Table!$C$3,$P$3:$P$146,K153)-SUM(SUMIFS($S$3:$S$146,$D$3:$D$146,Table!$C$3,$P$3:$P$146,K153,$X$3:$X$146,{"Ongoing","N/A",""}))</f>
        <v>1645</v>
      </c>
      <c r="N153" s="3">
        <f>1/8*(SUMIFS($W$3:$W$146,$D$3:$D$146,Table!$C$3,$P$3:$P$146,K153)-SUM(SUMIFS($W$3:$W$146,$D$3:$D$146,Table!$C$3,$P$3:$P$146,K153,$X$3:$X$146,{"Ongoing","N/A",""})))</f>
        <v>10.125</v>
      </c>
      <c r="O153" s="3">
        <f t="shared" si="21"/>
        <v>162.46913580246914</v>
      </c>
      <c r="P153" s="6">
        <f t="shared" si="22"/>
        <v>1</v>
      </c>
    </row>
    <row r="154" spans="2:34" x14ac:dyDescent="0.35">
      <c r="B154" s="2" t="s">
        <v>290</v>
      </c>
      <c r="C154" s="38"/>
      <c r="D154" s="3">
        <f>SUMIFS($T$3:$T$146,$D$3:$D$146,Table!$C$3)</f>
        <v>6643.9749999999913</v>
      </c>
      <c r="E154" s="3">
        <f>SUMIFS($T$3:$T$146,$D$3:$D$146,Table!$C$3)-SUM(SUMIFS($T$3:$T$146,$D$3:$D$146,Table!$C$3,$X$3:$X$146,{"Ongoing","N/A",""}))</f>
        <v>3433.9499999999894</v>
      </c>
      <c r="F154" s="3">
        <f>1/8*(SUMIFS($W$3:$W$146,$D$3:$D$146,Table!$C$3)-SUM(SUMIFS($W$3:$W$146,$D$3:$D$146,Table!$C$3,$X$3:$X$146,{"Ongoing","N/A",""})))</f>
        <v>31.024999999999995</v>
      </c>
      <c r="G154" s="3">
        <f t="shared" si="19"/>
        <v>110.68331990330346</v>
      </c>
      <c r="H154" s="6">
        <f t="shared" si="20"/>
        <v>0.51685173408990759</v>
      </c>
      <c r="J154" s="2" t="s">
        <v>290</v>
      </c>
      <c r="K154" s="38"/>
      <c r="L154" s="3">
        <f>SUMIFS($S$3:$S$146,$D$3:$D$146,Table!$C$3)</f>
        <v>4529</v>
      </c>
      <c r="M154" s="3">
        <f>SUMIFS($S$3:$S$146,$D$3:$D$146,Table!$C$3)-SUM(SUMIFS($S$3:$S$146,$D$3:$D$146,Table!$C$3,$X$3:$X$146,{"Ongoing","N/A",""}))</f>
        <v>4529</v>
      </c>
      <c r="N154" s="3">
        <f>1/8*(SUMIFS($W$3:$W$146,$D$3:$D$146,Table!$C$3)-SUM(SUMIFS($W$3:$W$146,$D$3:$D$146,Table!$C$3,$X$3:$X$146,{"Ongoing","N/A",""})))</f>
        <v>31.024999999999995</v>
      </c>
      <c r="O154" s="3">
        <f t="shared" si="21"/>
        <v>145.97904915390816</v>
      </c>
      <c r="P154" s="6">
        <f t="shared" si="22"/>
        <v>1</v>
      </c>
    </row>
    <row r="157" spans="2:34" x14ac:dyDescent="0.35">
      <c r="B157" s="1" t="s">
        <v>61</v>
      </c>
      <c r="J157" s="1" t="s">
        <v>61</v>
      </c>
    </row>
    <row r="158" spans="2:34" x14ac:dyDescent="0.35">
      <c r="B158" s="2" t="s">
        <v>0</v>
      </c>
      <c r="C158" s="2" t="s">
        <v>8</v>
      </c>
      <c r="D158" s="2" t="s">
        <v>472</v>
      </c>
      <c r="E158" s="2" t="s">
        <v>62</v>
      </c>
      <c r="F158" s="2" t="s">
        <v>505</v>
      </c>
      <c r="G158" s="2" t="s">
        <v>23</v>
      </c>
      <c r="H158" s="4" t="s">
        <v>28</v>
      </c>
      <c r="J158" s="2" t="s">
        <v>0</v>
      </c>
      <c r="K158" s="2" t="s">
        <v>8</v>
      </c>
      <c r="L158" s="2" t="s">
        <v>26</v>
      </c>
      <c r="M158" s="2" t="s">
        <v>27</v>
      </c>
      <c r="N158" s="2" t="s">
        <v>24</v>
      </c>
      <c r="O158" s="2" t="s">
        <v>23</v>
      </c>
      <c r="P158" s="4" t="s">
        <v>28</v>
      </c>
    </row>
    <row r="159" spans="2:34" x14ac:dyDescent="0.35">
      <c r="B159" s="3">
        <v>1</v>
      </c>
      <c r="C159" s="39" t="s">
        <v>6</v>
      </c>
      <c r="D159" s="3">
        <f>SUMIFS($T$3:$T$146,$D$3:$D$146,Table!$D$3,$P$3:$P$146,C159)</f>
        <v>225</v>
      </c>
      <c r="E159" s="3">
        <f>SUMIFS($T$3:$T$146,$D$3:$D$146,Table!$D$3,$P$3:$P$146,C159)-SUM(SUMIFS($T$3:$T$146,$D$3:$D$146,Table!$D$3,$P$3:$P$146,C159,$X$3:$X$146,{"Ongoing","N/A",""}))</f>
        <v>225</v>
      </c>
      <c r="F159" s="3">
        <f>1/8*(SUMIFS($W$3:$W$146,$D$3:$D$146,Table!$D$3,$P$3:$P$146,C159)-SUM(SUMIFS($W$3:$W$146,$D$3:$D$146,Table!$D$3,$P$3:$P$146,C159,$X$3:$X$146,{"Ongoing","N/A",""})))</f>
        <v>0.5</v>
      </c>
      <c r="G159" s="3">
        <f>IF(ISERROR(E159/(F159)),"N/A",E159/F159)</f>
        <v>450</v>
      </c>
      <c r="H159" s="6">
        <f>IF(ISERROR(E159/D159),"N/A",E159/D159)</f>
        <v>1</v>
      </c>
      <c r="J159" s="3">
        <v>1</v>
      </c>
      <c r="K159" s="39" t="s">
        <v>6</v>
      </c>
      <c r="L159" s="3">
        <f>SUMIFS($S$3:$S$146,$D$3:$D$146,Table!$D$3,$P$3:$P$146,K159)</f>
        <v>218</v>
      </c>
      <c r="M159" s="3">
        <f>SUMIFS($T$3:$T$146,$D$3:$D$146,Table!$D$3,$P$3:$P$146,K159)-SUM(SUMIFS($T$3:$T$146,$D$3:$D$146,Table!$D$3,$P$3:$P$146,K159,$X$3:$X$146,{"Ongoing","N/A",""}))</f>
        <v>225</v>
      </c>
      <c r="N159" s="3">
        <f>1/8*(SUMIFS($W$3:$W$146,$D$3:$D$146,Table!$D$3,$P$3:$P$146,K159)-SUM(SUMIFS($W$3:$W$146,$D$3:$D$146,Table!$D$3,$P$3:$P$146,K159,$X$3:$X$146,{"Ongoing","N/A",""})))</f>
        <v>0.5</v>
      </c>
      <c r="O159" s="3">
        <f>IF(ISERROR(M159/(N159)),"N/A",M159/N159)</f>
        <v>450</v>
      </c>
      <c r="P159" s="6">
        <f>IF(ISERROR(M159/L159),"N/A",M159/L159)</f>
        <v>1.0321100917431192</v>
      </c>
    </row>
    <row r="160" spans="2:34" x14ac:dyDescent="0.35">
      <c r="B160" s="3">
        <v>2</v>
      </c>
      <c r="C160" s="39" t="s">
        <v>73</v>
      </c>
      <c r="D160" s="3">
        <f>SUMIFS($T$3:$T$146,$D$3:$D$146,Table!$D$3,$P$3:$P$146,C160)</f>
        <v>0</v>
      </c>
      <c r="E160" s="3">
        <f>SUMIFS($T$3:$T$146,$D$3:$D$146,Table!$D$3,$P$3:$P$146,C160)-SUM(SUMIFS($T$3:$T$146,$D$3:$D$146,Table!$D$3,$P$3:$P$146,C160,$X$3:$X$146,{"Ongoing","N/A",""}))</f>
        <v>0</v>
      </c>
      <c r="F160" s="3">
        <f>1/8*(SUMIFS($W$3:$W$146,$D$3:$D$146,Table!$D$3,$P$3:$P$146,C160)-SUM(SUMIFS($W$3:$W$146,$D$3:$D$146,Table!$D$3,$P$3:$P$146,C160,$X$3:$X$146,{"Ongoing","N/A",""})))</f>
        <v>0</v>
      </c>
      <c r="G160" s="3" t="str">
        <f t="shared" ref="G160:G162" si="23">IF(ISERROR(E160/(F160)),"N/A",E160/F160)</f>
        <v>N/A</v>
      </c>
      <c r="H160" s="6" t="str">
        <f t="shared" ref="H160:H163" si="24">IF(ISERROR(E160/D160),"N/A",E160/D160)</f>
        <v>N/A</v>
      </c>
      <c r="J160" s="3">
        <v>2</v>
      </c>
      <c r="K160" s="39" t="s">
        <v>73</v>
      </c>
      <c r="L160" s="3">
        <f>SUMIFS($S$3:$S$146,$D$3:$D$146,Table!$D$3,$P$3:$P$146,K160)</f>
        <v>0</v>
      </c>
      <c r="M160" s="3">
        <f>SUMIFS($T$3:$T$146,$D$3:$D$146,Table!$D$3,$P$3:$P$146,K160)-SUM(SUMIFS($T$3:$T$146,$D$3:$D$146,Table!$D$3,$P$3:$P$146,K160,$X$3:$X$146,{"Ongoing","N/A",""}))</f>
        <v>0</v>
      </c>
      <c r="N160" s="3">
        <f>1/8*(SUMIFS($W$3:$W$146,$D$3:$D$146,Table!$D$3,$P$3:$P$146,K160)-SUM(SUMIFS($W$3:$W$146,$D$3:$D$146,Table!$D$3,$P$3:$P$146,K160,$X$3:$X$146,{"Ongoing","N/A",""})))</f>
        <v>0</v>
      </c>
      <c r="O160" s="3" t="str">
        <f t="shared" ref="O160:O162" si="25">IF(ISERROR(M160/(N160)),"N/A",M160/N160)</f>
        <v>N/A</v>
      </c>
      <c r="P160" s="6" t="str">
        <f t="shared" ref="P160:P163" si="26">IF(ISERROR(M160/L160),"N/A",M160/L160)</f>
        <v>N/A</v>
      </c>
    </row>
    <row r="161" spans="2:16" x14ac:dyDescent="0.35">
      <c r="B161" s="3">
        <v>3</v>
      </c>
      <c r="C161" s="39" t="s">
        <v>74</v>
      </c>
      <c r="D161" s="3">
        <f>SUMIFS($T$3:$T$146,$D$3:$D$146,Table!$D$3,$P$3:$P$146,C161)</f>
        <v>495</v>
      </c>
      <c r="E161" s="3">
        <f>SUMIFS($T$3:$T$146,$D$3:$D$146,Table!$D$3,$P$3:$P$146,C161)-SUM(SUMIFS($T$3:$T$146,$D$3:$D$146,Table!$D$3,$P$3:$P$146,C161,$X$3:$X$146,{"Ongoing","N/A",""}))</f>
        <v>495</v>
      </c>
      <c r="F161" s="3">
        <f>1/8*(SUMIFS($W$3:$W$146,$D$3:$D$146,Table!$D$3,$P$3:$P$146,C161)-SUM(SUMIFS($W$3:$W$146,$D$3:$D$146,Table!$D$3,$P$3:$P$146,C161,$X$3:$X$146,{"Ongoing","N/A",""})))</f>
        <v>1</v>
      </c>
      <c r="G161" s="3">
        <f t="shared" si="23"/>
        <v>495</v>
      </c>
      <c r="H161" s="6">
        <f t="shared" si="24"/>
        <v>1</v>
      </c>
      <c r="J161" s="3">
        <v>3</v>
      </c>
      <c r="K161" s="39" t="s">
        <v>74</v>
      </c>
      <c r="L161" s="3">
        <f>SUMIFS($S$3:$S$146,$D$3:$D$146,Table!$D$3,$P$3:$P$146,K161)</f>
        <v>586</v>
      </c>
      <c r="M161" s="3">
        <f>SUMIFS($T$3:$T$146,$D$3:$D$146,Table!$D$3,$P$3:$P$146,K161)-SUM(SUMIFS($T$3:$T$146,$D$3:$D$146,Table!$D$3,$P$3:$P$146,K161,$X$3:$X$146,{"Ongoing","N/A",""}))</f>
        <v>495</v>
      </c>
      <c r="N161" s="3">
        <f>1/8*(SUMIFS($W$3:$W$146,$D$3:$D$146,Table!$D$3,$P$3:$P$146,K161)-SUM(SUMIFS($W$3:$W$146,$D$3:$D$146,Table!$D$3,$P$3:$P$146,K161,$X$3:$X$146,{"Ongoing","N/A",""})))</f>
        <v>1</v>
      </c>
      <c r="O161" s="3">
        <f t="shared" si="25"/>
        <v>495</v>
      </c>
      <c r="P161" s="6">
        <f t="shared" si="26"/>
        <v>0.84470989761092152</v>
      </c>
    </row>
    <row r="162" spans="2:16" x14ac:dyDescent="0.35">
      <c r="B162" s="3">
        <v>4</v>
      </c>
      <c r="C162" s="39" t="s">
        <v>75</v>
      </c>
      <c r="D162" s="3">
        <f>SUMIFS($T$3:$T$146,$D$3:$D$146,Table!$D$3,$P$3:$P$146,C162)</f>
        <v>0</v>
      </c>
      <c r="E162" s="3">
        <f>SUMIFS($T$3:$T$146,$D$3:$D$146,Table!$D$3,$P$3:$P$146,C162)-SUM(SUMIFS($T$3:$T$146,$D$3:$D$146,Table!$D$3,$P$3:$P$146,C162,$X$3:$X$146,{"Ongoing","N/A",""}))</f>
        <v>0</v>
      </c>
      <c r="F162" s="3">
        <f>1/8*(SUMIFS($W$3:$W$146,$D$3:$D$146,Table!$D$3,$P$3:$P$146,C162)-SUM(SUMIFS($W$3:$W$146,$D$3:$D$146,Table!$D$3,$P$3:$P$146,C162,$X$3:$X$146,{"Ongoing","N/A",""})))</f>
        <v>0</v>
      </c>
      <c r="G162" s="3" t="str">
        <f t="shared" si="23"/>
        <v>N/A</v>
      </c>
      <c r="H162" s="6" t="str">
        <f t="shared" si="24"/>
        <v>N/A</v>
      </c>
      <c r="J162" s="3">
        <v>4</v>
      </c>
      <c r="K162" s="39" t="s">
        <v>75</v>
      </c>
      <c r="L162" s="3">
        <f>SUMIFS($S$3:$S$146,$D$3:$D$146,Table!$D$3,$P$3:$P$146,K162)</f>
        <v>0</v>
      </c>
      <c r="M162" s="3">
        <f>SUMIFS($T$3:$T$146,$D$3:$D$146,Table!$D$3,$P$3:$P$146,K162)-SUM(SUMIFS($T$3:$T$146,$D$3:$D$146,Table!$D$3,$P$3:$P$146,K162,$X$3:$X$146,{"Ongoing","N/A",""}))</f>
        <v>0</v>
      </c>
      <c r="N162" s="3">
        <f>1/8*(SUMIFS($W$3:$W$146,$D$3:$D$146,Table!$D$3,$P$3:$P$146,K162)-SUM(SUMIFS($W$3:$W$146,$D$3:$D$146,Table!$D$3,$P$3:$P$146,K162,$X$3:$X$146,{"Ongoing","N/A",""})))</f>
        <v>0</v>
      </c>
      <c r="O162" s="3" t="str">
        <f t="shared" si="25"/>
        <v>N/A</v>
      </c>
      <c r="P162" s="6" t="str">
        <f t="shared" si="26"/>
        <v>N/A</v>
      </c>
    </row>
    <row r="163" spans="2:16" x14ac:dyDescent="0.35">
      <c r="B163" s="2" t="s">
        <v>290</v>
      </c>
      <c r="C163" s="38"/>
      <c r="D163" s="3">
        <f>SUMIFS($T$3:$T$146,$D$3:$D$146,Table!$D$3)</f>
        <v>720</v>
      </c>
      <c r="E163" s="3">
        <f>SUMIFS($T$3:$T$146,$D$3:$D$146,Table!$D$3)-SUM(SUMIFS($T$3:$T$146,$D$3:$D$146,Table!$D$3,$X$3:$X$146,{"Ongoing","N/A",""}))</f>
        <v>720</v>
      </c>
      <c r="F163" s="3">
        <f>1/8*(SUMIFS($W$3:$W$146,$D$3:$D$146,Table!$D$3)-SUM(SUMIFS($W$3:$W$146,$D$3:$D$146,Table!$D$3,$X$3:$X$146,{"Ongoing","N/A",""})))</f>
        <v>1.5</v>
      </c>
      <c r="G163" s="3">
        <f>IF(ISERROR(E163/(F163)),"N/A",E163/F163)</f>
        <v>480</v>
      </c>
      <c r="H163" s="6">
        <f t="shared" si="24"/>
        <v>1</v>
      </c>
      <c r="J163" s="2" t="s">
        <v>290</v>
      </c>
      <c r="K163" s="38"/>
      <c r="L163" s="3">
        <f>SUMIFS($S$3:$S$146,$D$3:$D$146,Table!$D$3)</f>
        <v>804</v>
      </c>
      <c r="M163" s="3">
        <f>SUMIFS($S$3:$S$146,$D$3:$D$146,Table!$D$3)-SUM(SUMIFS($S$3:$S$146,$D$3:$D$146,Table!$D$3,$X$3:$X$146,{"Ongoing","N/A",""}))</f>
        <v>804</v>
      </c>
      <c r="N163" s="3">
        <f>1/8*(SUMIFS($W$3:$W$146,$D$3:$D$146,Table!$D$3)-SUM(SUMIFS($W$3:$W$146,$D$3:$D$146,Table!$D$3,$X$3:$X$146,{"Ongoing","N/A",""})))</f>
        <v>1.5</v>
      </c>
      <c r="O163" s="3">
        <f>IF(ISERROR(M163/(N163)),"N/A",M163/N163)</f>
        <v>536</v>
      </c>
      <c r="P163" s="6">
        <f t="shared" si="26"/>
        <v>1</v>
      </c>
    </row>
    <row r="166" spans="2:16" x14ac:dyDescent="0.35">
      <c r="B166" s="1" t="s">
        <v>291</v>
      </c>
      <c r="J166" s="1" t="s">
        <v>291</v>
      </c>
    </row>
    <row r="167" spans="2:16" x14ac:dyDescent="0.35">
      <c r="B167" s="2" t="s">
        <v>0</v>
      </c>
      <c r="C167" s="2" t="s">
        <v>8</v>
      </c>
      <c r="D167" s="2" t="s">
        <v>472</v>
      </c>
      <c r="E167" s="2" t="s">
        <v>62</v>
      </c>
      <c r="F167" s="2" t="s">
        <v>505</v>
      </c>
      <c r="G167" s="2" t="s">
        <v>23</v>
      </c>
      <c r="H167" s="4" t="s">
        <v>28</v>
      </c>
      <c r="J167" s="2" t="s">
        <v>0</v>
      </c>
      <c r="K167" s="2" t="s">
        <v>8</v>
      </c>
      <c r="L167" s="2" t="s">
        <v>26</v>
      </c>
      <c r="M167" s="2" t="s">
        <v>27</v>
      </c>
      <c r="N167" s="2" t="s">
        <v>24</v>
      </c>
      <c r="O167" s="2" t="s">
        <v>23</v>
      </c>
      <c r="P167" s="4" t="s">
        <v>28</v>
      </c>
    </row>
    <row r="168" spans="2:16" x14ac:dyDescent="0.35">
      <c r="B168" s="3">
        <v>1</v>
      </c>
      <c r="C168" s="39" t="s">
        <v>6</v>
      </c>
      <c r="D168" s="3">
        <f>SUM(D150*Table!$D$4/Table!$C$4,D159)</f>
        <v>6149.8125000000045</v>
      </c>
      <c r="E168" s="3">
        <f>SUM(E150*Table!$D$4/Table!$C$4,E159)</f>
        <v>4076.5456730769238</v>
      </c>
      <c r="F168" s="3">
        <f ca="1">Template_Weekly_Report!$B$3-Table!D13</f>
        <v>11</v>
      </c>
      <c r="G168" s="3">
        <f t="shared" ref="G168" ca="1" si="27">IF(ISERROR(E168/(F168)),"N/A",E168/F168)</f>
        <v>370.59506118881126</v>
      </c>
      <c r="H168" s="6">
        <f t="shared" ref="H168:H171" si="28">IF(ISERROR(E168/D168),"N/A",E168/D168)</f>
        <v>0.6628731645195558</v>
      </c>
      <c r="J168" s="3">
        <v>1</v>
      </c>
      <c r="K168" s="39" t="s">
        <v>6</v>
      </c>
      <c r="L168" s="3">
        <f>SUM(L150*Table!$D$4/Table!$C$4,L159)</f>
        <v>4261.0769230769229</v>
      </c>
      <c r="M168" s="3">
        <f>SUM(M150*Table!$D$4/Table!$C$4,M159)</f>
        <v>4268.0769230769229</v>
      </c>
      <c r="N168" s="3">
        <f ca="1">Template_Weekly_Report!$B$3</f>
        <v>11</v>
      </c>
      <c r="O168" s="3">
        <f t="shared" ref="O168" ca="1" si="29">IF(ISERROR(M168/(N168)),"N/A",M168/N168)</f>
        <v>388.00699300699301</v>
      </c>
      <c r="P168" s="6">
        <f t="shared" ref="P168:P171" si="30">IF(ISERROR(M168/L168),"N/A",M168/L168)</f>
        <v>1.0016427771960863</v>
      </c>
    </row>
    <row r="169" spans="2:16" x14ac:dyDescent="0.35">
      <c r="B169" s="3">
        <v>2</v>
      </c>
      <c r="C169" s="39" t="s">
        <v>73</v>
      </c>
      <c r="D169" s="3">
        <f>SUM(D151*Table!$D$4/Table!$C$4,D160)</f>
        <v>6820.8750000000055</v>
      </c>
      <c r="E169" s="3">
        <f>SUM(E151*Table!$D$4/Table!$C$4,E160)</f>
        <v>3756.09375</v>
      </c>
      <c r="F169" s="3">
        <f ca="1">Template_Weekly_Report!$B$3-Table!D14</f>
        <v>11</v>
      </c>
      <c r="G169" s="3">
        <f ca="1">IF(ISERROR(E169/(F169)),"N/A",E169/F169)</f>
        <v>341.46306818181819</v>
      </c>
      <c r="H169" s="6">
        <f t="shared" si="28"/>
        <v>0.55067623288800882</v>
      </c>
      <c r="J169" s="3">
        <v>2</v>
      </c>
      <c r="K169" s="39" t="s">
        <v>73</v>
      </c>
      <c r="L169" s="3">
        <f>SUM(L151*Table!$D$4/Table!$C$4,L160)</f>
        <v>5015.7692307692305</v>
      </c>
      <c r="M169" s="3">
        <f>SUM(M151*Table!$D$4/Table!$C$4,M160)</f>
        <v>5015.7692307692305</v>
      </c>
      <c r="N169" s="3">
        <f ca="1">Template_Weekly_Report!$B$3</f>
        <v>11</v>
      </c>
      <c r="O169" s="3">
        <f ca="1">IF(ISERROR(M169/(N169)),"N/A",M169/N169)</f>
        <v>455.97902097902096</v>
      </c>
      <c r="P169" s="6">
        <f t="shared" si="30"/>
        <v>1</v>
      </c>
    </row>
    <row r="170" spans="2:16" x14ac:dyDescent="0.35">
      <c r="B170" s="3">
        <v>3</v>
      </c>
      <c r="C170" s="39" t="s">
        <v>74</v>
      </c>
      <c r="D170" s="3">
        <f>SUM(D152*Table!$D$4/Table!$C$4,D161)</f>
        <v>4439.8125</v>
      </c>
      <c r="E170" s="3">
        <f>SUM(E152*Table!$D$4/Table!$C$4,E161)</f>
        <v>1485</v>
      </c>
      <c r="F170" s="3">
        <f ca="1">Template_Weekly_Report!$B$3-Table!D15</f>
        <v>5</v>
      </c>
      <c r="G170" s="3">
        <f t="shared" ref="G170" ca="1" si="31">IF(ISERROR(E170/(F170)),"N/A",E170/F170)</f>
        <v>297</v>
      </c>
      <c r="H170" s="6">
        <f t="shared" si="28"/>
        <v>0.33447358418852147</v>
      </c>
      <c r="J170" s="3">
        <v>3</v>
      </c>
      <c r="K170" s="39" t="s">
        <v>74</v>
      </c>
      <c r="L170" s="3">
        <f>SUM(L152*Table!$D$4/Table!$C$4,L161)</f>
        <v>1510.2307692307693</v>
      </c>
      <c r="M170" s="3">
        <f>SUM(M152*Table!$D$4/Table!$C$4,M161)</f>
        <v>1419.2307692307693</v>
      </c>
      <c r="N170" s="3">
        <v>2</v>
      </c>
      <c r="O170" s="3">
        <f t="shared" ref="O170" si="32">IF(ISERROR(M170/(N170)),"N/A",M170/N170)</f>
        <v>709.61538461538464</v>
      </c>
      <c r="P170" s="6">
        <f t="shared" si="30"/>
        <v>0.93974430805276832</v>
      </c>
    </row>
    <row r="171" spans="2:16" x14ac:dyDescent="0.35">
      <c r="B171" s="3">
        <v>4</v>
      </c>
      <c r="C171" s="39" t="s">
        <v>75</v>
      </c>
      <c r="D171" s="3">
        <f>SUM(D153*Table!$D$4/Table!$C$4,D162)</f>
        <v>6307.8750000000009</v>
      </c>
      <c r="E171" s="3">
        <f>SUM(E153*Table!$D$4/Table!$C$4,E162)</f>
        <v>3372.1875</v>
      </c>
      <c r="F171" s="3">
        <f ca="1">Template_Weekly_Report!$B$3-Table!D16</f>
        <v>11</v>
      </c>
      <c r="G171" s="3">
        <f ca="1">IF(ISERROR(E171/(F171)),"N/A",E171/F171)</f>
        <v>306.5625</v>
      </c>
      <c r="H171" s="6">
        <f t="shared" si="28"/>
        <v>0.53459960763331538</v>
      </c>
      <c r="J171" s="3">
        <v>4</v>
      </c>
      <c r="K171" s="39" t="s">
        <v>75</v>
      </c>
      <c r="L171" s="3">
        <f>SUM(L153*Table!$D$4/Table!$C$4,L162)</f>
        <v>5694.2307692307695</v>
      </c>
      <c r="M171" s="3">
        <f>SUM(M153*Table!$D$4/Table!$C$4,M162)</f>
        <v>5694.2307692307695</v>
      </c>
      <c r="N171" s="3">
        <f ca="1">Template_Weekly_Report!$B$3</f>
        <v>11</v>
      </c>
      <c r="O171" s="3">
        <f ca="1">IF(ISERROR(M171/(N171)),"N/A",M171/N171)</f>
        <v>517.65734265734272</v>
      </c>
      <c r="P171" s="6">
        <f t="shared" si="30"/>
        <v>1</v>
      </c>
    </row>
  </sheetData>
  <customSheetViews>
    <customSheetView guid="{250915DF-0B97-45D7-B29D-7EED4C89C1C1}" scale="70" topLeftCell="A67">
      <selection activeCell="N109" sqref="N109:V109"/>
      <pageMargins left="0.7" right="0.7" top="0.75" bottom="0.75" header="0.3" footer="0.3"/>
      <pageSetup orientation="portrait" r:id="rId1"/>
    </customSheetView>
    <customSheetView guid="{A2C66332-A809-458E-971B-FDB6D62C74C3}" scale="70" filter="1" showAutoFilter="1" topLeftCell="M1">
      <selection activeCell="Y155" sqref="Y155"/>
      <pageMargins left="0.7" right="0.7" top="0.75" bottom="0.75" header="0.3" footer="0.3"/>
      <pageSetup orientation="portrait" r:id="rId2"/>
      <autoFilter ref="B2:AH141" xr:uid="{00000000-0000-0000-0000-000000000000}">
        <filterColumn colId="14">
          <filters>
            <filter val="bang.nguyen-duy"/>
          </filters>
        </filterColumn>
      </autoFilter>
    </customSheetView>
    <customSheetView guid="{336B6883-2145-4B58-921E-CEC7185A847E}" scale="85" filter="1" showAutoFilter="1" hiddenColumns="1">
      <pane xSplit="8" ySplit="56" topLeftCell="AB58" activePane="bottomRight" state="frozen"/>
      <selection pane="bottomRight" activeCell="AD62" sqref="AD62:AG62"/>
      <pageMargins left="0.7" right="0.7" top="0.75" bottom="0.75" header="0.3" footer="0.3"/>
      <pageSetup orientation="portrait" r:id="rId3"/>
      <autoFilter ref="B2:AL141" xr:uid="{00000000-0000-0000-0000-000000000000}">
        <filterColumn colId="13">
          <filters>
            <filter val="T201"/>
            <filter val="T202"/>
          </filters>
        </filterColumn>
        <filterColumn colId="14">
          <filters>
            <filter val="dac.luu-cong"/>
          </filters>
        </filterColumn>
      </autoFilter>
    </customSheetView>
    <customSheetView guid="{60D2C030-4E31-4E07-8E1C-44D2EE84B177}" scale="85" showAutoFilter="1" hiddenColumns="1" topLeftCell="J1">
      <selection activeCell="AE25" sqref="AE25"/>
      <pageMargins left="0.7" right="0.7" top="0.75" bottom="0.75" header="0.3" footer="0.3"/>
      <pageSetup orientation="portrait" r:id="rId4"/>
      <autoFilter ref="B2:AE78" xr:uid="{00000000-0000-0000-0000-000000000000}"/>
    </customSheetView>
    <customSheetView guid="{7E0EA425-A420-4443-B9E0-CDF0AA9E5D09}" showAutoFilter="1" hiddenColumns="1">
      <pageMargins left="0.7" right="0.7" top="0.75" bottom="0.75" header="0.3" footer="0.3"/>
      <pageSetup orientation="portrait" r:id="rId5"/>
      <autoFilter ref="Q2:Q105" xr:uid="{00000000-0000-0000-0000-000000000000}"/>
    </customSheetView>
    <customSheetView guid="{72A6EB0A-84D5-4B8A-AC51-54CCD061630B}" scale="85" filter="1" showAutoFilter="1" hiddenColumns="1" topLeftCell="L1">
      <selection activeCell="AF34" sqref="AF34"/>
      <pageMargins left="0.7" right="0.7" top="0.75" bottom="0.75" header="0.3" footer="0.3"/>
      <pageSetup orientation="portrait" r:id="rId6"/>
      <autoFilter ref="B2:AH60" xr:uid="{00000000-0000-0000-0000-000000000000}">
        <filterColumn colId="14">
          <filters>
            <filter val="loc.do-phu"/>
          </filters>
        </filterColumn>
      </autoFilter>
    </customSheetView>
    <customSheetView guid="{4E06BDBF-2CED-473B-850B-2A6C7311FF41}" showAutoFilter="1" hiddenColumns="1" topLeftCell="I28">
      <selection activeCell="W54" sqref="W54"/>
      <pageMargins left="0.7" right="0.7" top="0.75" bottom="0.75" header="0.3" footer="0.3"/>
      <pageSetup orientation="portrait" r:id="rId7"/>
      <autoFilter ref="Q2:Q105" xr:uid="{00000000-0000-0000-0000-000000000000}"/>
    </customSheetView>
    <customSheetView guid="{7ECC2B8E-6A82-42F5-8AB0-4A51C54EA5EC}" scale="85" showAutoFilter="1" hiddenColumns="1" topLeftCell="B127">
      <selection activeCell="I143" sqref="I143"/>
      <pageMargins left="0.7" right="0.7" top="0.75" bottom="0.75" header="0.3" footer="0.3"/>
      <pageSetup orientation="portrait" r:id="rId8"/>
      <autoFilter ref="P2:P171" xr:uid="{00000000-0000-0000-0000-000000000000}"/>
    </customSheetView>
    <customSheetView guid="{5A94BE08-69CF-430A-9594-9B8B7732302F}" scale="70" topLeftCell="C84">
      <selection activeCell="H118" sqref="H118"/>
      <pageMargins left="0.7" right="0.7" top="0.75" bottom="0.75" header="0.3" footer="0.3"/>
      <pageSetup orientation="portrait" r:id="rId9"/>
    </customSheetView>
  </customSheetViews>
  <conditionalFormatting sqref="H150:H154 H159:H162">
    <cfRule type="cellIs" dxfId="45" priority="26" operator="equal">
      <formula>1</formula>
    </cfRule>
    <cfRule type="cellIs" dxfId="44" priority="27" operator="lessThan">
      <formula>1</formula>
    </cfRule>
  </conditionalFormatting>
  <conditionalFormatting sqref="AC3:AC146">
    <cfRule type="cellIs" dxfId="43" priority="22" operator="equal">
      <formula>"OK"</formula>
    </cfRule>
    <cfRule type="cellIs" dxfId="42" priority="23" operator="equal">
      <formula>"NG"</formula>
    </cfRule>
  </conditionalFormatting>
  <conditionalFormatting sqref="L3:M43 L44 L45:M144">
    <cfRule type="cellIs" dxfId="41" priority="21" operator="equal">
      <formula>"PUT_VERSION"</formula>
    </cfRule>
  </conditionalFormatting>
  <conditionalFormatting sqref="P150:P153 P159:P162">
    <cfRule type="cellIs" dxfId="40" priority="11" operator="equal">
      <formula>1</formula>
    </cfRule>
    <cfRule type="cellIs" dxfId="39" priority="12" operator="lessThan">
      <formula>1</formula>
    </cfRule>
  </conditionalFormatting>
  <conditionalFormatting sqref="P154">
    <cfRule type="cellIs" dxfId="38" priority="7" operator="equal">
      <formula>1</formula>
    </cfRule>
    <cfRule type="cellIs" dxfId="37" priority="8" operator="lessThan">
      <formula>1</formula>
    </cfRule>
  </conditionalFormatting>
  <conditionalFormatting sqref="M44:M71">
    <cfRule type="cellIs" dxfId="36" priority="6" operator="equal">
      <formula>"PUT_VERSION"</formula>
    </cfRule>
  </conditionalFormatting>
  <conditionalFormatting sqref="E154">
    <cfRule type="expression" dxfId="25" priority="4">
      <formula>$E$154=SUM($E$150:$E$153)</formula>
    </cfRule>
    <cfRule type="expression" dxfId="23" priority="1">
      <formula>$E$154&lt;&gt;SUM($E$150:$E$153)</formula>
    </cfRule>
  </conditionalFormatting>
  <conditionalFormatting sqref="E178">
    <cfRule type="expression" dxfId="24" priority="3">
      <formula>$E$178&lt;&gt;SUM($E$174:$E$177)</formula>
    </cfRule>
  </conditionalFormatting>
  <dataValidations disablePrompts="1" count="2">
    <dataValidation type="list" allowBlank="1" showInputMessage="1" showErrorMessage="1" sqref="R3:R40 R42:R146" xr:uid="{00000000-0002-0000-0000-000000000000}">
      <formula1>"Yes,No"</formula1>
    </dataValidation>
    <dataValidation type="list" allowBlank="1" showInputMessage="1" showErrorMessage="1" sqref="AC3:AC146" xr:uid="{00000000-0002-0000-0000-000001000000}">
      <formula1>"OK,NG"</formula1>
    </dataValidation>
  </dataValidations>
  <pageMargins left="0.7" right="0.7" top="0.75" bottom="0.75" header="0.3" footer="0.3"/>
  <pageSetup orientation="portrait"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8" operator="greaterThanOrEqual" id="{A2DBCDAC-112C-4EB1-9137-4C59CE189EEE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9" operator="lessThan" id="{F93A1AC6-53A2-4404-902D-A62DCB6880F9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G150:G154</xm:sqref>
        </x14:conditionalFormatting>
        <x14:conditionalFormatting xmlns:xm="http://schemas.microsoft.com/office/excel/2006/main">
          <x14:cfRule type="cellIs" priority="30" operator="greaterThanOrEqual" id="{4226BAC8-183D-4343-90C4-3398666B9C5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1" operator="lessThan" id="{2C456F9B-0386-48E4-B7ED-E463A343237A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G159:G162</xm:sqref>
        </x14:conditionalFormatting>
        <x14:conditionalFormatting xmlns:xm="http://schemas.microsoft.com/office/excel/2006/main">
          <x14:cfRule type="cellIs" priority="13" operator="greaterThanOrEqual" id="{39300CD1-F050-42FD-BC70-F91BD7F94997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lessThan" id="{D58BF1E7-CCCA-4CE5-8A93-AC6B03DC4712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O150:O153</xm:sqref>
        </x14:conditionalFormatting>
        <x14:conditionalFormatting xmlns:xm="http://schemas.microsoft.com/office/excel/2006/main">
          <x14:cfRule type="cellIs" priority="15" operator="greaterThanOrEqual" id="{F93ECFBC-AF33-4494-B3C3-4A919E641FB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D5C5FF14-469A-4EFD-9434-A7C0B222D52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O159:O162</xm:sqref>
        </x14:conditionalFormatting>
        <x14:conditionalFormatting xmlns:xm="http://schemas.microsoft.com/office/excel/2006/main">
          <x14:cfRule type="cellIs" priority="9" operator="greaterThanOrEqual" id="{FEAF84B9-6416-40C5-9A65-F43183D29FFC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872BD233-A396-4C0E-9D30-1C07C59C7AF1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O154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2000000}">
          <x14:formula1>
            <xm:f>Table!$C$24:$C$30</xm:f>
          </x14:formula1>
          <xm:sqref>X3:X146</xm:sqref>
        </x14:dataValidation>
        <x14:dataValidation type="list" allowBlank="1" showInputMessage="1" showErrorMessage="1" xr:uid="{00000000-0002-0000-0000-000003000000}">
          <x14:formula1>
            <xm:f>Table!$C$8:$C$9</xm:f>
          </x14:formula1>
          <xm:sqref>D3:D146</xm:sqref>
        </x14:dataValidation>
        <x14:dataValidation type="list" allowBlank="1" showInputMessage="1" showErrorMessage="1" xr:uid="{00000000-0002-0000-0000-000004000000}">
          <x14:formula1>
            <xm:f>Table!$C$13:$C$20</xm:f>
          </x14:formula1>
          <xm:sqref>P3:Q146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C39" sqref="C39"/>
    </sheetView>
  </sheetViews>
  <sheetFormatPr defaultRowHeight="14.5" x14ac:dyDescent="0.35"/>
  <sheetData/>
  <customSheetViews>
    <customSheetView guid="{250915DF-0B97-45D7-B29D-7EED4C89C1C1}">
      <selection activeCell="C39" sqref="C39"/>
      <pageMargins left="0.7" right="0.7" top="0.75" bottom="0.75" header="0.3" footer="0.3"/>
    </customSheetView>
    <customSheetView guid="{A2C66332-A809-458E-971B-FDB6D62C74C3}">
      <selection activeCell="C39" sqref="C39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7E0EA425-A420-4443-B9E0-CDF0AA9E5D09}">
      <selection activeCell="C39" sqref="C39"/>
      <pageMargins left="0.7" right="0.7" top="0.75" bottom="0.75" header="0.3" footer="0.3"/>
    </customSheetView>
    <customSheetView guid="{72A6EB0A-84D5-4B8A-AC51-54CCD061630B}">
      <selection activeCell="C39" sqref="C39"/>
      <pageMargins left="0.7" right="0.7" top="0.75" bottom="0.75" header="0.3" footer="0.3"/>
    </customSheetView>
    <customSheetView guid="{4E06BDBF-2CED-473B-850B-2A6C7311FF41}">
      <selection activeCell="C39" sqref="C39"/>
      <pageMargins left="0.7" right="0.7" top="0.75" bottom="0.75" header="0.3" footer="0.3"/>
    </customSheetView>
    <customSheetView guid="{7ECC2B8E-6A82-42F5-8AB0-4A51C54EA5EC}">
      <selection activeCell="C39" sqref="C39"/>
      <pageMargins left="0.7" right="0.7" top="0.75" bottom="0.75" header="0.3" footer="0.3"/>
    </customSheetView>
    <customSheetView guid="{5A94BE08-69CF-430A-9594-9B8B7732302F}">
      <selection activeCell="C39" sqref="C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2:I51"/>
  <sheetViews>
    <sheetView topLeftCell="A41" workbookViewId="0">
      <selection activeCell="H63" sqref="H63"/>
    </sheetView>
  </sheetViews>
  <sheetFormatPr defaultRowHeight="14.5" x14ac:dyDescent="0.35"/>
  <cols>
    <col min="2" max="2" width="16.26953125" bestFit="1" customWidth="1"/>
    <col min="3" max="3" width="5.7265625" customWidth="1"/>
    <col min="4" max="4" width="9.7265625" bestFit="1" customWidth="1"/>
    <col min="5" max="5" width="10" bestFit="1" customWidth="1"/>
    <col min="6" max="6" width="10.81640625" bestFit="1" customWidth="1"/>
    <col min="7" max="7" width="9" bestFit="1" customWidth="1"/>
    <col min="8" max="8" width="12" bestFit="1" customWidth="1"/>
    <col min="9" max="9" width="21.54296875" bestFit="1" customWidth="1"/>
  </cols>
  <sheetData>
    <row r="2" spans="1:9" x14ac:dyDescent="0.35">
      <c r="A2" s="1">
        <v>1</v>
      </c>
      <c r="B2" s="1" t="s">
        <v>65</v>
      </c>
      <c r="C2" s="1" t="s">
        <v>162</v>
      </c>
    </row>
    <row r="3" spans="1:9" x14ac:dyDescent="0.35">
      <c r="B3" s="1" t="s">
        <v>466</v>
      </c>
      <c r="C3" s="71">
        <f>SUM(G9:G10)</f>
        <v>13.961250000000003</v>
      </c>
      <c r="D3" t="s">
        <v>467</v>
      </c>
    </row>
    <row r="4" spans="1:9" x14ac:dyDescent="0.35">
      <c r="B4" s="1" t="s">
        <v>480</v>
      </c>
      <c r="C4" s="11">
        <f>SUM(INT((WEEKDAY(F4-{2,3,4,5,6}) +H4-F4)/7))</f>
        <v>4</v>
      </c>
      <c r="D4" t="s">
        <v>467</v>
      </c>
      <c r="E4" t="s">
        <v>344</v>
      </c>
      <c r="F4" s="10">
        <v>43896</v>
      </c>
      <c r="G4" s="10" t="s">
        <v>345</v>
      </c>
      <c r="H4" s="10">
        <v>43901</v>
      </c>
    </row>
    <row r="5" spans="1:9" x14ac:dyDescent="0.35">
      <c r="B5" s="1" t="s">
        <v>481</v>
      </c>
      <c r="C5" s="11">
        <f>SUM(INT((WEEKDAY(F5-{2,3,4,5,6}) +H5-F5)/7))</f>
        <v>6</v>
      </c>
      <c r="D5" t="s">
        <v>467</v>
      </c>
      <c r="E5" t="s">
        <v>344</v>
      </c>
      <c r="F5" s="10">
        <v>43896</v>
      </c>
      <c r="G5" s="10" t="s">
        <v>345</v>
      </c>
      <c r="H5" s="10">
        <v>43903</v>
      </c>
    </row>
    <row r="6" spans="1:9" x14ac:dyDescent="0.35">
      <c r="B6" s="1" t="s">
        <v>18</v>
      </c>
      <c r="C6" t="str">
        <f>IF(SUM(H9:H10)&gt;SUM(G9:G10),"Delayed",IF(SUM(H9:H10)&lt;SUM(G9:G10),"InAdvanced","Ontime"))</f>
        <v>Delayed</v>
      </c>
    </row>
    <row r="8" spans="1:9" ht="29" x14ac:dyDescent="0.35">
      <c r="C8" s="67" t="s">
        <v>29</v>
      </c>
      <c r="D8" s="67" t="s">
        <v>30</v>
      </c>
      <c r="E8" s="15" t="s">
        <v>468</v>
      </c>
      <c r="F8" s="15" t="s">
        <v>469</v>
      </c>
      <c r="G8" s="15" t="s">
        <v>470</v>
      </c>
      <c r="H8" s="15" t="s">
        <v>471</v>
      </c>
      <c r="I8" s="15" t="s">
        <v>33</v>
      </c>
    </row>
    <row r="9" spans="1:9" x14ac:dyDescent="0.35">
      <c r="C9" s="12">
        <v>1</v>
      </c>
      <c r="D9" s="13" t="s">
        <v>3</v>
      </c>
      <c r="E9" s="13">
        <f>SUMIFS(JOEM_Package_20200305!$T$3:$T$146,JOEM_Package_20200305!$D$3:$D$146,Table!$D$3, JOEM_Package_20200305!$E$3:$E$146,Report_For_Each_Project!C2)</f>
        <v>0</v>
      </c>
      <c r="F9" s="13">
        <f>SUMIFS(JOEM_Package_20200305!$T$3:$T$146,JOEM_Package_20200305!$D$3:$D$146,Table!$D$3, JOEM_Package_20200305!$E$3:$E$146,Report_For_Each_Project!C2)-SUM(SUMIFS(JOEM_Package_20200305!$T$3:$T$146,JOEM_Package_20200305!$D$3:$D$146,Table!$D$3,JOEM_Package_20200305!$X$3:$X$146,{"Ongoing","N/A",""},JOEM_Package_20200305!$E$3:$E$146,Report_For_Each_Project!C2))</f>
        <v>0</v>
      </c>
      <c r="G9" s="13">
        <f>1/8*(SUMIFS(JOEM_Package_20200305!$V$3:$V$146,JOEM_Package_20200305!$D$3:$D$146,Table!$D$3, JOEM_Package_20200305!$E$3:$E$146,Report_For_Each_Project!C2))</f>
        <v>0</v>
      </c>
      <c r="H9" s="13">
        <f>1/8*(SUMIFS(JOEM_Package_20200305!$W$3:$W$146,JOEM_Package_20200305!$D$3:$D$146,Table!$D$3, JOEM_Package_20200305!$E$3:$E$146,Report_For_Each_Project!C2)-SUM(SUMIFS(JOEM_Package_20200305!$W$3:$W$146,JOEM_Package_20200305!$D$3:$D$146,Table!$D$3,JOEM_Package_20200305!$X$3:$X$146,{"Ongoing","N/A",""},JOEM_Package_20200305!$E$3:$E$146,Report_For_Each_Project!C2)))</f>
        <v>0</v>
      </c>
      <c r="I9" s="49" t="str">
        <f>IF(E9=0,"N/A",F9/E9)</f>
        <v>N/A</v>
      </c>
    </row>
    <row r="10" spans="1:9" x14ac:dyDescent="0.35">
      <c r="C10" s="12">
        <v>2</v>
      </c>
      <c r="D10" s="13" t="s">
        <v>2</v>
      </c>
      <c r="E10" s="13">
        <f>SUMIFS(JOEM_Package_20200305!$T$3:$T$146,JOEM_Package_20200305!$D$3:$D$146,Table!$C$3, JOEM_Package_20200305!$E$3:$E$146,Report_For_Each_Project!C2)</f>
        <v>1814.9624999999999</v>
      </c>
      <c r="F10" s="13">
        <f>SUMIFS(JOEM_Package_20200305!$T$3:$T$146,JOEM_Package_20200305!$D$3:$D$146,Table!$C$3, JOEM_Package_20200305!$E$3:$E$146,Report_For_Each_Project!C2)-SUM(SUMIFS(JOEM_Package_20200305!$T$3:$T$146,JOEM_Package_20200305!$D$3:$D$146,Table!$C$3,JOEM_Package_20200305!$X$3:$X$146,{"Ongoing","N/A",""},JOEM_Package_20200305!$E$3:$E$146,Report_For_Each_Project!C2))</f>
        <v>1814.9624999999999</v>
      </c>
      <c r="G10" s="13">
        <f>1/8*(SUMIFS(JOEM_Package_20200305!$V$3:$V$146,JOEM_Package_20200305!$D$3:$D$146,Table!$C$3, JOEM_Package_20200305!$E$3:$E$146,Report_For_Each_Project!C2))</f>
        <v>13.961250000000003</v>
      </c>
      <c r="H10" s="13">
        <f>1/8*(SUMIFS(JOEM_Package_20200305!$W$3:$W$146,JOEM_Package_20200305!$D$3:$D$146,Table!$C$3, JOEM_Package_20200305!$E$3:$E$146,Report_For_Each_Project!C2)-SUM(SUMIFS(JOEM_Package_20200305!$W$3:$W$146,JOEM_Package_20200305!$D$3:$D$146,Table!$C$3,JOEM_Package_20200305!$X$3:$X$146,{"Ongoing","N/A",""},JOEM_Package_20200305!$E$3:$E$146,Report_For_Each_Project!C2)))</f>
        <v>16.5</v>
      </c>
      <c r="I10" s="49">
        <f>F10/E10</f>
        <v>1</v>
      </c>
    </row>
    <row r="12" spans="1:9" x14ac:dyDescent="0.35">
      <c r="C12" t="s">
        <v>473</v>
      </c>
    </row>
    <row r="13" spans="1:9" x14ac:dyDescent="0.35">
      <c r="D13" s="73" t="s">
        <v>495</v>
      </c>
    </row>
    <row r="14" spans="1:9" x14ac:dyDescent="0.35">
      <c r="D14" s="73" t="s">
        <v>496</v>
      </c>
    </row>
    <row r="16" spans="1:9" x14ac:dyDescent="0.35">
      <c r="A16" s="1">
        <f>A2+1</f>
        <v>2</v>
      </c>
      <c r="B16" s="1" t="s">
        <v>65</v>
      </c>
      <c r="C16" s="1" t="s">
        <v>210</v>
      </c>
    </row>
    <row r="17" spans="1:9" x14ac:dyDescent="0.35">
      <c r="B17" s="1" t="s">
        <v>466</v>
      </c>
      <c r="C17" s="71">
        <f>SUM(G23:G24)</f>
        <v>1.1000000000000001</v>
      </c>
      <c r="D17" t="s">
        <v>467</v>
      </c>
    </row>
    <row r="18" spans="1:9" x14ac:dyDescent="0.35">
      <c r="B18" s="1" t="s">
        <v>480</v>
      </c>
      <c r="C18" s="11">
        <f>SUM(INT((WEEKDAY(F18-{2,3,4,5,6}) +H18-F18)/7))-7.2/8</f>
        <v>1.1000000000000001</v>
      </c>
      <c r="D18" t="s">
        <v>467</v>
      </c>
      <c r="E18" t="s">
        <v>344</v>
      </c>
      <c r="F18" s="10">
        <v>43896</v>
      </c>
      <c r="G18" s="10" t="s">
        <v>474</v>
      </c>
      <c r="H18" s="10">
        <v>43899</v>
      </c>
    </row>
    <row r="19" spans="1:9" x14ac:dyDescent="0.35">
      <c r="B19" s="1" t="s">
        <v>481</v>
      </c>
      <c r="C19" s="11">
        <f>SUM(INT((WEEKDAY(F19-{2,3,4,5,6}) +H19-F19)/7))-1</f>
        <v>1</v>
      </c>
      <c r="D19" t="s">
        <v>467</v>
      </c>
      <c r="E19" t="s">
        <v>344</v>
      </c>
      <c r="F19" s="10">
        <v>43896</v>
      </c>
      <c r="G19" s="10" t="s">
        <v>474</v>
      </c>
      <c r="H19" s="10">
        <v>43899</v>
      </c>
    </row>
    <row r="20" spans="1:9" x14ac:dyDescent="0.35">
      <c r="B20" s="1" t="s">
        <v>18</v>
      </c>
      <c r="C20" t="s">
        <v>475</v>
      </c>
    </row>
    <row r="22" spans="1:9" ht="29" x14ac:dyDescent="0.35">
      <c r="C22" s="67" t="s">
        <v>29</v>
      </c>
      <c r="D22" s="67" t="s">
        <v>30</v>
      </c>
      <c r="E22" s="15" t="s">
        <v>468</v>
      </c>
      <c r="F22" s="15" t="s">
        <v>469</v>
      </c>
      <c r="G22" s="15" t="s">
        <v>470</v>
      </c>
      <c r="H22" s="15" t="s">
        <v>471</v>
      </c>
      <c r="I22" s="15" t="s">
        <v>33</v>
      </c>
    </row>
    <row r="23" spans="1:9" x14ac:dyDescent="0.35">
      <c r="C23" s="12">
        <v>1</v>
      </c>
      <c r="D23" s="13" t="s">
        <v>3</v>
      </c>
      <c r="E23" s="13">
        <f>SUMIFS(JOEM_Package_20200305!$T$3:$T$146,JOEM_Package_20200305!$D$3:$D$146,Table!$D$3, JOEM_Package_20200305!$E$3:$E$146,Report_For_Each_Project!C16)</f>
        <v>0</v>
      </c>
      <c r="F23" s="13">
        <f>SUMIFS(JOEM_Package_20200305!$T$3:$T$146,JOEM_Package_20200305!$D$3:$D$146,Table!$D$3, JOEM_Package_20200305!$E$3:$E$146,Report_For_Each_Project!C16)-SUM(SUMIFS(JOEM_Package_20200305!$T$3:$T$146,JOEM_Package_20200305!$D$3:$D$146,Table!$D$3,JOEM_Package_20200305!$X$3:$X$146,{"Ongoing","N/A",""},JOEM_Package_20200305!$E$3:$E$146,Report_For_Each_Project!C16))</f>
        <v>0</v>
      </c>
      <c r="G23" s="13">
        <f>1/8*(SUMIFS(JOEM_Package_20200305!$V$3:$V$146,JOEM_Package_20200305!$D$3:$D$146,Table!$D$3, JOEM_Package_20200305!$E$3:$E$146,Report_For_Each_Project!C16))</f>
        <v>0</v>
      </c>
      <c r="H23" s="13">
        <f>1/8*(SUMIFS(JOEM_Package_20200305!$W$3:$W$146,JOEM_Package_20200305!$D$3:$D$146,Table!$D$3, JOEM_Package_20200305!$E$3:$E$146,Report_For_Each_Project!C16)-SUM(SUMIFS(JOEM_Package_20200305!$W$3:$W$146,JOEM_Package_20200305!$D$3:$D$146,Table!$D$3,JOEM_Package_20200305!$X$3:$X$146,{"Ongoing","N/A",""},JOEM_Package_20200305!$E$3:$E$146,Report_For_Each_Project!C16)))</f>
        <v>0</v>
      </c>
      <c r="I23" s="49" t="str">
        <f>IF(E23=0,"N/A",F23/E23)</f>
        <v>N/A</v>
      </c>
    </row>
    <row r="24" spans="1:9" x14ac:dyDescent="0.35">
      <c r="C24" s="12">
        <v>2</v>
      </c>
      <c r="D24" s="13" t="s">
        <v>2</v>
      </c>
      <c r="E24" s="13">
        <f>SUMIFS(JOEM_Package_20200305!$T$3:$T$146,JOEM_Package_20200305!$D$3:$D$146,Table!$C$3, JOEM_Package_20200305!$E$3:$E$146,Report_For_Each_Project!C16)</f>
        <v>143</v>
      </c>
      <c r="F24" s="13">
        <f>SUMIFS(JOEM_Package_20200305!$T$3:$T$146,JOEM_Package_20200305!$D$3:$D$146,Table!$C$3, JOEM_Package_20200305!$E$3:$E$146,Report_For_Each_Project!C16)-SUM(SUMIFS(JOEM_Package_20200305!$T$3:$T$146,JOEM_Package_20200305!$D$3:$D$146,Table!$C$3,JOEM_Package_20200305!$X$3:$X$146,{"Ongoing","N/A",""},JOEM_Package_20200305!$E$3:$E$146,Report_For_Each_Project!C16))</f>
        <v>143</v>
      </c>
      <c r="G24" s="13">
        <f>1/8*(SUMIFS(JOEM_Package_20200305!$V$3:$V$146,JOEM_Package_20200305!$D$3:$D$146,Table!$C$3, JOEM_Package_20200305!$E$3:$E$146,Report_For_Each_Project!C16))</f>
        <v>1.1000000000000001</v>
      </c>
      <c r="H24" s="13">
        <f>1/8*(SUMIFS(JOEM_Package_20200305!$W$3:$W$146,JOEM_Package_20200305!$D$3:$D$146,Table!$C$3, JOEM_Package_20200305!$E$3:$E$146,Report_For_Each_Project!C16)-SUM(SUMIFS(JOEM_Package_20200305!$W$3:$W$146,JOEM_Package_20200305!$D$3:$D$146,Table!$C$3,JOEM_Package_20200305!$X$3:$X$146,{"Ongoing","N/A",""},JOEM_Package_20200305!$E$3:$E$146,Report_For_Each_Project!C16)))</f>
        <v>1.5</v>
      </c>
      <c r="I24" s="49">
        <f>F24/E24</f>
        <v>1</v>
      </c>
    </row>
    <row r="26" spans="1:9" x14ac:dyDescent="0.35">
      <c r="C26" t="s">
        <v>473</v>
      </c>
    </row>
    <row r="27" spans="1:9" x14ac:dyDescent="0.35">
      <c r="D27" s="73" t="s">
        <v>497</v>
      </c>
    </row>
    <row r="29" spans="1:9" x14ac:dyDescent="0.35">
      <c r="A29" s="1">
        <f>A16+1</f>
        <v>3</v>
      </c>
      <c r="B29" s="1" t="s">
        <v>65</v>
      </c>
      <c r="C29" s="1" t="s">
        <v>289</v>
      </c>
    </row>
    <row r="30" spans="1:9" x14ac:dyDescent="0.35">
      <c r="B30" s="1" t="s">
        <v>466</v>
      </c>
      <c r="C30" s="71">
        <f>SUM(G36:G37)</f>
        <v>12.55</v>
      </c>
      <c r="D30" t="s">
        <v>467</v>
      </c>
    </row>
    <row r="31" spans="1:9" x14ac:dyDescent="0.35">
      <c r="B31" s="1" t="s">
        <v>480</v>
      </c>
      <c r="C31">
        <f>SUM(INT((WEEKDAY(F31+-{2,3,4,5,6}) +H31-F31)/7))-(8-3)/8</f>
        <v>3.375</v>
      </c>
      <c r="D31" t="s">
        <v>467</v>
      </c>
      <c r="E31" t="s">
        <v>346</v>
      </c>
      <c r="F31" s="10">
        <v>43906</v>
      </c>
      <c r="G31" s="10" t="s">
        <v>345</v>
      </c>
      <c r="H31" s="10">
        <v>43909</v>
      </c>
    </row>
    <row r="32" spans="1:9" x14ac:dyDescent="0.35">
      <c r="B32" s="1" t="s">
        <v>481</v>
      </c>
      <c r="C32">
        <f>SUM(INT((WEEKDAY(F32+-{2,3,4,5,6}) +H32-F32)/7))-(8-3)/8</f>
        <v>3.375</v>
      </c>
      <c r="D32" t="s">
        <v>467</v>
      </c>
      <c r="E32" t="s">
        <v>344</v>
      </c>
      <c r="F32" s="10">
        <v>43907</v>
      </c>
      <c r="G32" s="10" t="s">
        <v>479</v>
      </c>
      <c r="H32" s="10">
        <v>43910</v>
      </c>
    </row>
    <row r="33" spans="1:9" x14ac:dyDescent="0.35">
      <c r="B33" s="1" t="s">
        <v>18</v>
      </c>
      <c r="C33" t="str">
        <f>IF(SUM(H36:H37)&gt;SUM(G36:G37),"Delayed",IF(SUM(H36:H37)&lt;SUM(G36:G37),"InAdvanced","Ontime"))</f>
        <v>Delayed</v>
      </c>
    </row>
    <row r="35" spans="1:9" ht="29" x14ac:dyDescent="0.35">
      <c r="C35" s="67" t="s">
        <v>29</v>
      </c>
      <c r="D35" s="67" t="s">
        <v>30</v>
      </c>
      <c r="E35" s="15" t="s">
        <v>468</v>
      </c>
      <c r="F35" s="15" t="s">
        <v>469</v>
      </c>
      <c r="G35" s="15" t="s">
        <v>470</v>
      </c>
      <c r="H35" s="15" t="s">
        <v>471</v>
      </c>
      <c r="I35" s="15" t="s">
        <v>33</v>
      </c>
    </row>
    <row r="36" spans="1:9" x14ac:dyDescent="0.35">
      <c r="C36" s="12">
        <v>1</v>
      </c>
      <c r="D36" s="13" t="s">
        <v>3</v>
      </c>
      <c r="E36" s="13">
        <f>SUMIFS(JOEM_Package_20200305!$T$3:$T$146,JOEM_Package_20200305!$D$3:$D$146,Table!$D$3, JOEM_Package_20200305!$E$3:$E$146,Report_For_Each_Project!C29)</f>
        <v>720</v>
      </c>
      <c r="F36" s="13">
        <f>SUMIFS(JOEM_Package_20200305!$T$3:$T$146,JOEM_Package_20200305!$D$3:$D$146,Table!$D$3, JOEM_Package_20200305!$E$3:$E$146,Report_For_Each_Project!C29)-SUM(SUMIFS(JOEM_Package_20200305!$T$3:$T$146,JOEM_Package_20200305!$D$3:$D$146,Table!$D$3,JOEM_Package_20200305!$X$3:$X$146,{"Ongoing","N/A",""},JOEM_Package_20200305!$E$3:$E$146,Report_For_Each_Project!C29))</f>
        <v>720</v>
      </c>
      <c r="G36" s="13">
        <f>1/8*(SUMIFS(JOEM_Package_20200305!$V$3:$V$146,JOEM_Package_20200305!$D$3:$D$146,Table!$D$3, JOEM_Package_20200305!$E$3:$E$146,Report_For_Each_Project!C29))</f>
        <v>1.6</v>
      </c>
      <c r="H36" s="13">
        <f>1/8*(SUMIFS(JOEM_Package_20200305!$W$3:$W$146,JOEM_Package_20200305!$D$3:$D$146,Table!$D$3, JOEM_Package_20200305!$E$3:$E$146,Report_For_Each_Project!C29)-SUM(SUMIFS(JOEM_Package_20200305!$W$3:$W$146,JOEM_Package_20200305!$D$3:$D$146,Table!$D$3,JOEM_Package_20200305!$X$3:$X$146,{"Ongoing","N/A",""},JOEM_Package_20200305!$E$3:$E$146,Report_For_Each_Project!C29)))</f>
        <v>1.5</v>
      </c>
      <c r="I36" s="49">
        <f>IF(E36=0,"N/A",F36/E36)</f>
        <v>1</v>
      </c>
    </row>
    <row r="37" spans="1:9" x14ac:dyDescent="0.35">
      <c r="C37" s="12">
        <v>2</v>
      </c>
      <c r="D37" s="13" t="s">
        <v>2</v>
      </c>
      <c r="E37" s="13">
        <f>SUMIFS(JOEM_Package_20200305!$T$3:$T$146,JOEM_Package_20200305!$D$3:$D$146,Table!$C$3, JOEM_Package_20200305!$E$3:$E$146,Report_For_Each_Project!C29)</f>
        <v>1423.5</v>
      </c>
      <c r="F37" s="13">
        <f>SUMIFS(JOEM_Package_20200305!$T$3:$T$146,JOEM_Package_20200305!$D$3:$D$146,Table!$C$3, JOEM_Package_20200305!$E$3:$E$146,Report_For_Each_Project!C29)-SUM(SUMIFS(JOEM_Package_20200305!$T$3:$T$146,JOEM_Package_20200305!$D$3:$D$146,Table!$C$3,JOEM_Package_20200305!$X$3:$X$146,{"Ongoing","N/A",""},JOEM_Package_20200305!$E$3:$E$146,Report_For_Each_Project!C29))</f>
        <v>1423.5</v>
      </c>
      <c r="G37" s="13">
        <f>1/8*(SUMIFS(JOEM_Package_20200305!$V$3:$V$146,JOEM_Package_20200305!$D$3:$D$146,Table!$C$3, JOEM_Package_20200305!$E$3:$E$146,Report_For_Each_Project!C29))</f>
        <v>10.950000000000001</v>
      </c>
      <c r="H37" s="13">
        <f>1/8*(SUMIFS(JOEM_Package_20200305!$W$3:$W$146,JOEM_Package_20200305!$D$3:$D$146,Table!$C$3, JOEM_Package_20200305!$E$3:$E$146,Report_For_Each_Project!C29)-SUM(SUMIFS(JOEM_Package_20200305!$W$3:$W$146,JOEM_Package_20200305!$D$3:$D$146,Table!$C$3,JOEM_Package_20200305!$X$3:$X$146,{"Ongoing","N/A",""},JOEM_Package_20200305!$E$3:$E$146,Report_For_Each_Project!C29)))</f>
        <v>12.024999999999999</v>
      </c>
      <c r="I37" s="49">
        <f>F37/E37</f>
        <v>1</v>
      </c>
    </row>
    <row r="39" spans="1:9" x14ac:dyDescent="0.35">
      <c r="C39" t="s">
        <v>473</v>
      </c>
    </row>
    <row r="40" spans="1:9" x14ac:dyDescent="0.35">
      <c r="D40" s="73" t="s">
        <v>494</v>
      </c>
    </row>
    <row r="42" spans="1:9" x14ac:dyDescent="0.35">
      <c r="A42" s="1">
        <f>A29+1</f>
        <v>4</v>
      </c>
      <c r="B42" s="1" t="s">
        <v>65</v>
      </c>
      <c r="C42" s="1" t="s">
        <v>459</v>
      </c>
    </row>
    <row r="43" spans="1:9" x14ac:dyDescent="0.35">
      <c r="B43" s="1" t="s">
        <v>466</v>
      </c>
      <c r="C43" s="71">
        <f>SUM(G48:G49)</f>
        <v>25.096250000000001</v>
      </c>
      <c r="D43" t="s">
        <v>467</v>
      </c>
    </row>
    <row r="44" spans="1:9" x14ac:dyDescent="0.35">
      <c r="B44" s="1" t="s">
        <v>292</v>
      </c>
      <c r="C44">
        <f>SUM(INT((WEEKDAY(F44-{2,3,4,5,6}) +H44-F44)/7))</f>
        <v>7</v>
      </c>
      <c r="D44" t="s">
        <v>467</v>
      </c>
      <c r="E44" t="s">
        <v>344</v>
      </c>
      <c r="F44" s="10">
        <v>43910</v>
      </c>
      <c r="G44" s="10" t="s">
        <v>345</v>
      </c>
      <c r="H44" s="10">
        <v>43920</v>
      </c>
    </row>
    <row r="45" spans="1:9" x14ac:dyDescent="0.35">
      <c r="B45" s="1" t="s">
        <v>18</v>
      </c>
    </row>
    <row r="47" spans="1:9" ht="29" x14ac:dyDescent="0.35">
      <c r="C47" s="68" t="s">
        <v>29</v>
      </c>
      <c r="D47" s="68" t="s">
        <v>30</v>
      </c>
      <c r="E47" s="15" t="s">
        <v>468</v>
      </c>
      <c r="F47" s="15" t="s">
        <v>469</v>
      </c>
      <c r="G47" s="15" t="s">
        <v>470</v>
      </c>
      <c r="H47" s="15" t="s">
        <v>471</v>
      </c>
      <c r="I47" s="15" t="s">
        <v>33</v>
      </c>
    </row>
    <row r="48" spans="1:9" x14ac:dyDescent="0.35">
      <c r="C48" s="12">
        <v>1</v>
      </c>
      <c r="D48" s="13" t="s">
        <v>3</v>
      </c>
      <c r="E48" s="13">
        <f>SUMIFS(JOEM_Package_20200305!$T$3:$T$146,JOEM_Package_20200305!$D$3:$D$146,Table!$D$3, JOEM_Package_20200305!$E$3:$E$146,Report_For_Each_Project!C42)</f>
        <v>0</v>
      </c>
      <c r="F48" s="13">
        <f>SUMIFS(JOEM_Package_20200305!$T$3:$T$146,JOEM_Package_20200305!$D$3:$D$146,Table!$D$3, JOEM_Package_20200305!$E$3:$E$146,Report_For_Each_Project!C42)-SUM(SUMIFS(JOEM_Package_20200305!$T$3:$T$146,JOEM_Package_20200305!$D$3:$D$146,Table!$D$3,JOEM_Package_20200305!$X$3:$X$146,{"Ongoing","N/A",""},JOEM_Package_20200305!$E$3:$E$146,Report_For_Each_Project!C42))</f>
        <v>0</v>
      </c>
      <c r="G48" s="13">
        <f>1/8*(SUMIFS(JOEM_Package_20200305!$V$3:$V$146,JOEM_Package_20200305!$D$3:$D$146,Table!$D$3, JOEM_Package_20200305!$E$3:$E$146,Report_For_Each_Project!C42))</f>
        <v>0</v>
      </c>
      <c r="H48" s="13">
        <f>1/8*(SUMIFS(JOEM_Package_20200305!$W$3:$W$146,JOEM_Package_20200305!$D$3:$D$146,Table!$D$3, JOEM_Package_20200305!$E$3:$E$146,Report_For_Each_Project!C42)-SUM(SUMIFS(JOEM_Package_20200305!$W$3:$W$146,JOEM_Package_20200305!$D$3:$D$146,Table!$D$3,JOEM_Package_20200305!$X$3:$X$146,{"Ongoing","N/A",""},JOEM_Package_20200305!$E$3:$E$146,Report_For_Each_Project!C42)))</f>
        <v>0</v>
      </c>
      <c r="I48" s="49" t="str">
        <f>IF(E48=0,"N/A",F48/E48)</f>
        <v>N/A</v>
      </c>
    </row>
    <row r="49" spans="3:9" x14ac:dyDescent="0.35">
      <c r="C49" s="12">
        <v>2</v>
      </c>
      <c r="D49" s="13" t="s">
        <v>2</v>
      </c>
      <c r="E49" s="13">
        <f>SUMIFS(JOEM_Package_20200305!$T$3:$T$146,JOEM_Package_20200305!$D$3:$D$146,Table!$C$3, JOEM_Package_20200305!$E$3:$E$146,Report_For_Each_Project!C42)</f>
        <v>3262.5125000000025</v>
      </c>
      <c r="F49" s="13">
        <f>SUMIFS(JOEM_Package_20200305!$T$3:$T$146,JOEM_Package_20200305!$D$3:$D$146,Table!$C$3, JOEM_Package_20200305!$E$3:$E$146,Report_For_Each_Project!C42)-SUM(SUMIFS(JOEM_Package_20200305!$T$3:$T$146,JOEM_Package_20200305!$D$3:$D$146,Table!$C$3,JOEM_Package_20200305!$X$3:$X$146,{"Ongoing","N/A",""},JOEM_Package_20200305!$E$3:$E$146,Report_For_Each_Project!C42))</f>
        <v>52.487500000000637</v>
      </c>
      <c r="G49" s="13">
        <f>1/8*(SUMIFS(JOEM_Package_20200305!$V$3:$V$146,JOEM_Package_20200305!$D$3:$D$146,Table!$C$3, JOEM_Package_20200305!$E$3:$E$146,Report_For_Each_Project!C42))</f>
        <v>25.096250000000001</v>
      </c>
      <c r="H49" s="13">
        <f>1/8*(SUMIFS(JOEM_Package_20200305!$W$3:$W$146,JOEM_Package_20200305!$D$3:$D$146,Table!$C$3, JOEM_Package_20200305!$E$3:$E$146,Report_For_Each_Project!C42)-SUM(SUMIFS(JOEM_Package_20200305!$W$3:$W$146,JOEM_Package_20200305!$D$3:$D$146,Table!$C$3,JOEM_Package_20200305!$X$3:$X$146,{"Ongoing","N/A",""},JOEM_Package_20200305!$E$3:$E$146,Report_For_Each_Project!C42)))</f>
        <v>1</v>
      </c>
      <c r="I49" s="49">
        <f>F49/E49</f>
        <v>1.608806096528384E-2</v>
      </c>
    </row>
    <row r="51" spans="3:9" x14ac:dyDescent="0.35">
      <c r="C51" t="s">
        <v>473</v>
      </c>
    </row>
  </sheetData>
  <customSheetViews>
    <customSheetView guid="{250915DF-0B97-45D7-B29D-7EED4C89C1C1}" topLeftCell="A16">
      <selection activeCell="E24" sqref="E24"/>
      <pageMargins left="0.7" right="0.7" top="0.75" bottom="0.75" header="0.3" footer="0.3"/>
    </customSheetView>
    <customSheetView guid="{A2C66332-A809-458E-971B-FDB6D62C74C3}" topLeftCell="A10">
      <selection activeCell="L50" sqref="L50"/>
      <pageMargins left="0.7" right="0.7" top="0.75" bottom="0.75" header="0.3" footer="0.3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5A94BE08-69CF-430A-9594-9B8B7732302F}">
      <selection activeCell="A3" sqref="A3"/>
      <pageMargins left="0.7" right="0.7" top="0.75" bottom="0.75" header="0.3" footer="0.3"/>
    </customSheetView>
  </customSheetViews>
  <conditionalFormatting sqref="H9">
    <cfRule type="cellIs" dxfId="313" priority="8" operator="greaterThan">
      <formula>G9</formula>
    </cfRule>
  </conditionalFormatting>
  <conditionalFormatting sqref="H10">
    <cfRule type="cellIs" dxfId="312" priority="7" operator="greaterThan">
      <formula>G10</formula>
    </cfRule>
  </conditionalFormatting>
  <conditionalFormatting sqref="H23">
    <cfRule type="cellIs" dxfId="311" priority="6" operator="greaterThan">
      <formula>G23</formula>
    </cfRule>
  </conditionalFormatting>
  <conditionalFormatting sqref="H24">
    <cfRule type="cellIs" dxfId="310" priority="5" operator="greaterThan">
      <formula>G24</formula>
    </cfRule>
  </conditionalFormatting>
  <conditionalFormatting sqref="H36">
    <cfRule type="cellIs" dxfId="309" priority="4" operator="greaterThan">
      <formula>G36</formula>
    </cfRule>
  </conditionalFormatting>
  <conditionalFormatting sqref="H37">
    <cfRule type="cellIs" dxfId="308" priority="3" operator="greaterThan">
      <formula>G37</formula>
    </cfRule>
  </conditionalFormatting>
  <conditionalFormatting sqref="H48">
    <cfRule type="cellIs" dxfId="307" priority="2" operator="greaterThan">
      <formula>G48</formula>
    </cfRule>
  </conditionalFormatting>
  <conditionalFormatting sqref="H49">
    <cfRule type="cellIs" dxfId="306" priority="1" operator="greaterThan">
      <formula>G49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45"/>
  <sheetViews>
    <sheetView topLeftCell="A2" zoomScale="85" zoomScaleNormal="85" workbookViewId="0">
      <selection activeCell="H13" sqref="H13"/>
    </sheetView>
  </sheetViews>
  <sheetFormatPr defaultRowHeight="14.5" x14ac:dyDescent="0.35"/>
  <cols>
    <col min="1" max="1" width="10" bestFit="1" customWidth="1"/>
    <col min="2" max="2" width="12.1796875" bestFit="1" customWidth="1"/>
    <col min="3" max="3" width="2" bestFit="1" customWidth="1"/>
    <col min="4" max="4" width="18.7265625" bestFit="1" customWidth="1"/>
    <col min="5" max="6" width="16.7265625" bestFit="1" customWidth="1"/>
    <col min="7" max="7" width="12.26953125" bestFit="1" customWidth="1"/>
    <col min="8" max="8" width="21" customWidth="1"/>
    <col min="9" max="9" width="13.1796875" customWidth="1"/>
    <col min="11" max="11" width="8.453125" customWidth="1"/>
    <col min="12" max="12" width="9.7265625" bestFit="1" customWidth="1"/>
    <col min="13" max="13" width="10" bestFit="1" customWidth="1"/>
    <col min="14" max="14" width="10.81640625" bestFit="1" customWidth="1"/>
    <col min="15" max="15" width="9" bestFit="1" customWidth="1"/>
    <col min="16" max="16" width="12" bestFit="1" customWidth="1"/>
    <col min="17" max="17" width="21.54296875" bestFit="1" customWidth="1"/>
  </cols>
  <sheetData>
    <row r="1" spans="1:9" x14ac:dyDescent="0.35">
      <c r="A1" s="1" t="s">
        <v>47</v>
      </c>
      <c r="B1" s="72">
        <v>43896</v>
      </c>
      <c r="D1" s="72">
        <v>43910</v>
      </c>
    </row>
    <row r="2" spans="1:9" x14ac:dyDescent="0.35">
      <c r="A2" s="1" t="s">
        <v>34</v>
      </c>
      <c r="B2" s="11">
        <f>SUM(INT((WEEKDAY(B1-{2,3,4,5,6}) +D1-B1)/7))</f>
        <v>11</v>
      </c>
    </row>
    <row r="3" spans="1:9" x14ac:dyDescent="0.35">
      <c r="A3" s="1" t="s">
        <v>292</v>
      </c>
      <c r="B3">
        <f ca="1">SUM(INT((WEEKDAY(B1-{2,3,4,5,6}) +TODAY()-B1)/7))</f>
        <v>11</v>
      </c>
    </row>
    <row r="4" spans="1:9" x14ac:dyDescent="0.35">
      <c r="A4" s="1"/>
    </row>
    <row r="5" spans="1:9" x14ac:dyDescent="0.35">
      <c r="B5" s="1" t="s">
        <v>38</v>
      </c>
    </row>
    <row r="6" spans="1:9" ht="29" x14ac:dyDescent="0.35">
      <c r="C6" s="14" t="s">
        <v>29</v>
      </c>
      <c r="D6" s="14" t="s">
        <v>30</v>
      </c>
      <c r="E6" s="14" t="s">
        <v>31</v>
      </c>
      <c r="F6" s="14" t="s">
        <v>32</v>
      </c>
      <c r="G6" s="15" t="s">
        <v>230</v>
      </c>
      <c r="H6" s="15" t="s">
        <v>33</v>
      </c>
    </row>
    <row r="7" spans="1:9" x14ac:dyDescent="0.35">
      <c r="C7" s="12">
        <v>1</v>
      </c>
      <c r="D7" s="13" t="s">
        <v>3</v>
      </c>
      <c r="E7" s="13">
        <f>JOEM_Package_20200305!D163</f>
        <v>720</v>
      </c>
      <c r="F7" s="13">
        <f>JOEM_Package_20200305!E163</f>
        <v>720</v>
      </c>
      <c r="G7" s="74">
        <f>JOEM_Package_20200305!D163/Table!$D$4</f>
        <v>1.6</v>
      </c>
      <c r="H7" s="49">
        <f>F7/E7</f>
        <v>1</v>
      </c>
    </row>
    <row r="8" spans="1:9" x14ac:dyDescent="0.35">
      <c r="C8" s="12">
        <v>2</v>
      </c>
      <c r="D8" s="13" t="s">
        <v>2</v>
      </c>
      <c r="E8" s="13">
        <f>JOEM_Package_20200305!D154</f>
        <v>6643.9749999999913</v>
      </c>
      <c r="F8" s="13">
        <f>JOEM_Package_20200305!E154</f>
        <v>3433.9499999999894</v>
      </c>
      <c r="G8" s="74">
        <f>JOEM_Package_20200305!D154/Table!$C$4</f>
        <v>51.107499999999931</v>
      </c>
      <c r="H8" s="49">
        <f>F8/E8</f>
        <v>0.51685173408990759</v>
      </c>
    </row>
    <row r="9" spans="1:9" x14ac:dyDescent="0.35">
      <c r="C9" s="69"/>
      <c r="D9" s="48"/>
      <c r="E9" s="48"/>
      <c r="F9" s="48"/>
      <c r="G9" s="70"/>
    </row>
    <row r="10" spans="1:9" x14ac:dyDescent="0.35">
      <c r="B10" s="1" t="s">
        <v>39</v>
      </c>
    </row>
    <row r="11" spans="1:9" ht="43.5" x14ac:dyDescent="0.35">
      <c r="C11" s="75" t="s">
        <v>29</v>
      </c>
      <c r="D11" s="75" t="s">
        <v>35</v>
      </c>
      <c r="E11" s="15" t="s">
        <v>36</v>
      </c>
      <c r="F11" s="15" t="s">
        <v>37</v>
      </c>
      <c r="G11" s="15" t="s">
        <v>503</v>
      </c>
      <c r="H11" s="15" t="s">
        <v>502</v>
      </c>
      <c r="I11" s="15" t="s">
        <v>504</v>
      </c>
    </row>
    <row r="12" spans="1:9" x14ac:dyDescent="0.35">
      <c r="C12" s="9">
        <v>1</v>
      </c>
      <c r="D12" s="9" t="s">
        <v>318</v>
      </c>
      <c r="E12" s="13">
        <f>JOEM_Package_20200305!D159</f>
        <v>225</v>
      </c>
      <c r="F12" s="13">
        <f>JOEM_Package_20200305!E150</f>
        <v>1112.6687500000003</v>
      </c>
      <c r="G12" s="13">
        <f>JOEM_Package_20200305!E159/Table!$D$4</f>
        <v>0.5</v>
      </c>
      <c r="H12" s="77">
        <f>JOEM_Package_20200305!E150/Table!$C$4</f>
        <v>8.5589903846153863</v>
      </c>
      <c r="I12" s="77">
        <f>SUM(G12:H12)</f>
        <v>9.0589903846153863</v>
      </c>
    </row>
    <row r="13" spans="1:9" x14ac:dyDescent="0.35">
      <c r="C13" s="9">
        <v>2</v>
      </c>
      <c r="D13" s="9" t="s">
        <v>319</v>
      </c>
      <c r="E13" s="74">
        <f>JOEM_Package_20200305!D160</f>
        <v>0</v>
      </c>
      <c r="F13" s="74">
        <f>JOEM_Package_20200305!E151</f>
        <v>1085.09375</v>
      </c>
      <c r="G13" s="77">
        <f>JOEM_Package_20200305!E160/Table!$D$4</f>
        <v>0</v>
      </c>
      <c r="H13" s="77">
        <f>JOEM_Package_20200305!E151/Table!$C$4</f>
        <v>8.3468750000000007</v>
      </c>
      <c r="I13" s="77">
        <f t="shared" ref="I13:I15" si="0">SUM(G13:H13)</f>
        <v>8.3468750000000007</v>
      </c>
    </row>
    <row r="14" spans="1:9" x14ac:dyDescent="0.35">
      <c r="C14" s="46">
        <v>3</v>
      </c>
      <c r="D14" s="46" t="s">
        <v>320</v>
      </c>
      <c r="E14" s="74">
        <f>JOEM_Package_20200305!D161</f>
        <v>495</v>
      </c>
      <c r="F14" s="74">
        <f>JOEM_Package_20200305!E152</f>
        <v>286</v>
      </c>
      <c r="G14" s="77">
        <f>JOEM_Package_20200305!E161/Table!$D$4</f>
        <v>1.1000000000000001</v>
      </c>
      <c r="H14" s="77">
        <f>JOEM_Package_20200305!E152/Table!$C$4</f>
        <v>2.2000000000000002</v>
      </c>
      <c r="I14" s="77">
        <f t="shared" si="0"/>
        <v>3.3000000000000003</v>
      </c>
    </row>
    <row r="15" spans="1:9" x14ac:dyDescent="0.35">
      <c r="C15" s="46">
        <v>4</v>
      </c>
      <c r="D15" s="46" t="s">
        <v>321</v>
      </c>
      <c r="E15" s="74">
        <f>JOEM_Package_20200305!D162</f>
        <v>0</v>
      </c>
      <c r="F15" s="74">
        <f>JOEM_Package_20200305!E153</f>
        <v>974.1875</v>
      </c>
      <c r="G15" s="77">
        <f>JOEM_Package_20200305!E162/Table!$D$4</f>
        <v>0</v>
      </c>
      <c r="H15" s="77">
        <f>JOEM_Package_20200305!E153/Table!$C$4</f>
        <v>7.4937500000000004</v>
      </c>
      <c r="I15" s="77">
        <f t="shared" si="0"/>
        <v>7.4937500000000004</v>
      </c>
    </row>
    <row r="16" spans="1:9" x14ac:dyDescent="0.35">
      <c r="C16" s="47"/>
      <c r="D16" s="47"/>
      <c r="E16" s="48"/>
      <c r="F16" s="48"/>
    </row>
    <row r="17" spans="2:7" x14ac:dyDescent="0.35">
      <c r="B17" s="1" t="s">
        <v>40</v>
      </c>
    </row>
    <row r="18" spans="2:7" ht="30" customHeight="1" x14ac:dyDescent="0.35">
      <c r="C18" s="14" t="s">
        <v>29</v>
      </c>
      <c r="D18" s="79" t="s">
        <v>41</v>
      </c>
      <c r="E18" s="79"/>
      <c r="F18" s="79"/>
      <c r="G18" s="79"/>
    </row>
    <row r="19" spans="2:7" x14ac:dyDescent="0.35">
      <c r="C19" s="9">
        <v>1</v>
      </c>
      <c r="D19" s="80" t="s">
        <v>70</v>
      </c>
      <c r="E19" s="78"/>
      <c r="F19" s="78"/>
      <c r="G19" s="78"/>
    </row>
    <row r="20" spans="2:7" x14ac:dyDescent="0.35">
      <c r="C20" s="9">
        <v>2</v>
      </c>
      <c r="D20" s="78" t="s">
        <v>70</v>
      </c>
      <c r="E20" s="78"/>
      <c r="F20" s="78"/>
      <c r="G20" s="78"/>
    </row>
    <row r="21" spans="2:7" x14ac:dyDescent="0.35">
      <c r="C21" s="46">
        <v>3</v>
      </c>
      <c r="D21" s="78" t="s">
        <v>70</v>
      </c>
      <c r="E21" s="78"/>
      <c r="F21" s="78"/>
      <c r="G21" s="78"/>
    </row>
    <row r="22" spans="2:7" x14ac:dyDescent="0.35">
      <c r="C22" s="46">
        <v>4</v>
      </c>
      <c r="D22" s="78" t="s">
        <v>70</v>
      </c>
      <c r="E22" s="78"/>
      <c r="F22" s="78"/>
      <c r="G22" s="78"/>
    </row>
    <row r="24" spans="2:7" x14ac:dyDescent="0.35">
      <c r="B24" s="1" t="s">
        <v>42</v>
      </c>
    </row>
    <row r="25" spans="2:7" x14ac:dyDescent="0.35">
      <c r="C25" s="14" t="s">
        <v>29</v>
      </c>
      <c r="D25" s="79" t="s">
        <v>44</v>
      </c>
      <c r="E25" s="79"/>
      <c r="F25" s="79"/>
      <c r="G25" s="79"/>
    </row>
    <row r="26" spans="2:7" x14ac:dyDescent="0.35">
      <c r="C26" s="9">
        <v>1</v>
      </c>
      <c r="D26" s="80" t="s">
        <v>70</v>
      </c>
      <c r="E26" s="78"/>
      <c r="F26" s="78"/>
      <c r="G26" s="78"/>
    </row>
    <row r="27" spans="2:7" x14ac:dyDescent="0.35">
      <c r="C27" s="9">
        <v>2</v>
      </c>
      <c r="D27" s="78" t="s">
        <v>70</v>
      </c>
      <c r="E27" s="78"/>
      <c r="F27" s="78"/>
      <c r="G27" s="78"/>
    </row>
    <row r="28" spans="2:7" x14ac:dyDescent="0.35">
      <c r="C28" s="46">
        <v>3</v>
      </c>
      <c r="D28" s="78" t="s">
        <v>70</v>
      </c>
      <c r="E28" s="78"/>
      <c r="F28" s="78"/>
      <c r="G28" s="78"/>
    </row>
    <row r="29" spans="2:7" x14ac:dyDescent="0.35">
      <c r="C29" s="46">
        <v>4</v>
      </c>
      <c r="D29" s="78" t="s">
        <v>70</v>
      </c>
      <c r="E29" s="78"/>
      <c r="F29" s="78"/>
      <c r="G29" s="78"/>
    </row>
    <row r="31" spans="2:7" x14ac:dyDescent="0.35">
      <c r="B31" s="1" t="s">
        <v>43</v>
      </c>
    </row>
    <row r="32" spans="2:7" x14ac:dyDescent="0.35">
      <c r="C32" s="14" t="s">
        <v>29</v>
      </c>
      <c r="D32" s="14" t="s">
        <v>35</v>
      </c>
      <c r="E32" s="15" t="s">
        <v>45</v>
      </c>
      <c r="F32" s="15" t="s">
        <v>46</v>
      </c>
    </row>
    <row r="33" spans="2:6" x14ac:dyDescent="0.35">
      <c r="C33" s="46">
        <v>1</v>
      </c>
      <c r="D33" s="46" t="s">
        <v>318</v>
      </c>
      <c r="E33" s="50" t="s">
        <v>70</v>
      </c>
      <c r="F33" s="50" t="s">
        <v>70</v>
      </c>
    </row>
    <row r="34" spans="2:6" x14ac:dyDescent="0.35">
      <c r="C34" s="46">
        <v>2</v>
      </c>
      <c r="D34" s="46" t="s">
        <v>319</v>
      </c>
      <c r="E34" s="50" t="s">
        <v>70</v>
      </c>
      <c r="F34" s="50" t="s">
        <v>70</v>
      </c>
    </row>
    <row r="35" spans="2:6" x14ac:dyDescent="0.35">
      <c r="C35" s="46">
        <v>3</v>
      </c>
      <c r="D35" s="46" t="s">
        <v>320</v>
      </c>
      <c r="E35" s="50" t="s">
        <v>70</v>
      </c>
      <c r="F35" s="50" t="s">
        <v>70</v>
      </c>
    </row>
    <row r="36" spans="2:6" x14ac:dyDescent="0.35">
      <c r="C36" s="46">
        <v>4</v>
      </c>
      <c r="D36" s="46" t="s">
        <v>321</v>
      </c>
      <c r="E36" s="50" t="s">
        <v>70</v>
      </c>
      <c r="F36" s="50" t="s">
        <v>70</v>
      </c>
    </row>
    <row r="37" spans="2:6" x14ac:dyDescent="0.35">
      <c r="C37" s="47"/>
      <c r="D37" s="47"/>
      <c r="E37" s="48"/>
      <c r="F37" s="47"/>
    </row>
    <row r="39" spans="2:6" x14ac:dyDescent="0.35">
      <c r="B39" s="1" t="s">
        <v>48</v>
      </c>
    </row>
    <row r="40" spans="2:6" x14ac:dyDescent="0.35">
      <c r="C40" s="1" t="s">
        <v>50</v>
      </c>
    </row>
    <row r="41" spans="2:6" x14ac:dyDescent="0.35">
      <c r="D41" t="s">
        <v>49</v>
      </c>
    </row>
    <row r="42" spans="2:6" x14ac:dyDescent="0.35">
      <c r="D42" t="s">
        <v>218</v>
      </c>
    </row>
    <row r="43" spans="2:6" x14ac:dyDescent="0.35">
      <c r="C43" s="1" t="s">
        <v>51</v>
      </c>
    </row>
    <row r="44" spans="2:6" x14ac:dyDescent="0.35">
      <c r="D44" t="s">
        <v>52</v>
      </c>
    </row>
    <row r="45" spans="2:6" x14ac:dyDescent="0.35">
      <c r="D45" t="s">
        <v>53</v>
      </c>
    </row>
  </sheetData>
  <customSheetViews>
    <customSheetView guid="{250915DF-0B97-45D7-B29D-7EED4C89C1C1}" scale="85" topLeftCell="A4">
      <selection activeCell="I27" sqref="I27"/>
      <pageMargins left="0.7" right="0.7" top="0.75" bottom="0.75" header="0.3" footer="0.3"/>
      <pageSetup orientation="portrait" r:id="rId1"/>
    </customSheetView>
    <customSheetView guid="{A2C66332-A809-458E-971B-FDB6D62C74C3}">
      <selection activeCell="D3" sqref="D3"/>
      <pageMargins left="0.7" right="0.7" top="0.75" bottom="0.75" header="0.3" footer="0.3"/>
    </customSheetView>
    <customSheetView guid="{336B6883-2145-4B58-921E-CEC7185A847E}">
      <selection activeCell="H33" sqref="H33"/>
      <pageMargins left="0.7" right="0.7" top="0.75" bottom="0.75" header="0.3" footer="0.3"/>
    </customSheetView>
    <customSheetView guid="{60D2C030-4E31-4E07-8E1C-44D2EE84B177}" topLeftCell="A16">
      <selection activeCell="D6" sqref="D6"/>
      <pageMargins left="0.7" right="0.7" top="0.75" bottom="0.75" header="0.3" footer="0.3"/>
    </customSheetView>
    <customSheetView guid="{7E0EA425-A420-4443-B9E0-CDF0AA9E5D09}" topLeftCell="A16">
      <selection activeCell="D6" sqref="D6"/>
      <pageMargins left="0.7" right="0.7" top="0.75" bottom="0.75" header="0.3" footer="0.3"/>
    </customSheetView>
    <customSheetView guid="{72A6EB0A-84D5-4B8A-AC51-54CCD061630B}">
      <selection activeCell="H33" sqref="H33"/>
      <pageMargins left="0.7" right="0.7" top="0.75" bottom="0.75" header="0.3" footer="0.3"/>
    </customSheetView>
    <customSheetView guid="{4E06BDBF-2CED-473B-850B-2A6C7311FF41}" topLeftCell="A16">
      <selection activeCell="D6" sqref="D6"/>
      <pageMargins left="0.7" right="0.7" top="0.75" bottom="0.75" header="0.3" footer="0.3"/>
    </customSheetView>
    <customSheetView guid="{7ECC2B8E-6A82-42F5-8AB0-4A51C54EA5EC}">
      <selection activeCell="H33" sqref="H33"/>
      <pageMargins left="0.7" right="0.7" top="0.75" bottom="0.75" header="0.3" footer="0.3"/>
    </customSheetView>
    <customSheetView guid="{5A94BE08-69CF-430A-9594-9B8B7732302F}" scale="85" topLeftCell="A4">
      <selection activeCell="G12" sqref="G12:G15"/>
      <pageMargins left="0.7" right="0.7" top="0.75" bottom="0.75" header="0.3" footer="0.3"/>
      <pageSetup orientation="portrait" r:id="rId2"/>
    </customSheetView>
  </customSheetViews>
  <mergeCells count="10">
    <mergeCell ref="D28:G28"/>
    <mergeCell ref="D29:G29"/>
    <mergeCell ref="D27:G27"/>
    <mergeCell ref="D18:G18"/>
    <mergeCell ref="D19:G19"/>
    <mergeCell ref="D20:G20"/>
    <mergeCell ref="D25:G25"/>
    <mergeCell ref="D26:G26"/>
    <mergeCell ref="D21:G21"/>
    <mergeCell ref="D22:G22"/>
  </mergeCell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30"/>
  <sheetViews>
    <sheetView topLeftCell="A6" workbookViewId="0">
      <selection activeCell="A16" sqref="A16"/>
    </sheetView>
  </sheetViews>
  <sheetFormatPr defaultRowHeight="14.5" x14ac:dyDescent="0.35"/>
  <cols>
    <col min="2" max="2" width="11.7265625" bestFit="1" customWidth="1"/>
    <col min="3" max="3" width="18.7265625" bestFit="1" customWidth="1"/>
    <col min="4" max="4" width="11.1796875" customWidth="1"/>
    <col min="5" max="5" width="33.81640625" customWidth="1"/>
  </cols>
  <sheetData>
    <row r="2" spans="2:5" x14ac:dyDescent="0.35">
      <c r="B2" s="16" t="s">
        <v>11</v>
      </c>
    </row>
    <row r="3" spans="2:5" x14ac:dyDescent="0.35">
      <c r="B3" s="2" t="s">
        <v>4</v>
      </c>
      <c r="C3" s="17" t="s">
        <v>2</v>
      </c>
      <c r="D3" s="17" t="s">
        <v>3</v>
      </c>
    </row>
    <row r="4" spans="2:5" x14ac:dyDescent="0.35">
      <c r="B4" s="17">
        <v>1</v>
      </c>
      <c r="C4" s="18">
        <v>130</v>
      </c>
      <c r="D4" s="18">
        <v>450</v>
      </c>
    </row>
    <row r="6" spans="2:5" x14ac:dyDescent="0.35">
      <c r="B6" s="1" t="s">
        <v>54</v>
      </c>
    </row>
    <row r="7" spans="2:5" x14ac:dyDescent="0.35">
      <c r="B7" s="2" t="s">
        <v>0</v>
      </c>
      <c r="C7" s="2" t="s">
        <v>1</v>
      </c>
      <c r="D7" s="2" t="s">
        <v>59</v>
      </c>
      <c r="E7" s="4" t="s">
        <v>56</v>
      </c>
    </row>
    <row r="8" spans="2:5" ht="58" x14ac:dyDescent="0.35">
      <c r="B8" s="19">
        <v>1</v>
      </c>
      <c r="C8" s="19" t="s">
        <v>2</v>
      </c>
      <c r="D8" s="19" t="s">
        <v>57</v>
      </c>
      <c r="E8" s="20" t="s">
        <v>9</v>
      </c>
    </row>
    <row r="9" spans="2:5" ht="72.5" x14ac:dyDescent="0.35">
      <c r="B9" s="19">
        <v>2</v>
      </c>
      <c r="C9" s="19" t="s">
        <v>3</v>
      </c>
      <c r="D9" s="19" t="s">
        <v>58</v>
      </c>
      <c r="E9" s="20" t="s">
        <v>10</v>
      </c>
    </row>
    <row r="11" spans="2:5" x14ac:dyDescent="0.35">
      <c r="B11" s="1" t="s">
        <v>55</v>
      </c>
    </row>
    <row r="12" spans="2:5" x14ac:dyDescent="0.35">
      <c r="B12" s="2" t="s">
        <v>0</v>
      </c>
      <c r="C12" s="2" t="s">
        <v>5</v>
      </c>
      <c r="D12" s="2" t="s">
        <v>347</v>
      </c>
    </row>
    <row r="13" spans="2:5" x14ac:dyDescent="0.35">
      <c r="B13" s="3">
        <v>1</v>
      </c>
      <c r="C13" s="3" t="s">
        <v>6</v>
      </c>
      <c r="D13" s="2"/>
    </row>
    <row r="14" spans="2:5" x14ac:dyDescent="0.35">
      <c r="B14" s="3">
        <v>2</v>
      </c>
      <c r="C14" s="3" t="s">
        <v>73</v>
      </c>
      <c r="D14" s="3"/>
    </row>
    <row r="15" spans="2:5" x14ac:dyDescent="0.35">
      <c r="B15" s="3">
        <v>3</v>
      </c>
      <c r="C15" s="3" t="s">
        <v>74</v>
      </c>
      <c r="D15" s="3">
        <v>6</v>
      </c>
      <c r="E15" t="s">
        <v>501</v>
      </c>
    </row>
    <row r="16" spans="2:5" x14ac:dyDescent="0.35">
      <c r="B16" s="3">
        <v>4</v>
      </c>
      <c r="C16" s="3" t="s">
        <v>75</v>
      </c>
      <c r="D16" s="3"/>
    </row>
    <row r="17" spans="2:5" x14ac:dyDescent="0.35">
      <c r="B17" s="3">
        <v>5</v>
      </c>
      <c r="C17" s="3" t="s">
        <v>76</v>
      </c>
      <c r="D17" s="3" t="s">
        <v>478</v>
      </c>
    </row>
    <row r="18" spans="2:5" x14ac:dyDescent="0.35">
      <c r="B18" s="3">
        <v>6</v>
      </c>
      <c r="C18" s="3" t="s">
        <v>77</v>
      </c>
      <c r="D18" s="3" t="s">
        <v>478</v>
      </c>
    </row>
    <row r="19" spans="2:5" x14ac:dyDescent="0.35">
      <c r="B19" s="3">
        <v>7</v>
      </c>
      <c r="C19" s="3" t="s">
        <v>78</v>
      </c>
      <c r="D19" s="3" t="s">
        <v>478</v>
      </c>
    </row>
    <row r="20" spans="2:5" x14ac:dyDescent="0.35">
      <c r="B20" s="3">
        <v>8</v>
      </c>
      <c r="C20" s="3" t="s">
        <v>79</v>
      </c>
      <c r="D20" s="3" t="s">
        <v>478</v>
      </c>
    </row>
    <row r="22" spans="2:5" x14ac:dyDescent="0.35">
      <c r="B22" s="16" t="s">
        <v>20</v>
      </c>
    </row>
    <row r="23" spans="2:5" x14ac:dyDescent="0.35">
      <c r="B23" s="2" t="s">
        <v>0</v>
      </c>
      <c r="C23" s="2" t="s">
        <v>18</v>
      </c>
    </row>
    <row r="24" spans="2:5" x14ac:dyDescent="0.35">
      <c r="B24" s="2">
        <v>1</v>
      </c>
      <c r="C24" s="3" t="s">
        <v>21</v>
      </c>
      <c r="E24" s="40"/>
    </row>
    <row r="25" spans="2:5" x14ac:dyDescent="0.35">
      <c r="B25" s="2">
        <v>2</v>
      </c>
      <c r="C25" s="3" t="s">
        <v>25</v>
      </c>
    </row>
    <row r="26" spans="2:5" x14ac:dyDescent="0.35">
      <c r="B26" s="2">
        <v>3</v>
      </c>
      <c r="C26" s="3" t="s">
        <v>19</v>
      </c>
    </row>
    <row r="27" spans="2:5" x14ac:dyDescent="0.35">
      <c r="B27" s="2">
        <v>4</v>
      </c>
      <c r="C27" s="3" t="s">
        <v>82</v>
      </c>
    </row>
    <row r="28" spans="2:5" x14ac:dyDescent="0.35">
      <c r="B28" s="2">
        <v>5</v>
      </c>
      <c r="C28" s="3" t="s">
        <v>22</v>
      </c>
    </row>
    <row r="29" spans="2:5" x14ac:dyDescent="0.35">
      <c r="B29" s="2">
        <v>6</v>
      </c>
      <c r="C29" s="3" t="s">
        <v>102</v>
      </c>
    </row>
    <row r="30" spans="2:5" x14ac:dyDescent="0.35">
      <c r="B30" s="2">
        <v>7</v>
      </c>
      <c r="C30" s="3" t="s">
        <v>83</v>
      </c>
    </row>
  </sheetData>
  <customSheetViews>
    <customSheetView guid="{250915DF-0B97-45D7-B29D-7EED4C89C1C1}">
      <selection activeCell="E18" sqref="E18"/>
      <pageMargins left="0.7" right="0.7" top="0.75" bottom="0.75" header="0.3" footer="0.3"/>
    </customSheetView>
    <customSheetView guid="{A2C66332-A809-458E-971B-FDB6D62C74C3}">
      <selection activeCell="E29" sqref="E29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60D2C030-4E31-4E07-8E1C-44D2EE84B177}" topLeftCell="A19">
      <selection activeCell="B24" sqref="B24:C29"/>
      <pageMargins left="0.7" right="0.7" top="0.75" bottom="0.75" header="0.3" footer="0.3"/>
    </customSheetView>
    <customSheetView guid="{7E0EA425-A420-4443-B9E0-CDF0AA9E5D09}" topLeftCell="A13">
      <selection activeCell="B24" sqref="B24:C29"/>
      <pageMargins left="0.7" right="0.7" top="0.75" bottom="0.75" header="0.3" footer="0.3"/>
    </customSheetView>
    <customSheetView guid="{72A6EB0A-84D5-4B8A-AC51-54CCD061630B}" topLeftCell="A13">
      <selection activeCell="B24" sqref="B24:C29"/>
      <pageMargins left="0.7" right="0.7" top="0.75" bottom="0.75" header="0.3" footer="0.3"/>
    </customSheetView>
    <customSheetView guid="{4E06BDBF-2CED-473B-850B-2A6C7311FF41}" topLeftCell="A13">
      <selection activeCell="B24" sqref="B24:C29"/>
      <pageMargins left="0.7" right="0.7" top="0.75" bottom="0.75" header="0.3" footer="0.3"/>
    </customSheetView>
    <customSheetView guid="{7ECC2B8E-6A82-42F5-8AB0-4A51C54EA5EC}" topLeftCell="A13">
      <selection activeCell="B24" sqref="B24:C29"/>
      <pageMargins left="0.7" right="0.7" top="0.75" bottom="0.75" header="0.3" footer="0.3"/>
    </customSheetView>
    <customSheetView guid="{5A94BE08-69CF-430A-9594-9B8B7732302F}" topLeftCell="A6">
      <selection activeCell="D22" sqref="D2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3:K76"/>
  <sheetViews>
    <sheetView topLeftCell="A70" workbookViewId="0">
      <selection activeCell="E92" sqref="E92"/>
    </sheetView>
  </sheetViews>
  <sheetFormatPr defaultRowHeight="14.5" x14ac:dyDescent="0.35"/>
  <cols>
    <col min="4" max="4" width="18.1796875" bestFit="1" customWidth="1"/>
    <col min="8" max="8" width="10" bestFit="1" customWidth="1"/>
    <col min="10" max="10" width="9.7265625" bestFit="1" customWidth="1"/>
  </cols>
  <sheetData>
    <row r="3" spans="2:11" x14ac:dyDescent="0.35">
      <c r="B3" s="1" t="s">
        <v>38</v>
      </c>
    </row>
    <row r="4" spans="2:11" ht="58" x14ac:dyDescent="0.35">
      <c r="C4" s="75" t="s">
        <v>29</v>
      </c>
      <c r="D4" s="75" t="s">
        <v>30</v>
      </c>
      <c r="E4" s="75" t="s">
        <v>31</v>
      </c>
      <c r="F4" s="75" t="s">
        <v>32</v>
      </c>
      <c r="G4" s="15" t="s">
        <v>230</v>
      </c>
      <c r="H4" s="15" t="s">
        <v>33</v>
      </c>
    </row>
    <row r="5" spans="2:11" x14ac:dyDescent="0.35">
      <c r="C5" s="12">
        <v>1</v>
      </c>
      <c r="D5" s="74" t="s">
        <v>3</v>
      </c>
      <c r="E5" s="74">
        <v>720</v>
      </c>
      <c r="F5" s="74">
        <v>720</v>
      </c>
      <c r="G5" s="74">
        <v>1.6</v>
      </c>
      <c r="H5" s="49">
        <v>1</v>
      </c>
    </row>
    <row r="6" spans="2:11" x14ac:dyDescent="0.35">
      <c r="C6" s="12">
        <v>2</v>
      </c>
      <c r="D6" s="74" t="s">
        <v>2</v>
      </c>
      <c r="E6" s="74">
        <v>6643.9749999999913</v>
      </c>
      <c r="F6" s="74">
        <v>3433.9499999999894</v>
      </c>
      <c r="G6" s="74">
        <v>51.107499999999931</v>
      </c>
      <c r="H6" s="49">
        <v>0.51685173408990759</v>
      </c>
    </row>
    <row r="7" spans="2:11" x14ac:dyDescent="0.35">
      <c r="C7" s="69"/>
      <c r="D7" s="48"/>
      <c r="E7" s="48"/>
      <c r="F7" s="48"/>
      <c r="G7" s="70"/>
    </row>
    <row r="8" spans="2:11" x14ac:dyDescent="0.35">
      <c r="B8" s="1" t="s">
        <v>46</v>
      </c>
      <c r="C8" s="69"/>
      <c r="D8" s="48"/>
      <c r="E8" s="48"/>
      <c r="F8" s="48"/>
      <c r="G8" s="70"/>
    </row>
    <row r="9" spans="2:11" x14ac:dyDescent="0.35">
      <c r="C9" s="1">
        <v>1</v>
      </c>
      <c r="D9" s="1" t="s">
        <v>65</v>
      </c>
      <c r="E9" s="1" t="s">
        <v>162</v>
      </c>
    </row>
    <row r="10" spans="2:11" x14ac:dyDescent="0.35">
      <c r="D10" s="1" t="s">
        <v>466</v>
      </c>
      <c r="E10" s="71">
        <v>13.961250000000003</v>
      </c>
      <c r="F10" t="s">
        <v>467</v>
      </c>
    </row>
    <row r="11" spans="2:11" x14ac:dyDescent="0.35">
      <c r="D11" s="1" t="s">
        <v>480</v>
      </c>
      <c r="E11" s="11">
        <v>4</v>
      </c>
      <c r="F11" t="s">
        <v>467</v>
      </c>
      <c r="G11" t="s">
        <v>344</v>
      </c>
      <c r="H11" s="10">
        <v>43896</v>
      </c>
      <c r="I11" s="10" t="s">
        <v>345</v>
      </c>
      <c r="J11" s="10">
        <v>43901</v>
      </c>
    </row>
    <row r="12" spans="2:11" x14ac:dyDescent="0.35">
      <c r="D12" s="1" t="s">
        <v>481</v>
      </c>
      <c r="E12" s="11">
        <v>6</v>
      </c>
      <c r="F12" t="s">
        <v>467</v>
      </c>
      <c r="G12" t="s">
        <v>344</v>
      </c>
      <c r="H12" s="10">
        <v>43896</v>
      </c>
      <c r="I12" s="10" t="s">
        <v>345</v>
      </c>
      <c r="J12" s="10">
        <v>43903</v>
      </c>
    </row>
    <row r="13" spans="2:11" x14ac:dyDescent="0.35">
      <c r="D13" s="1" t="s">
        <v>18</v>
      </c>
      <c r="E13" t="s">
        <v>498</v>
      </c>
    </row>
    <row r="15" spans="2:11" ht="72.5" x14ac:dyDescent="0.35">
      <c r="E15" s="75" t="s">
        <v>29</v>
      </c>
      <c r="F15" s="75" t="s">
        <v>30</v>
      </c>
      <c r="G15" s="15" t="s">
        <v>468</v>
      </c>
      <c r="H15" s="15" t="s">
        <v>469</v>
      </c>
      <c r="I15" s="15" t="s">
        <v>470</v>
      </c>
      <c r="J15" s="15" t="s">
        <v>471</v>
      </c>
      <c r="K15" s="15" t="s">
        <v>33</v>
      </c>
    </row>
    <row r="16" spans="2:11" x14ac:dyDescent="0.35">
      <c r="E16" s="12">
        <v>1</v>
      </c>
      <c r="F16" s="74" t="s">
        <v>3</v>
      </c>
      <c r="G16" s="74">
        <v>0</v>
      </c>
      <c r="H16" s="74">
        <v>0</v>
      </c>
      <c r="I16" s="74">
        <v>0</v>
      </c>
      <c r="J16" s="74">
        <v>0</v>
      </c>
      <c r="K16" s="49" t="s">
        <v>21</v>
      </c>
    </row>
    <row r="17" spans="3:11" x14ac:dyDescent="0.35">
      <c r="E17" s="12">
        <v>2</v>
      </c>
      <c r="F17" s="74" t="s">
        <v>2</v>
      </c>
      <c r="G17" s="74">
        <v>1814.9624999999999</v>
      </c>
      <c r="H17" s="74">
        <v>1814.9624999999999</v>
      </c>
      <c r="I17" s="74">
        <v>13.961250000000003</v>
      </c>
      <c r="J17" s="74">
        <v>16.5</v>
      </c>
      <c r="K17" s="49">
        <v>1</v>
      </c>
    </row>
    <row r="19" spans="3:11" x14ac:dyDescent="0.35">
      <c r="E19" t="s">
        <v>473</v>
      </c>
    </row>
    <row r="20" spans="3:11" x14ac:dyDescent="0.35">
      <c r="F20" s="73" t="s">
        <v>495</v>
      </c>
    </row>
    <row r="21" spans="3:11" x14ac:dyDescent="0.35">
      <c r="F21" s="73" t="s">
        <v>496</v>
      </c>
    </row>
    <row r="23" spans="3:11" x14ac:dyDescent="0.35">
      <c r="C23" s="1">
        <v>2</v>
      </c>
      <c r="D23" s="1" t="s">
        <v>65</v>
      </c>
      <c r="E23" s="1" t="s">
        <v>210</v>
      </c>
    </row>
    <row r="24" spans="3:11" x14ac:dyDescent="0.35">
      <c r="D24" s="1" t="s">
        <v>466</v>
      </c>
      <c r="E24" s="71">
        <v>1.1000000000000001</v>
      </c>
      <c r="F24" t="s">
        <v>467</v>
      </c>
    </row>
    <row r="25" spans="3:11" x14ac:dyDescent="0.35">
      <c r="D25" s="1" t="s">
        <v>480</v>
      </c>
      <c r="E25" s="11">
        <v>1.1000000000000001</v>
      </c>
      <c r="F25" t="s">
        <v>467</v>
      </c>
      <c r="G25" t="s">
        <v>344</v>
      </c>
      <c r="H25" s="10">
        <v>43896</v>
      </c>
      <c r="I25" s="10" t="s">
        <v>474</v>
      </c>
      <c r="J25" s="10">
        <v>43899</v>
      </c>
    </row>
    <row r="26" spans="3:11" x14ac:dyDescent="0.35">
      <c r="D26" s="1" t="s">
        <v>481</v>
      </c>
      <c r="E26" s="11">
        <v>1</v>
      </c>
      <c r="F26" t="s">
        <v>467</v>
      </c>
      <c r="G26" t="s">
        <v>344</v>
      </c>
      <c r="H26" s="10">
        <v>43896</v>
      </c>
      <c r="I26" s="10" t="s">
        <v>474</v>
      </c>
      <c r="J26" s="10">
        <v>43899</v>
      </c>
    </row>
    <row r="27" spans="3:11" x14ac:dyDescent="0.35">
      <c r="D27" s="1" t="s">
        <v>18</v>
      </c>
      <c r="E27" t="s">
        <v>475</v>
      </c>
    </row>
    <row r="29" spans="3:11" ht="72.5" x14ac:dyDescent="0.35">
      <c r="E29" s="75" t="s">
        <v>29</v>
      </c>
      <c r="F29" s="75" t="s">
        <v>30</v>
      </c>
      <c r="G29" s="15" t="s">
        <v>468</v>
      </c>
      <c r="H29" s="15" t="s">
        <v>469</v>
      </c>
      <c r="I29" s="15" t="s">
        <v>470</v>
      </c>
      <c r="J29" s="15" t="s">
        <v>471</v>
      </c>
      <c r="K29" s="15" t="s">
        <v>33</v>
      </c>
    </row>
    <row r="30" spans="3:11" x14ac:dyDescent="0.35">
      <c r="E30" s="12">
        <v>1</v>
      </c>
      <c r="F30" s="74" t="s">
        <v>3</v>
      </c>
      <c r="G30" s="74">
        <v>0</v>
      </c>
      <c r="H30" s="74">
        <v>0</v>
      </c>
      <c r="I30" s="74">
        <v>0</v>
      </c>
      <c r="J30" s="74">
        <v>0</v>
      </c>
      <c r="K30" s="49" t="s">
        <v>21</v>
      </c>
    </row>
    <row r="31" spans="3:11" x14ac:dyDescent="0.35">
      <c r="E31" s="12">
        <v>2</v>
      </c>
      <c r="F31" s="74" t="s">
        <v>2</v>
      </c>
      <c r="G31" s="74">
        <v>143</v>
      </c>
      <c r="H31" s="74">
        <v>143</v>
      </c>
      <c r="I31" s="74">
        <v>1.1000000000000001</v>
      </c>
      <c r="J31" s="74">
        <v>1.5</v>
      </c>
      <c r="K31" s="49">
        <v>1</v>
      </c>
    </row>
    <row r="33" spans="3:11" x14ac:dyDescent="0.35">
      <c r="E33" t="s">
        <v>473</v>
      </c>
    </row>
    <row r="34" spans="3:11" x14ac:dyDescent="0.35">
      <c r="F34" s="73" t="s">
        <v>497</v>
      </c>
    </row>
    <row r="36" spans="3:11" x14ac:dyDescent="0.35">
      <c r="C36" s="1">
        <v>3</v>
      </c>
      <c r="D36" s="1" t="s">
        <v>65</v>
      </c>
      <c r="E36" s="1" t="s">
        <v>289</v>
      </c>
    </row>
    <row r="37" spans="3:11" x14ac:dyDescent="0.35">
      <c r="D37" s="1" t="s">
        <v>466</v>
      </c>
      <c r="E37" s="71">
        <v>12.55</v>
      </c>
      <c r="F37" t="s">
        <v>467</v>
      </c>
    </row>
    <row r="38" spans="3:11" x14ac:dyDescent="0.35">
      <c r="D38" s="1" t="s">
        <v>480</v>
      </c>
      <c r="E38">
        <v>3.375</v>
      </c>
      <c r="F38" t="s">
        <v>467</v>
      </c>
      <c r="G38" t="s">
        <v>346</v>
      </c>
      <c r="H38" s="10">
        <v>43906</v>
      </c>
      <c r="I38" s="10" t="s">
        <v>345</v>
      </c>
      <c r="J38" s="10">
        <v>43909</v>
      </c>
    </row>
    <row r="39" spans="3:11" x14ac:dyDescent="0.35">
      <c r="D39" s="1" t="s">
        <v>481</v>
      </c>
      <c r="E39">
        <v>3.375</v>
      </c>
      <c r="F39" t="s">
        <v>467</v>
      </c>
      <c r="G39" t="s">
        <v>344</v>
      </c>
      <c r="H39" s="10">
        <v>43907</v>
      </c>
      <c r="I39" s="10" t="s">
        <v>479</v>
      </c>
      <c r="J39" s="10">
        <v>43910</v>
      </c>
    </row>
    <row r="40" spans="3:11" x14ac:dyDescent="0.35">
      <c r="D40" s="1" t="s">
        <v>18</v>
      </c>
      <c r="E40" t="s">
        <v>498</v>
      </c>
    </row>
    <row r="42" spans="3:11" ht="72.5" x14ac:dyDescent="0.35">
      <c r="E42" s="75" t="s">
        <v>29</v>
      </c>
      <c r="F42" s="75" t="s">
        <v>30</v>
      </c>
      <c r="G42" s="15" t="s">
        <v>468</v>
      </c>
      <c r="H42" s="15" t="s">
        <v>469</v>
      </c>
      <c r="I42" s="15" t="s">
        <v>470</v>
      </c>
      <c r="J42" s="15" t="s">
        <v>471</v>
      </c>
      <c r="K42" s="15" t="s">
        <v>33</v>
      </c>
    </row>
    <row r="43" spans="3:11" x14ac:dyDescent="0.35">
      <c r="E43" s="12">
        <v>1</v>
      </c>
      <c r="F43" s="74" t="s">
        <v>3</v>
      </c>
      <c r="G43" s="74">
        <v>720</v>
      </c>
      <c r="H43" s="74">
        <v>720</v>
      </c>
      <c r="I43" s="74">
        <v>1.6</v>
      </c>
      <c r="J43" s="74">
        <v>1.5</v>
      </c>
      <c r="K43" s="49">
        <v>1</v>
      </c>
    </row>
    <row r="44" spans="3:11" x14ac:dyDescent="0.35">
      <c r="E44" s="12">
        <v>2</v>
      </c>
      <c r="F44" s="74" t="s">
        <v>2</v>
      </c>
      <c r="G44" s="74">
        <v>1423.5</v>
      </c>
      <c r="H44" s="74">
        <v>1423.5</v>
      </c>
      <c r="I44" s="74">
        <v>10.950000000000001</v>
      </c>
      <c r="J44" s="74">
        <v>12.024999999999999</v>
      </c>
      <c r="K44" s="49">
        <v>1</v>
      </c>
    </row>
    <row r="46" spans="3:11" x14ac:dyDescent="0.35">
      <c r="E46" t="s">
        <v>473</v>
      </c>
    </row>
    <row r="47" spans="3:11" x14ac:dyDescent="0.35">
      <c r="F47" s="73" t="s">
        <v>494</v>
      </c>
    </row>
    <row r="48" spans="3:11" x14ac:dyDescent="0.35">
      <c r="C48" s="69"/>
      <c r="D48" s="48"/>
      <c r="E48" s="48"/>
      <c r="F48" s="48"/>
      <c r="G48" s="70"/>
    </row>
    <row r="49" spans="2:7" x14ac:dyDescent="0.35">
      <c r="B49" s="1" t="s">
        <v>39</v>
      </c>
    </row>
    <row r="50" spans="2:7" ht="29" x14ac:dyDescent="0.35">
      <c r="C50" s="7" t="s">
        <v>29</v>
      </c>
      <c r="D50" s="7" t="s">
        <v>35</v>
      </c>
      <c r="E50" s="8" t="s">
        <v>36</v>
      </c>
      <c r="F50" s="8" t="s">
        <v>37</v>
      </c>
      <c r="G50" s="8" t="s">
        <v>230</v>
      </c>
    </row>
    <row r="51" spans="2:7" x14ac:dyDescent="0.35">
      <c r="C51" s="46">
        <v>1</v>
      </c>
      <c r="D51" s="46" t="s">
        <v>318</v>
      </c>
      <c r="E51" s="74">
        <v>218</v>
      </c>
      <c r="F51" s="74">
        <v>1146</v>
      </c>
      <c r="G51" s="74">
        <v>9.0589903846153863</v>
      </c>
    </row>
    <row r="52" spans="2:7" x14ac:dyDescent="0.35">
      <c r="C52" s="46">
        <v>2</v>
      </c>
      <c r="D52" s="46" t="s">
        <v>319</v>
      </c>
      <c r="E52" s="74">
        <v>0</v>
      </c>
      <c r="F52" s="74">
        <v>1449</v>
      </c>
      <c r="G52" s="74">
        <v>8.3468750000000007</v>
      </c>
    </row>
    <row r="53" spans="2:7" x14ac:dyDescent="0.35">
      <c r="C53" s="46">
        <v>3</v>
      </c>
      <c r="D53" s="46" t="s">
        <v>320</v>
      </c>
      <c r="E53" s="74">
        <v>586</v>
      </c>
      <c r="F53" s="74">
        <v>267</v>
      </c>
      <c r="G53" s="74">
        <v>3.3</v>
      </c>
    </row>
    <row r="54" spans="2:7" x14ac:dyDescent="0.35">
      <c r="C54" s="46">
        <v>4</v>
      </c>
      <c r="D54" s="46" t="s">
        <v>321</v>
      </c>
      <c r="E54" s="74">
        <v>0</v>
      </c>
      <c r="F54" s="74">
        <v>1645</v>
      </c>
      <c r="G54" s="74">
        <v>7.4937500000000004</v>
      </c>
    </row>
    <row r="55" spans="2:7" x14ac:dyDescent="0.35">
      <c r="C55" s="47"/>
      <c r="D55" s="47"/>
      <c r="E55" s="48"/>
      <c r="F55" s="48"/>
    </row>
    <row r="57" spans="2:7" x14ac:dyDescent="0.35">
      <c r="B57" s="1" t="s">
        <v>40</v>
      </c>
    </row>
    <row r="58" spans="2:7" x14ac:dyDescent="0.35">
      <c r="C58" s="75" t="s">
        <v>29</v>
      </c>
      <c r="D58" s="84" t="s">
        <v>41</v>
      </c>
      <c r="E58" s="85"/>
      <c r="F58" s="85"/>
      <c r="G58" s="86"/>
    </row>
    <row r="59" spans="2:7" ht="33" customHeight="1" x14ac:dyDescent="0.35">
      <c r="C59" s="46">
        <v>1</v>
      </c>
      <c r="D59" s="87" t="s">
        <v>499</v>
      </c>
      <c r="E59" s="88"/>
      <c r="F59" s="88"/>
      <c r="G59" s="89"/>
    </row>
    <row r="60" spans="2:7" ht="27" customHeight="1" x14ac:dyDescent="0.35">
      <c r="C60" s="46">
        <v>2</v>
      </c>
      <c r="D60" s="90" t="s">
        <v>500</v>
      </c>
      <c r="E60" s="91"/>
      <c r="F60" s="91"/>
      <c r="G60" s="92"/>
    </row>
    <row r="61" spans="2:7" x14ac:dyDescent="0.35">
      <c r="C61" s="46">
        <v>3</v>
      </c>
      <c r="D61" s="81" t="s">
        <v>70</v>
      </c>
      <c r="E61" s="82"/>
      <c r="F61" s="82"/>
      <c r="G61" s="83"/>
    </row>
    <row r="62" spans="2:7" x14ac:dyDescent="0.35">
      <c r="C62" s="46">
        <v>4</v>
      </c>
      <c r="D62" s="81" t="s">
        <v>70</v>
      </c>
      <c r="E62" s="82"/>
      <c r="F62" s="82"/>
      <c r="G62" s="83"/>
    </row>
    <row r="64" spans="2:7" x14ac:dyDescent="0.35">
      <c r="B64" s="1" t="s">
        <v>42</v>
      </c>
    </row>
    <row r="65" spans="2:7" x14ac:dyDescent="0.35">
      <c r="C65" s="75" t="s">
        <v>29</v>
      </c>
      <c r="D65" s="84" t="s">
        <v>44</v>
      </c>
      <c r="E65" s="85"/>
      <c r="F65" s="85"/>
      <c r="G65" s="86"/>
    </row>
    <row r="66" spans="2:7" x14ac:dyDescent="0.35">
      <c r="C66" s="46">
        <v>1</v>
      </c>
      <c r="D66" s="93" t="s">
        <v>70</v>
      </c>
      <c r="E66" s="94"/>
      <c r="F66" s="94"/>
      <c r="G66" s="95"/>
    </row>
    <row r="67" spans="2:7" x14ac:dyDescent="0.35">
      <c r="C67" s="46">
        <v>2</v>
      </c>
      <c r="D67" s="81" t="s">
        <v>70</v>
      </c>
      <c r="E67" s="82"/>
      <c r="F67" s="82"/>
      <c r="G67" s="83"/>
    </row>
    <row r="68" spans="2:7" x14ac:dyDescent="0.35">
      <c r="C68" s="46">
        <v>3</v>
      </c>
      <c r="D68" s="81" t="s">
        <v>70</v>
      </c>
      <c r="E68" s="82"/>
      <c r="F68" s="82"/>
      <c r="G68" s="83"/>
    </row>
    <row r="69" spans="2:7" x14ac:dyDescent="0.35">
      <c r="C69" s="46">
        <v>4</v>
      </c>
      <c r="D69" s="81" t="s">
        <v>70</v>
      </c>
      <c r="E69" s="82"/>
      <c r="F69" s="82"/>
      <c r="G69" s="83"/>
    </row>
    <row r="71" spans="2:7" x14ac:dyDescent="0.35">
      <c r="B71" s="1" t="s">
        <v>43</v>
      </c>
    </row>
    <row r="72" spans="2:7" ht="29" x14ac:dyDescent="0.35">
      <c r="C72" s="75" t="s">
        <v>29</v>
      </c>
      <c r="D72" s="75" t="s">
        <v>35</v>
      </c>
      <c r="E72" s="15" t="s">
        <v>45</v>
      </c>
      <c r="F72" s="15" t="s">
        <v>46</v>
      </c>
    </row>
    <row r="73" spans="2:7" x14ac:dyDescent="0.35">
      <c r="C73" s="46">
        <v>1</v>
      </c>
      <c r="D73" s="46" t="s">
        <v>318</v>
      </c>
      <c r="E73" s="76" t="s">
        <v>70</v>
      </c>
      <c r="F73" s="76" t="s">
        <v>70</v>
      </c>
    </row>
    <row r="74" spans="2:7" x14ac:dyDescent="0.35">
      <c r="C74" s="46">
        <v>2</v>
      </c>
      <c r="D74" s="46" t="s">
        <v>319</v>
      </c>
      <c r="E74" s="76" t="s">
        <v>70</v>
      </c>
      <c r="F74" s="76" t="s">
        <v>70</v>
      </c>
    </row>
    <row r="75" spans="2:7" x14ac:dyDescent="0.35">
      <c r="C75" s="46">
        <v>3</v>
      </c>
      <c r="D75" s="46" t="s">
        <v>320</v>
      </c>
      <c r="E75" s="76" t="s">
        <v>70</v>
      </c>
      <c r="F75" s="76" t="s">
        <v>70</v>
      </c>
    </row>
    <row r="76" spans="2:7" x14ac:dyDescent="0.35">
      <c r="C76" s="46">
        <v>4</v>
      </c>
      <c r="D76" s="46" t="s">
        <v>321</v>
      </c>
      <c r="E76" s="76" t="s">
        <v>70</v>
      </c>
      <c r="F76" s="76" t="s">
        <v>70</v>
      </c>
    </row>
  </sheetData>
  <customSheetViews>
    <customSheetView guid="{250915DF-0B97-45D7-B29D-7EED4C89C1C1}">
      <selection activeCell="S7" sqref="S7"/>
      <pageMargins left="0.7" right="0.7" top="0.75" bottom="0.75" header="0.3" footer="0.3"/>
      <pageSetup orientation="portrait" r:id="rId1"/>
    </customSheetView>
    <customSheetView guid="{5A94BE08-69CF-430A-9594-9B8B7732302F}">
      <selection activeCell="E5" sqref="E5"/>
      <pageMargins left="0.7" right="0.7" top="0.75" bottom="0.75" header="0.3" footer="0.3"/>
      <pageSetup orientation="portrait" r:id="rId2"/>
    </customSheetView>
  </customSheetViews>
  <mergeCells count="10">
    <mergeCell ref="D67:G67"/>
    <mergeCell ref="D68:G68"/>
    <mergeCell ref="D69:G69"/>
    <mergeCell ref="D58:G58"/>
    <mergeCell ref="D59:G59"/>
    <mergeCell ref="D60:G60"/>
    <mergeCell ref="D61:G61"/>
    <mergeCell ref="D62:G62"/>
    <mergeCell ref="D66:G66"/>
    <mergeCell ref="D65:G65"/>
  </mergeCells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67"/>
  <sheetViews>
    <sheetView workbookViewId="0">
      <selection activeCell="C14" sqref="C14"/>
    </sheetView>
  </sheetViews>
  <sheetFormatPr defaultRowHeight="14.5" x14ac:dyDescent="0.35"/>
  <cols>
    <col min="2" max="2" width="33.453125" customWidth="1"/>
    <col min="3" max="3" width="82.1796875" bestFit="1" customWidth="1"/>
    <col min="4" max="4" width="11.26953125" bestFit="1" customWidth="1"/>
  </cols>
  <sheetData>
    <row r="1" spans="1:7" x14ac:dyDescent="0.35">
      <c r="A1" s="1" t="s">
        <v>93</v>
      </c>
    </row>
    <row r="2" spans="1:7" x14ac:dyDescent="0.35">
      <c r="B2" s="37" t="s">
        <v>95</v>
      </c>
      <c r="C2" t="s">
        <v>96</v>
      </c>
    </row>
    <row r="3" spans="1:7" x14ac:dyDescent="0.35">
      <c r="B3" s="37" t="s">
        <v>98</v>
      </c>
      <c r="C3" t="s">
        <v>97</v>
      </c>
    </row>
    <row r="4" spans="1:7" x14ac:dyDescent="0.35">
      <c r="B4" s="37"/>
    </row>
    <row r="5" spans="1:7" x14ac:dyDescent="0.35">
      <c r="B5" s="36" t="s">
        <v>91</v>
      </c>
    </row>
    <row r="6" spans="1:7" x14ac:dyDescent="0.35">
      <c r="B6" s="37" t="s">
        <v>99</v>
      </c>
      <c r="C6" t="s">
        <v>100</v>
      </c>
    </row>
    <row r="7" spans="1:7" x14ac:dyDescent="0.35">
      <c r="B7" s="37"/>
    </row>
    <row r="8" spans="1:7" x14ac:dyDescent="0.35">
      <c r="B8" s="36" t="s">
        <v>92</v>
      </c>
      <c r="C8" t="s">
        <v>94</v>
      </c>
    </row>
    <row r="11" spans="1:7" x14ac:dyDescent="0.35">
      <c r="B11" s="42" t="s">
        <v>65</v>
      </c>
      <c r="C11" s="42" t="s">
        <v>8</v>
      </c>
      <c r="D11" s="42" t="s">
        <v>229</v>
      </c>
      <c r="E11" s="42" t="s">
        <v>230</v>
      </c>
      <c r="F11" s="42" t="s">
        <v>231</v>
      </c>
      <c r="G11" s="42" t="s">
        <v>232</v>
      </c>
    </row>
    <row r="12" spans="1:7" x14ac:dyDescent="0.35">
      <c r="B12" s="43" t="s">
        <v>233</v>
      </c>
      <c r="C12" s="3" t="s">
        <v>234</v>
      </c>
      <c r="D12" s="3" t="s">
        <v>203</v>
      </c>
      <c r="E12" s="3">
        <v>4.7706249999999999</v>
      </c>
      <c r="F12" s="3" t="s">
        <v>235</v>
      </c>
      <c r="G12" s="3" t="s">
        <v>21</v>
      </c>
    </row>
    <row r="13" spans="1:7" x14ac:dyDescent="0.35">
      <c r="B13" s="44"/>
      <c r="C13" s="3" t="s">
        <v>236</v>
      </c>
      <c r="D13" s="3" t="s">
        <v>202</v>
      </c>
      <c r="E13" s="3">
        <v>4.8875000000000002</v>
      </c>
      <c r="F13" s="3" t="s">
        <v>235</v>
      </c>
      <c r="G13" s="3" t="s">
        <v>21</v>
      </c>
    </row>
    <row r="14" spans="1:7" x14ac:dyDescent="0.35">
      <c r="B14" s="44"/>
      <c r="C14" s="3" t="s">
        <v>237</v>
      </c>
      <c r="D14" s="22" t="s">
        <v>70</v>
      </c>
      <c r="E14" s="22" t="s">
        <v>70</v>
      </c>
      <c r="F14" s="22" t="s">
        <v>70</v>
      </c>
      <c r="G14" s="22" t="s">
        <v>70</v>
      </c>
    </row>
    <row r="15" spans="1:7" x14ac:dyDescent="0.35">
      <c r="B15" s="45"/>
      <c r="C15" s="3" t="s">
        <v>238</v>
      </c>
      <c r="D15" s="22" t="s">
        <v>204</v>
      </c>
      <c r="E15" s="22">
        <v>4.3031249999999996</v>
      </c>
      <c r="F15" s="3" t="s">
        <v>235</v>
      </c>
      <c r="G15" s="22" t="s">
        <v>21</v>
      </c>
    </row>
    <row r="18" spans="1:1" x14ac:dyDescent="0.35">
      <c r="A18" s="1" t="s">
        <v>315</v>
      </c>
    </row>
    <row r="38" spans="2:3" x14ac:dyDescent="0.35">
      <c r="B38" t="s">
        <v>316</v>
      </c>
    </row>
    <row r="39" spans="2:3" x14ac:dyDescent="0.35">
      <c r="B39" t="s">
        <v>317</v>
      </c>
    </row>
    <row r="43" spans="2:3" x14ac:dyDescent="0.35">
      <c r="C43">
        <v>255</v>
      </c>
    </row>
    <row r="44" spans="2:3" x14ac:dyDescent="0.35">
      <c r="C44">
        <v>0</v>
      </c>
    </row>
    <row r="45" spans="2:3" x14ac:dyDescent="0.35">
      <c r="C45">
        <v>1</v>
      </c>
    </row>
    <row r="46" spans="2:3" x14ac:dyDescent="0.35">
      <c r="C46">
        <v>9</v>
      </c>
    </row>
    <row r="47" spans="2:3" x14ac:dyDescent="0.35">
      <c r="C47">
        <v>10</v>
      </c>
    </row>
    <row r="48" spans="2:3" x14ac:dyDescent="0.35">
      <c r="C48">
        <v>12</v>
      </c>
    </row>
    <row r="49" spans="3:3" x14ac:dyDescent="0.35">
      <c r="C49">
        <v>0</v>
      </c>
    </row>
    <row r="50" spans="3:3" x14ac:dyDescent="0.35">
      <c r="C50">
        <v>0</v>
      </c>
    </row>
    <row r="51" spans="3:3" x14ac:dyDescent="0.35">
      <c r="C51">
        <v>10</v>
      </c>
    </row>
    <row r="52" spans="3:3" x14ac:dyDescent="0.35">
      <c r="C52">
        <v>10</v>
      </c>
    </row>
    <row r="53" spans="3:3" x14ac:dyDescent="0.35">
      <c r="C53">
        <v>7</v>
      </c>
    </row>
    <row r="54" spans="3:3" x14ac:dyDescent="0.35">
      <c r="C54">
        <v>10</v>
      </c>
    </row>
    <row r="55" spans="3:3" x14ac:dyDescent="0.35">
      <c r="C55">
        <v>8</v>
      </c>
    </row>
    <row r="56" spans="3:3" x14ac:dyDescent="0.35">
      <c r="C56">
        <v>8</v>
      </c>
    </row>
    <row r="57" spans="3:3" x14ac:dyDescent="0.35">
      <c r="C57">
        <v>8</v>
      </c>
    </row>
    <row r="58" spans="3:3" x14ac:dyDescent="0.35">
      <c r="C58">
        <v>8</v>
      </c>
    </row>
    <row r="59" spans="3:3" x14ac:dyDescent="0.35">
      <c r="C59">
        <v>8</v>
      </c>
    </row>
    <row r="60" spans="3:3" x14ac:dyDescent="0.35">
      <c r="C60">
        <v>8</v>
      </c>
    </row>
    <row r="61" spans="3:3" x14ac:dyDescent="0.35">
      <c r="C61">
        <v>8</v>
      </c>
    </row>
    <row r="62" spans="3:3" x14ac:dyDescent="0.35">
      <c r="C62">
        <v>0</v>
      </c>
    </row>
    <row r="63" spans="3:3" x14ac:dyDescent="0.35">
      <c r="C63">
        <v>8</v>
      </c>
    </row>
    <row r="64" spans="3:3" x14ac:dyDescent="0.35">
      <c r="C64">
        <v>8</v>
      </c>
    </row>
    <row r="65" spans="3:3" x14ac:dyDescent="0.35">
      <c r="C65">
        <v>12</v>
      </c>
    </row>
    <row r="66" spans="3:3" x14ac:dyDescent="0.35">
      <c r="C66">
        <v>10</v>
      </c>
    </row>
    <row r="67" spans="3:3" x14ac:dyDescent="0.35">
      <c r="C67">
        <v>0</v>
      </c>
    </row>
  </sheetData>
  <customSheetViews>
    <customSheetView guid="{250915DF-0B97-45D7-B29D-7EED4C89C1C1}">
      <selection activeCell="C14" sqref="C14"/>
      <pageMargins left="0.7" right="0.7" top="0.75" bottom="0.75" header="0.3" footer="0.3"/>
    </customSheetView>
    <customSheetView guid="{A2C66332-A809-458E-971B-FDB6D62C74C3}">
      <selection activeCell="C14" sqref="C14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60D2C030-4E31-4E07-8E1C-44D2EE84B177}">
      <pageMargins left="0.7" right="0.7" top="0.75" bottom="0.75" header="0.3" footer="0.3"/>
    </customSheetView>
    <customSheetView guid="{7E0EA425-A420-4443-B9E0-CDF0AA9E5D09}">
      <selection activeCell="B6" sqref="B6:C6"/>
      <pageMargins left="0.7" right="0.7" top="0.75" bottom="0.75" header="0.3" footer="0.3"/>
    </customSheetView>
    <customSheetView guid="{72A6EB0A-84D5-4B8A-AC51-54CCD061630B}">
      <selection activeCell="B6" sqref="B6:C6"/>
      <pageMargins left="0.7" right="0.7" top="0.75" bottom="0.75" header="0.3" footer="0.3"/>
    </customSheetView>
    <customSheetView guid="{4E06BDBF-2CED-473B-850B-2A6C7311FF41}">
      <selection activeCell="B6" sqref="B6:C6"/>
      <pageMargins left="0.7" right="0.7" top="0.75" bottom="0.75" header="0.3" footer="0.3"/>
    </customSheetView>
    <customSheetView guid="{7ECC2B8E-6A82-42F5-8AB0-4A51C54EA5EC}">
      <selection activeCell="B6" sqref="B6:C6"/>
      <pageMargins left="0.7" right="0.7" top="0.75" bottom="0.75" header="0.3" footer="0.3"/>
    </customSheetView>
    <customSheetView guid="{5A94BE08-69CF-430A-9594-9B8B7732302F}">
      <selection activeCell="C14" sqref="C14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JOEM_Package_20200305</vt:lpstr>
      <vt:lpstr>|-&gt;</vt:lpstr>
      <vt:lpstr>Report_For_Each_Project</vt:lpstr>
      <vt:lpstr>Template_Weekly_Report</vt:lpstr>
      <vt:lpstr>Table</vt:lpstr>
      <vt:lpstr>Sheet1</vt:lpstr>
      <vt:lpstr>Check_List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Nguyen Trung Hieu</cp:lastModifiedBy>
  <dcterms:created xsi:type="dcterms:W3CDTF">2006-09-16T00:00:00Z</dcterms:created>
  <dcterms:modified xsi:type="dcterms:W3CDTF">2020-03-22T05:33:26Z</dcterms:modified>
</cp:coreProperties>
</file>