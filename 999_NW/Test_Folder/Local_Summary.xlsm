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hi5hc\Desktop\"/>
    </mc:Choice>
  </mc:AlternateContent>
  <bookViews>
    <workbookView xWindow="240" yWindow="105" windowWidth="14805" windowHeight="6540"/>
  </bookViews>
  <sheets>
    <sheet name="COEM_Data_20200414" sheetId="1" r:id="rId1"/>
  </sheets>
  <definedNames>
    <definedName name="_xlnm._FilterDatabase" localSheetId="0" hidden="1">COEM_Data_20200414!$B$47:$AM$309</definedName>
    <definedName name="Z_0C638EA3_1EFE_4972_8149_F6256F4E2542_.wvu.FilterData" localSheetId="0" hidden="1">COEM_Data_20200414!$S$47:$S$309</definedName>
    <definedName name="Z_250915DF_0B97_45D7_B29D_7EED4C89C1C1_.wvu.FilterData" localSheetId="0" hidden="1">COEM_Data_20200414!$B$47:$AM$309</definedName>
    <definedName name="Z_336B6883_2145_4B58_921E_CEC7185A847E_.wvu.FilterData" localSheetId="0" hidden="1">COEM_Data_20200414!$S$47:$S$144</definedName>
    <definedName name="Z_3B3E6719_EACB_4D2C_89C1_05FFAB6020FD_.wvu.FilterData" localSheetId="0" hidden="1">COEM_Data_20200414!$B$47:$AM$150</definedName>
    <definedName name="Z_4CB30A01_B265_4347_9C04_C30E108E85ED_.wvu.FilterData" localSheetId="0" hidden="1">COEM_Data_20200414!$S$47:$S$309</definedName>
    <definedName name="Z_7ECC2B8E_6A82_42F5_8AB0_4A51C54EA5EC_.wvu.FilterData" localSheetId="0" hidden="1">COEM_Data_20200414!$B$47:$AM$170</definedName>
    <definedName name="Z_84D23DBB_1B5D_467A_B0D7_003D059263EA_.wvu.FilterData" localSheetId="0" hidden="1">COEM_Data_20200414!$B$47:$AM$227</definedName>
    <definedName name="Z_967144E0_084F_42F6_8827_586DBFA5F155_.wvu.FilterData" localSheetId="0" hidden="1">COEM_Data_20200414!$B$47:$AM$150</definedName>
    <definedName name="Z_9D3E4B28_0838_49DF_A999_ABD4CA99B9BE_.wvu.FilterData" localSheetId="0" hidden="1">COEM_Data_20200414!$S$47:$S$309</definedName>
    <definedName name="Z_9F71BD87_3D6B_4ECC_8F25_76D9BD329ECD_.wvu.FilterData" localSheetId="0" hidden="1">COEM_Data_20200414!$B$47:$AM$150</definedName>
    <definedName name="Z_A2C66332_A809_458E_971B_FDB6D62C74C3_.wvu.Cols" localSheetId="0" hidden="1">COEM_Data_20200414!$K:$R</definedName>
    <definedName name="Z_A2C66332_A809_458E_971B_FDB6D62C74C3_.wvu.FilterData" localSheetId="0" hidden="1">COEM_Data_20200414!$B$47:$AM$227</definedName>
    <definedName name="Z_B241921A_0CBC_49AA_A8A2_0D36548A87E5_.wvu.FilterData" localSheetId="0" hidden="1">COEM_Data_20200414!$S$47:$S$144</definedName>
    <definedName name="Z_B774582B_7EBF_4CD7_9254_3F8D6D8E970E_.wvu.FilterData" localSheetId="0" hidden="1">COEM_Data_20200414!$B$47:$AM$227</definedName>
    <definedName name="Z_B9C2A033_A4A2_459E_9F48_B4568E60ACBD_.wvu.FilterData" localSheetId="0" hidden="1">COEM_Data_20200414!$B$47:$AM$150</definedName>
    <definedName name="Z_D33AC7AF_C8AB_4CE9_94C7_9237011A5FC3_.wvu.FilterData" localSheetId="0" hidden="1">COEM_Data_20200414!$B$47:$AM$150</definedName>
    <definedName name="Z_DBB12528_829B_4A04_AB29_56E67937DC49_.wvu.FilterData" localSheetId="0" hidden="1">COEM_Data_20200414!$B$47:$AM$150</definedName>
    <definedName name="Z_F1F665DA_DD80_464D_9261_4AC1574C3783_.wvu.FilterData" localSheetId="0" hidden="1">COEM_Data_20200414!$B$47:$AM$150</definedName>
    <definedName name="Z_F65FE831_3420_4FFA_8912_4403CE503213_.wvu.FilterData" localSheetId="0" hidden="1">COEM_Data_20200414!$B$47:$AM$227</definedName>
  </definedNames>
  <calcPr calcId="162913" calcOnSave="0"/>
  <customWorkbookViews>
    <customWorkbookView name="EXTERNAL Nguyen Trung Hieu (Ban Vien, RBVH/EPS45) - Personal View" guid="{250915DF-0B97-45D7-B29D-7EED4C89C1C1}" mergeInterval="0" personalView="1" maximized="1" xWindow="-8" yWindow="-8" windowWidth="1936" windowHeight="1176" activeSheetId="14"/>
    <customWorkbookView name="EXTERNAL Nguyen Duy Bang (Ban Vien, RBVH/EPS45) - Personal View" guid="{A2C66332-A809-458E-971B-FDB6D62C74C3}" mergeInterval="0" personalView="1" maximized="1" xWindow="-8" yWindow="-8" windowWidth="1936" windowHeight="1176" activeSheetId="1"/>
    <customWorkbookView name="EXTERNAL Nguyen Tai Hau (Ban Vien, RBVH/EPS45) - Personal View" guid="{7ECC2B8E-6A82-42F5-8AB0-4A51C54EA5EC}" mergeInterval="0" personalView="1" maximized="1" xWindow="-8" yWindow="-8" windowWidth="1936" windowHeight="1176" activeSheetId="1"/>
    <customWorkbookView name="GUP7HC - Personal View" guid="{3B3E6719-EACB-4D2C-89C1-05FFAB6020FD}" mergeInterval="0" personalView="1" maximized="1" xWindow="-8" yWindow="-8" windowWidth="1936" windowHeight="1186" activeSheetId="1"/>
    <customWorkbookView name="EXTERNAL Nguyen Kim Thanh (Ban Vien, RBVH/EPS45) - Personal View" guid="{4E06BDBF-2CED-473B-850B-2A6C7311FF41}" mergeInterval="0" personalView="1" maximized="1" xWindow="-8" yWindow="-8" windowWidth="1936" windowHeight="1176" activeSheetId="11"/>
    <customWorkbookView name="EXTERNAL Nguyen Tuan Duong (Ban Vien, RBVH/EPS45) - Personal View" guid="{7E0EA425-A420-4443-B9E0-CDF0AA9E5D09}" mergeInterval="0" personalView="1" maximized="1" xWindow="-8" yWindow="-8" windowWidth="1936" windowHeight="1176" activeSheetId="11"/>
    <customWorkbookView name="EXTERNAL Ly Chung (Ban Vien, RBVH/EPS45) - Personal View" guid="{60D2C030-4E31-4E07-8E1C-44D2EE84B177}" mergeInterval="0" personalView="1" maximized="1" xWindow="-8" yWindow="-8" windowWidth="1936" windowHeight="1186" tabRatio="428" activeSheetId="11"/>
    <customWorkbookView name="EXTERNAL Do Phu Loc (Ban Vien, RBVH/EPS45) - Personal View" guid="{72A6EB0A-84D5-4B8A-AC51-54CCD061630B}" mergeInterval="0" personalView="1" maximized="1" xWindow="-8" yWindow="-8" windowWidth="1936" windowHeight="1176" tabRatio="428" activeSheetId="10"/>
    <customWorkbookView name="EXTERNAL Luu Cong Dac (Ban Vien, RBVH/EPS45) - Personal View" guid="{336B6883-2145-4B58-921E-CEC7185A847E}" mergeInterval="0" personalView="1" maximized="1" xWindow="-8" yWindow="-8" windowWidth="1936" windowHeight="1176" tabRatio="428" activeSheetId="1"/>
    <customWorkbookView name="EXTERNAL Do Anh Huy (Ban Vien Company, RBVH/EPS45) - Personal View" guid="{D33AC7AF-C8AB-4CE9-94C7-9237011A5FC3}" mergeInterval="0" personalView="1" maximized="1" xWindow="-8" yWindow="-8" windowWidth="1936" windowHeight="1176" activeSheetId="1"/>
  </customWorkbookViews>
</workbook>
</file>

<file path=xl/calcChain.xml><?xml version="1.0" encoding="utf-8"?>
<calcChain xmlns="http://schemas.openxmlformats.org/spreadsheetml/2006/main">
  <c r="W227" i="1" l="1"/>
  <c r="Y227" i="1" s="1"/>
  <c r="W226" i="1"/>
  <c r="Y226" i="1" s="1"/>
  <c r="W225" i="1"/>
  <c r="Y225" i="1" s="1"/>
  <c r="W224" i="1"/>
  <c r="Y224" i="1" s="1"/>
  <c r="W223" i="1"/>
  <c r="Y223" i="1" s="1"/>
  <c r="W222" i="1"/>
  <c r="Y222" i="1" s="1"/>
  <c r="W221" i="1"/>
  <c r="Y221" i="1" s="1"/>
  <c r="W220" i="1"/>
  <c r="Y220" i="1" s="1"/>
  <c r="W219" i="1"/>
  <c r="Y219" i="1" s="1"/>
  <c r="W218" i="1"/>
  <c r="Y218" i="1" s="1"/>
  <c r="W217" i="1"/>
  <c r="Y217" i="1" s="1"/>
  <c r="W216" i="1"/>
  <c r="Y216" i="1" s="1"/>
  <c r="W215" i="1"/>
  <c r="Y215" i="1" s="1"/>
  <c r="W214" i="1"/>
  <c r="Y214" i="1" s="1"/>
  <c r="W213" i="1"/>
  <c r="Y213" i="1" s="1"/>
  <c r="W212" i="1"/>
  <c r="Y212" i="1" s="1"/>
  <c r="W211" i="1"/>
  <c r="Y211" i="1" s="1"/>
  <c r="W210" i="1"/>
  <c r="Y210" i="1" s="1"/>
  <c r="W209" i="1"/>
  <c r="Y209" i="1" s="1"/>
  <c r="W208" i="1"/>
  <c r="Y208" i="1" s="1"/>
  <c r="W207" i="1"/>
  <c r="Y207" i="1" s="1"/>
  <c r="W206" i="1"/>
  <c r="Y206" i="1" s="1"/>
  <c r="W205" i="1"/>
  <c r="Y205" i="1" s="1"/>
  <c r="W204" i="1"/>
  <c r="Y204" i="1" s="1"/>
  <c r="W203" i="1"/>
  <c r="Y203" i="1" s="1"/>
  <c r="W202" i="1"/>
  <c r="Y202" i="1" s="1"/>
  <c r="W201" i="1"/>
  <c r="Y201" i="1" s="1"/>
  <c r="W200" i="1"/>
  <c r="Y200" i="1" s="1"/>
  <c r="W199" i="1"/>
  <c r="Y199" i="1" s="1"/>
  <c r="W198" i="1"/>
  <c r="Y198" i="1" s="1"/>
  <c r="W197" i="1"/>
  <c r="Y197" i="1" s="1"/>
  <c r="W196" i="1"/>
  <c r="Y196" i="1" s="1"/>
  <c r="W195" i="1"/>
  <c r="Y195" i="1" s="1"/>
  <c r="W194" i="1"/>
  <c r="Y194" i="1" s="1"/>
  <c r="W193" i="1"/>
  <c r="Y193" i="1" s="1"/>
  <c r="W192" i="1"/>
  <c r="Y192" i="1" s="1"/>
  <c r="W191" i="1"/>
  <c r="Y191" i="1" s="1"/>
  <c r="W190" i="1"/>
  <c r="Y190" i="1" s="1"/>
  <c r="W189" i="1"/>
  <c r="Y189" i="1" s="1"/>
  <c r="W188" i="1"/>
  <c r="Y188" i="1" s="1"/>
  <c r="W187" i="1"/>
  <c r="Y187" i="1" s="1"/>
  <c r="W186" i="1"/>
  <c r="Y186" i="1" s="1"/>
  <c r="W185" i="1"/>
  <c r="Y185" i="1" s="1"/>
  <c r="W184" i="1"/>
  <c r="Y184" i="1" s="1"/>
  <c r="W183" i="1"/>
  <c r="Y183" i="1" s="1"/>
  <c r="W182" i="1"/>
  <c r="Y182" i="1" s="1"/>
  <c r="W181" i="1"/>
  <c r="Y181" i="1" s="1"/>
  <c r="W180" i="1"/>
  <c r="Y180" i="1" s="1"/>
  <c r="W179" i="1"/>
  <c r="Y179" i="1" s="1"/>
  <c r="W178" i="1"/>
  <c r="Y178" i="1" s="1"/>
  <c r="W177" i="1"/>
  <c r="Y177" i="1" s="1"/>
  <c r="W176" i="1"/>
  <c r="Y176" i="1" s="1"/>
  <c r="W175" i="1"/>
  <c r="Y175" i="1" s="1"/>
  <c r="W174" i="1"/>
  <c r="Y174" i="1" s="1"/>
  <c r="W173" i="1"/>
  <c r="Y173" i="1" s="1"/>
  <c r="W172" i="1"/>
  <c r="Y172" i="1" s="1"/>
  <c r="W171" i="1"/>
  <c r="Y171" i="1" s="1"/>
  <c r="W170" i="1"/>
  <c r="Y170" i="1" s="1"/>
  <c r="W169" i="1"/>
  <c r="Y169" i="1" s="1"/>
  <c r="W168" i="1"/>
  <c r="Y168" i="1" s="1"/>
  <c r="W167" i="1"/>
  <c r="Y167" i="1" s="1"/>
  <c r="W166" i="1"/>
  <c r="Y166" i="1" s="1"/>
  <c r="W165" i="1"/>
  <c r="Y165" i="1" s="1"/>
  <c r="W164" i="1"/>
  <c r="Y164" i="1" s="1"/>
  <c r="W163" i="1"/>
  <c r="Y163" i="1" s="1"/>
  <c r="W162" i="1"/>
  <c r="Y162" i="1" s="1"/>
  <c r="W161" i="1"/>
  <c r="Y161" i="1" s="1"/>
  <c r="W160" i="1"/>
  <c r="Y160" i="1" s="1"/>
  <c r="W159" i="1"/>
  <c r="Y159" i="1" s="1"/>
  <c r="W158" i="1"/>
  <c r="Y158" i="1" s="1"/>
  <c r="W157" i="1"/>
  <c r="Y157" i="1" s="1"/>
  <c r="W156" i="1"/>
  <c r="Y156" i="1" s="1"/>
  <c r="W155" i="1"/>
  <c r="Y155" i="1" s="1"/>
  <c r="W154" i="1"/>
  <c r="Y154" i="1" s="1"/>
  <c r="W153" i="1"/>
  <c r="Y153" i="1" s="1"/>
  <c r="W152" i="1"/>
  <c r="Y152" i="1" s="1"/>
  <c r="W151" i="1"/>
  <c r="Y151" i="1" s="1"/>
  <c r="W150" i="1" l="1"/>
  <c r="Y150" i="1" s="1"/>
  <c r="W149" i="1"/>
  <c r="Y149" i="1" s="1"/>
  <c r="W148" i="1"/>
  <c r="Y148" i="1" s="1"/>
  <c r="W147" i="1"/>
  <c r="Y147" i="1" s="1"/>
  <c r="W146" i="1"/>
  <c r="Y146" i="1" s="1"/>
  <c r="W145" i="1"/>
  <c r="Y145" i="1" l="1"/>
  <c r="W144" i="1" l="1"/>
  <c r="Y144" i="1" l="1"/>
  <c r="F14" i="1"/>
  <c r="F4" i="1"/>
  <c r="F5" i="1"/>
  <c r="F6" i="1"/>
  <c r="F7" i="1"/>
  <c r="D8" i="1"/>
  <c r="E8" i="1"/>
  <c r="F8" i="1"/>
  <c r="D9" i="1"/>
  <c r="E9" i="1"/>
  <c r="F9" i="1"/>
  <c r="D10" i="1"/>
  <c r="E10" i="1"/>
  <c r="F10" i="1"/>
  <c r="D11" i="1"/>
  <c r="E11" i="1"/>
  <c r="F11" i="1"/>
  <c r="F12" i="1"/>
  <c r="F13" i="1"/>
  <c r="H8" i="1" l="1"/>
  <c r="H9" i="1"/>
  <c r="G9" i="1"/>
  <c r="G10" i="1"/>
  <c r="G11" i="1"/>
  <c r="H10" i="1"/>
  <c r="H11" i="1"/>
  <c r="G8" i="1"/>
  <c r="W143" i="1" l="1"/>
  <c r="X143" i="1" s="1"/>
  <c r="W142" i="1"/>
  <c r="X142" i="1" s="1"/>
  <c r="W141" i="1"/>
  <c r="X141" i="1" s="1"/>
  <c r="W140" i="1"/>
  <c r="X140" i="1" s="1"/>
  <c r="W139" i="1"/>
  <c r="W138" i="1"/>
  <c r="W137" i="1"/>
  <c r="X137" i="1" s="1"/>
  <c r="W136" i="1"/>
  <c r="W135" i="1"/>
  <c r="X135" i="1" s="1"/>
  <c r="W134" i="1"/>
  <c r="X134" i="1" s="1"/>
  <c r="W133" i="1"/>
  <c r="X133" i="1" s="1"/>
  <c r="W132" i="1"/>
  <c r="X132" i="1" s="1"/>
  <c r="W131" i="1"/>
  <c r="X131" i="1" s="1"/>
  <c r="W130" i="1"/>
  <c r="X130" i="1" s="1"/>
  <c r="W129" i="1"/>
  <c r="X129" i="1" s="1"/>
  <c r="W128" i="1"/>
  <c r="W127" i="1"/>
  <c r="W126" i="1"/>
  <c r="X126" i="1" s="1"/>
  <c r="W125" i="1"/>
  <c r="W124" i="1"/>
  <c r="W123" i="1"/>
  <c r="Y123" i="1" s="1"/>
  <c r="W122" i="1"/>
  <c r="W121" i="1"/>
  <c r="W120" i="1"/>
  <c r="W119" i="1"/>
  <c r="W118" i="1"/>
  <c r="W117" i="1"/>
  <c r="W116" i="1"/>
  <c r="W115" i="1"/>
  <c r="W114" i="1"/>
  <c r="X114" i="1" s="1"/>
  <c r="Y121" i="1" l="1"/>
  <c r="X121" i="1"/>
  <c r="Y118" i="1"/>
  <c r="X118" i="1"/>
  <c r="Y122" i="1"/>
  <c r="X122" i="1"/>
  <c r="Y138" i="1"/>
  <c r="X138" i="1"/>
  <c r="Y115" i="1"/>
  <c r="X115" i="1"/>
  <c r="Y119" i="1"/>
  <c r="X119" i="1"/>
  <c r="Y117" i="1"/>
  <c r="X117" i="1"/>
  <c r="Y125" i="1"/>
  <c r="X125" i="1"/>
  <c r="Y139" i="1"/>
  <c r="X139" i="1"/>
  <c r="Y116" i="1"/>
  <c r="X116" i="1"/>
  <c r="Y120" i="1"/>
  <c r="X120" i="1"/>
  <c r="Y124" i="1"/>
  <c r="X124" i="1"/>
  <c r="Y136" i="1"/>
  <c r="X136" i="1"/>
  <c r="Y140" i="1"/>
  <c r="Y137" i="1"/>
  <c r="Y142" i="1"/>
  <c r="Y128" i="1"/>
  <c r="X128" i="1"/>
  <c r="Y132" i="1"/>
  <c r="Y129" i="1"/>
  <c r="Y133" i="1"/>
  <c r="Y141" i="1"/>
  <c r="Y130" i="1"/>
  <c r="Y134" i="1"/>
  <c r="Y127" i="1"/>
  <c r="X127" i="1"/>
  <c r="Y131" i="1"/>
  <c r="Y135" i="1"/>
  <c r="Y143" i="1"/>
  <c r="Y114" i="1"/>
  <c r="Y126" i="1"/>
  <c r="D13" i="1"/>
  <c r="E13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Y98" i="1" s="1"/>
  <c r="W97" i="1"/>
  <c r="Y97" i="1" s="1"/>
  <c r="W96" i="1"/>
  <c r="Y96" i="1" s="1"/>
  <c r="W95" i="1"/>
  <c r="Y95" i="1" s="1"/>
  <c r="W94" i="1"/>
  <c r="W93" i="1"/>
  <c r="W92" i="1"/>
  <c r="W91" i="1"/>
  <c r="W90" i="1"/>
  <c r="Y90" i="1" s="1"/>
  <c r="W89" i="1"/>
  <c r="W88" i="1"/>
  <c r="W87" i="1"/>
  <c r="W86" i="1"/>
  <c r="W85" i="1"/>
  <c r="W84" i="1"/>
  <c r="X84" i="1" s="1"/>
  <c r="W83" i="1"/>
  <c r="Y83" i="1" s="1"/>
  <c r="W82" i="1"/>
  <c r="Y82" i="1" s="1"/>
  <c r="W81" i="1"/>
  <c r="Y81" i="1" s="1"/>
  <c r="W80" i="1"/>
  <c r="Y80" i="1" s="1"/>
  <c r="W79" i="1"/>
  <c r="Y79" i="1" s="1"/>
  <c r="W78" i="1"/>
  <c r="Y78" i="1" s="1"/>
  <c r="W77" i="1"/>
  <c r="Y77" i="1" s="1"/>
  <c r="W76" i="1"/>
  <c r="W75" i="1"/>
  <c r="W74" i="1"/>
  <c r="W73" i="1"/>
  <c r="W72" i="1"/>
  <c r="W71" i="1"/>
  <c r="W70" i="1"/>
  <c r="W69" i="1"/>
  <c r="W68" i="1"/>
  <c r="W67" i="1"/>
  <c r="W66" i="1"/>
  <c r="X66" i="1" s="1"/>
  <c r="W65" i="1"/>
  <c r="Y65" i="1" s="1"/>
  <c r="W64" i="1"/>
  <c r="W63" i="1"/>
  <c r="W62" i="1"/>
  <c r="W61" i="1"/>
  <c r="W60" i="1"/>
  <c r="W59" i="1"/>
  <c r="W58" i="1"/>
  <c r="X58" i="1" s="1"/>
  <c r="W57" i="1"/>
  <c r="W56" i="1"/>
  <c r="W55" i="1"/>
  <c r="W54" i="1"/>
  <c r="W53" i="1"/>
  <c r="W52" i="1"/>
  <c r="W51" i="1"/>
  <c r="W50" i="1"/>
  <c r="W49" i="1"/>
  <c r="W48" i="1"/>
  <c r="Y72" i="1" l="1"/>
  <c r="X72" i="1"/>
  <c r="Y76" i="1"/>
  <c r="X76" i="1"/>
  <c r="Y88" i="1"/>
  <c r="X88" i="1"/>
  <c r="Y92" i="1"/>
  <c r="X92" i="1"/>
  <c r="Y73" i="1"/>
  <c r="X73" i="1"/>
  <c r="Y74" i="1"/>
  <c r="X74" i="1"/>
  <c r="Y94" i="1"/>
  <c r="X94" i="1"/>
  <c r="Y75" i="1"/>
  <c r="X75" i="1"/>
  <c r="Y91" i="1"/>
  <c r="X91" i="1"/>
  <c r="Y89" i="1"/>
  <c r="X89" i="1"/>
  <c r="Y93" i="1"/>
  <c r="X93" i="1"/>
  <c r="Y100" i="1"/>
  <c r="X100" i="1"/>
  <c r="Y99" i="1"/>
  <c r="X99" i="1"/>
  <c r="Y111" i="1"/>
  <c r="X111" i="1"/>
  <c r="Y112" i="1"/>
  <c r="X112" i="1"/>
  <c r="Y113" i="1"/>
  <c r="X113" i="1"/>
  <c r="Y106" i="1"/>
  <c r="X106" i="1"/>
  <c r="Y110" i="1"/>
  <c r="X110" i="1"/>
  <c r="Y107" i="1"/>
  <c r="X107" i="1"/>
  <c r="Y108" i="1"/>
  <c r="X108" i="1"/>
  <c r="Y109" i="1"/>
  <c r="X109" i="1"/>
  <c r="Y104" i="1"/>
  <c r="X104" i="1"/>
  <c r="Y105" i="1"/>
  <c r="X105" i="1"/>
  <c r="E12" i="1"/>
  <c r="D12" i="1"/>
  <c r="Y103" i="1"/>
  <c r="X103" i="1"/>
  <c r="Y68" i="1"/>
  <c r="X68" i="1"/>
  <c r="Y69" i="1"/>
  <c r="X69" i="1"/>
  <c r="Y70" i="1"/>
  <c r="X70" i="1"/>
  <c r="Y67" i="1"/>
  <c r="X67" i="1"/>
  <c r="Y71" i="1"/>
  <c r="X71" i="1"/>
  <c r="Y52" i="1"/>
  <c r="X52" i="1"/>
  <c r="Y85" i="1"/>
  <c r="X85" i="1"/>
  <c r="Y56" i="1"/>
  <c r="X56" i="1"/>
  <c r="Y53" i="1"/>
  <c r="X53" i="1"/>
  <c r="Y57" i="1"/>
  <c r="X57" i="1"/>
  <c r="Y54" i="1"/>
  <c r="X54" i="1"/>
  <c r="Y86" i="1"/>
  <c r="X86" i="1"/>
  <c r="Y55" i="1"/>
  <c r="X55" i="1"/>
  <c r="Y87" i="1"/>
  <c r="X87" i="1"/>
  <c r="Y101" i="1"/>
  <c r="X101" i="1"/>
  <c r="Y62" i="1"/>
  <c r="X62" i="1"/>
  <c r="Y102" i="1"/>
  <c r="X102" i="1"/>
  <c r="Y63" i="1"/>
  <c r="X63" i="1"/>
  <c r="Y64" i="1"/>
  <c r="X64" i="1"/>
  <c r="Y61" i="1"/>
  <c r="X61" i="1"/>
  <c r="Y60" i="1"/>
  <c r="X60" i="1"/>
  <c r="Y59" i="1"/>
  <c r="X59" i="1"/>
  <c r="Y49" i="1"/>
  <c r="X49" i="1"/>
  <c r="D14" i="1"/>
  <c r="E14" i="1"/>
  <c r="Y50" i="1"/>
  <c r="X50" i="1"/>
  <c r="Y51" i="1"/>
  <c r="X51" i="1"/>
  <c r="H13" i="1"/>
  <c r="G13" i="1"/>
  <c r="Y66" i="1"/>
  <c r="D7" i="1"/>
  <c r="E7" i="1"/>
  <c r="Y48" i="1"/>
  <c r="D4" i="1"/>
  <c r="E4" i="1"/>
  <c r="X48" i="1"/>
  <c r="Y84" i="1"/>
  <c r="D6" i="1"/>
  <c r="E6" i="1"/>
  <c r="Y58" i="1"/>
  <c r="D5" i="1"/>
  <c r="E5" i="1"/>
  <c r="E19" i="1"/>
  <c r="M13" i="1"/>
  <c r="K16" i="1" s="1"/>
  <c r="F29" i="1"/>
  <c r="E29" i="1"/>
  <c r="F28" i="1"/>
  <c r="E28" i="1"/>
  <c r="D28" i="1"/>
  <c r="F27" i="1"/>
  <c r="E27" i="1"/>
  <c r="D27" i="1"/>
  <c r="F26" i="1"/>
  <c r="E26" i="1"/>
  <c r="D26" i="1"/>
  <c r="F25" i="1"/>
  <c r="E25" i="1"/>
  <c r="D25" i="1"/>
  <c r="F24" i="1"/>
  <c r="E24" i="1"/>
  <c r="D24" i="1"/>
  <c r="F23" i="1"/>
  <c r="E23" i="1"/>
  <c r="D23" i="1"/>
  <c r="F22" i="1"/>
  <c r="E22" i="1"/>
  <c r="D22" i="1"/>
  <c r="F21" i="1"/>
  <c r="E21" i="1"/>
  <c r="D21" i="1"/>
  <c r="F20" i="1"/>
  <c r="E20" i="1"/>
  <c r="D20" i="1"/>
  <c r="F19" i="1"/>
  <c r="D19" i="1"/>
  <c r="H12" i="1" l="1"/>
  <c r="G12" i="1"/>
  <c r="H14" i="1"/>
  <c r="G14" i="1"/>
  <c r="G29" i="1"/>
  <c r="H7" i="1"/>
  <c r="G7" i="1"/>
  <c r="H6" i="1"/>
  <c r="G6" i="1"/>
  <c r="H4" i="1"/>
  <c r="G4" i="1"/>
  <c r="H5" i="1"/>
  <c r="G5" i="1"/>
  <c r="G23" i="1"/>
  <c r="H23" i="1"/>
  <c r="G21" i="1"/>
  <c r="H21" i="1"/>
  <c r="G25" i="1"/>
  <c r="H25" i="1"/>
  <c r="H20" i="1"/>
  <c r="G20" i="1"/>
  <c r="H24" i="1"/>
  <c r="G24" i="1"/>
  <c r="G28" i="1"/>
  <c r="H28" i="1"/>
  <c r="G27" i="1"/>
  <c r="H27" i="1"/>
  <c r="G19" i="1"/>
  <c r="H19" i="1"/>
  <c r="H22" i="1"/>
  <c r="G22" i="1"/>
  <c r="H26" i="1"/>
  <c r="G26" i="1"/>
  <c r="F41" i="1"/>
  <c r="D35" i="1"/>
  <c r="E36" i="1"/>
  <c r="D38" i="1"/>
  <c r="D41" i="1"/>
  <c r="E42" i="1"/>
  <c r="D37" i="1"/>
  <c r="E38" i="1"/>
  <c r="D40" i="1"/>
  <c r="K14" i="1"/>
  <c r="D39" i="1"/>
  <c r="E40" i="1"/>
  <c r="D43" i="1"/>
  <c r="D34" i="1"/>
  <c r="D36" i="1"/>
  <c r="D42" i="1"/>
  <c r="E34" i="1"/>
  <c r="D29" i="1"/>
  <c r="H29" i="1" s="1"/>
  <c r="E35" i="1"/>
  <c r="E37" i="1"/>
  <c r="E39" i="1"/>
  <c r="E41" i="1"/>
  <c r="E43" i="1"/>
  <c r="H38" i="1" l="1"/>
  <c r="G41" i="1"/>
  <c r="H36" i="1"/>
  <c r="H42" i="1"/>
  <c r="H40" i="1"/>
  <c r="D44" i="1"/>
  <c r="F42" i="1"/>
  <c r="G42" i="1" s="1"/>
  <c r="F38" i="1"/>
  <c r="G38" i="1" s="1"/>
  <c r="F39" i="1"/>
  <c r="G39" i="1" s="1"/>
  <c r="F34" i="1"/>
  <c r="G34" i="1" s="1"/>
  <c r="F44" i="1"/>
  <c r="F40" i="1"/>
  <c r="G40" i="1" s="1"/>
  <c r="F36" i="1"/>
  <c r="G36" i="1" s="1"/>
  <c r="F35" i="1"/>
  <c r="G35" i="1" s="1"/>
  <c r="F37" i="1"/>
  <c r="G37" i="1" s="1"/>
  <c r="F43" i="1"/>
  <c r="G43" i="1" s="1"/>
  <c r="H43" i="1"/>
  <c r="H39" i="1"/>
  <c r="H35" i="1"/>
  <c r="E44" i="1"/>
  <c r="H34" i="1"/>
  <c r="H41" i="1"/>
  <c r="H37" i="1"/>
  <c r="G44" i="1" l="1"/>
  <c r="H44" i="1"/>
</calcChain>
</file>

<file path=xl/comments1.xml><?xml version="1.0" encoding="utf-8"?>
<comments xmlns="http://schemas.openxmlformats.org/spreadsheetml/2006/main">
  <authors>
    <author>EXTERNAL Nguyen Trung Hieu (Ban Vien, RBVH/EPS45)</author>
  </authors>
  <commentList>
    <comment ref="G144" authorId="0" shapeId="0">
      <text>
        <r>
          <rPr>
            <b/>
            <sz val="9"/>
            <color indexed="81"/>
            <rFont val="Tahoma"/>
            <family val="2"/>
          </rPr>
          <t>EXTERNAL Nguyen Trung Hieu (Ban Vien, RBVH/EPS45):</t>
        </r>
        <r>
          <rPr>
            <sz val="9"/>
            <color indexed="81"/>
            <rFont val="Tahoma"/>
            <family val="2"/>
          </rPr>
          <t xml:space="preserve">
//10.184.143.103/d/vivi/BV/DB/urgent/SGMW_ESP93_Carbon_Int.zip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45" authorId="0" shapeId="0">
      <text>
        <r>
          <rPr>
            <b/>
            <sz val="9"/>
            <color indexed="81"/>
            <rFont val="Tahoma"/>
            <family val="2"/>
          </rPr>
          <t>EXTERNAL Nguyen Trung Hieu (Ban Vien, RBVH/EPS45):</t>
        </r>
        <r>
          <rPr>
            <sz val="9"/>
            <color indexed="81"/>
            <rFont val="Tahoma"/>
            <family val="2"/>
          </rPr>
          <t xml:space="preserve">
\\10.184.143.103\d\vivi\BV\DB\16Apr\Geely_ESP93_Carbon_Int
</t>
        </r>
      </text>
    </comment>
    <comment ref="G149" authorId="0" shapeId="0">
      <text>
        <r>
          <rPr>
            <b/>
            <sz val="9"/>
            <color indexed="81"/>
            <rFont val="Tahoma"/>
            <family val="2"/>
          </rPr>
          <t>EXTERNAL Nguyen Trung Hieu (Ban Vien, RBVH/EPS45):</t>
        </r>
        <r>
          <rPr>
            <sz val="9"/>
            <color indexed="81"/>
            <rFont val="Tahoma"/>
            <family val="2"/>
          </rPr>
          <t xml:space="preserve">
\\10.184.143.103\d\vivi\BV\DB\16Apr\FAW_Beryllium_D090HighG6_&amp;__D090LowG6_RC_INT
</t>
        </r>
      </text>
    </comment>
    <comment ref="G153" authorId="0" shapeId="0">
      <text>
        <r>
          <rPr>
            <b/>
            <sz val="9"/>
            <color indexed="81"/>
            <rFont val="Tahoma"/>
            <family val="2"/>
          </rPr>
          <t>EXTERNAL Nguyen Trung Hieu (Ban Vien, RBVH/EPS45):</t>
        </r>
        <r>
          <rPr>
            <sz val="9"/>
            <color indexed="81"/>
            <rFont val="Tahoma"/>
            <family val="2"/>
          </rPr>
          <t xml:space="preserve">
\\10.184.143.103\d\vivi\BV\DB\16Apr\SAIC_A_ARCH_CMP_ESP93_Carbon_Int
</t>
        </r>
      </text>
    </comment>
  </commentList>
</comments>
</file>

<file path=xl/sharedStrings.xml><?xml version="1.0" encoding="utf-8"?>
<sst xmlns="http://schemas.openxmlformats.org/spreadsheetml/2006/main" count="1246" uniqueCount="84">
  <si>
    <t>No</t>
  </si>
  <si>
    <t>Type</t>
  </si>
  <si>
    <t>PSW</t>
  </si>
  <si>
    <t>hieu.nguyen-trung</t>
  </si>
  <si>
    <t>TaskGroup</t>
  </si>
  <si>
    <t>Tester</t>
  </si>
  <si>
    <t>Start</t>
  </si>
  <si>
    <t>End</t>
  </si>
  <si>
    <t>C0</t>
  </si>
  <si>
    <t>C1</t>
  </si>
  <si>
    <t>MCDC</t>
  </si>
  <si>
    <t>Status</t>
  </si>
  <si>
    <t>Ready for review</t>
  </si>
  <si>
    <t>KPI/days</t>
  </si>
  <si>
    <t>Status (%)</t>
  </si>
  <si>
    <t>Total Days</t>
  </si>
  <si>
    <t>Date</t>
  </si>
  <si>
    <t>Note:</t>
  </si>
  <si>
    <t>PSW: 450 ELOCs</t>
  </si>
  <si>
    <t>Productivity of each Member per Day</t>
  </si>
  <si>
    <t>Total Productivity per Month</t>
  </si>
  <si>
    <t>PSW: 450x4x20 = 36,000 ELOCs</t>
  </si>
  <si>
    <t>ASW: 130x4x20 = 10,400 ELOCs</t>
  </si>
  <si>
    <t>Table KPI ASW</t>
  </si>
  <si>
    <t>Table KPI PSW</t>
  </si>
  <si>
    <t>LOC Complete</t>
  </si>
  <si>
    <t>Actual hour</t>
  </si>
  <si>
    <t>Task Jira</t>
  </si>
  <si>
    <t>Project</t>
  </si>
  <si>
    <t>ComponentName</t>
  </si>
  <si>
    <t>ItemName</t>
  </si>
  <si>
    <t>Planned Start</t>
  </si>
  <si>
    <t>Planned End</t>
  </si>
  <si>
    <t>-</t>
  </si>
  <si>
    <t>ItemRevision</t>
  </si>
  <si>
    <t>Package</t>
  </si>
  <si>
    <t>hau.nguyen-tai</t>
  </si>
  <si>
    <t>bang.nguyen-duy</t>
  </si>
  <si>
    <t>dac.luu-cong</t>
  </si>
  <si>
    <t>duong.nguyen</t>
  </si>
  <si>
    <t>loc.do-phu</t>
  </si>
  <si>
    <t>thanh.nguyen-kim</t>
  </si>
  <si>
    <t>chung.ly</t>
  </si>
  <si>
    <t>Database</t>
  </si>
  <si>
    <t>BB</t>
  </si>
  <si>
    <t>Complete &amp; Closed</t>
  </si>
  <si>
    <t>ELOC Assigned</t>
  </si>
  <si>
    <t>ELOC Recheck With Tool</t>
  </si>
  <si>
    <t>Status Result</t>
  </si>
  <si>
    <t>PeerReviewer</t>
  </si>
  <si>
    <t>Estimation base TOOL</t>
  </si>
  <si>
    <t>Owner Contact</t>
  </si>
  <si>
    <t>Remark</t>
  </si>
  <si>
    <t>Status Review</t>
  </si>
  <si>
    <t>OK</t>
  </si>
  <si>
    <t>NG</t>
  </si>
  <si>
    <t>ASW: 130 ELOCs</t>
  </si>
  <si>
    <t>Effort (days)</t>
  </si>
  <si>
    <t>Total</t>
  </si>
  <si>
    <t>Judge Total KPI</t>
  </si>
  <si>
    <t>Duration</t>
  </si>
  <si>
    <t>MT_Needed</t>
  </si>
  <si>
    <t>MT_Number</t>
  </si>
  <si>
    <t>Loc Assigned</t>
  </si>
  <si>
    <t>Actual Effort (days)</t>
  </si>
  <si>
    <t>Holidays</t>
  </si>
  <si>
    <t>Reason for Fail Testcase</t>
  </si>
  <si>
    <t>Reason For code coverage</t>
  </si>
  <si>
    <t>OPL</t>
  </si>
  <si>
    <t>Summary</t>
  </si>
  <si>
    <t>huy.do-anh</t>
  </si>
  <si>
    <t>phuong.nguyen-thanh</t>
  </si>
  <si>
    <t>TaskID</t>
  </si>
  <si>
    <t>Type of Comment</t>
  </si>
  <si>
    <t>OPL/Defect</t>
  </si>
  <si>
    <t>Baseline</t>
  </si>
  <si>
    <t>None</t>
  </si>
  <si>
    <t>Can't cover case default for switch at line #116. Because of the conditon "if ((RBAPLCUST_PHASESEQUENCE_MINIMUM &gt; dataIn1) || (RBAPLCUST_PHASESEQUENCE_MAXIMUM &lt; dataIn1))" at line #87 false when range vaule of dataIn1 to 1 from 4.</t>
  </si>
  <si>
    <t>No function</t>
  </si>
  <si>
    <t>Can't cover full MCDC ((F &amp;&amp; ?) || (F &amp;&amp; ?)) at line #134. Because of can't create case "RBAPLCUST_RollerBenchSessionState = RBAPLCUST_RollerBenchSessionState_NOT_ACTIVE" and "RBAPLCUST_RollerBenchSessionState != RBAPLCUST_RollerBenchSessionState_NOT_ACTIVE".
Can't cover full MCDC (T &amp;&amp; F) at line #140. Because of when create case "(RBAPLCUST_RollerBenchSessionState == RBAPLCUST_RollerBenchSessionState_NOT_ACTIVE) &amp;&amp; (l_Active == FALSE)" =&gt; condition at line #134 is true.</t>
  </si>
  <si>
    <t>Lack of round brackets for if at line #116</t>
  </si>
  <si>
    <t>No fuctions to test</t>
  </si>
  <si>
    <t>None function</t>
  </si>
  <si>
    <t>20200416_1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</si>
</sst>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yy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color rgb="FF9C0006"/>
      <name val="Arial"/>
      <family val="2"/>
    </font>
    <font>
      <u/>
      <sz val="11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7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4" fillId="8" borderId="0" applyNumberFormat="0" applyBorder="0" applyAlignment="0" applyProtection="0"/>
  </cellStyleXfs>
  <cellXfs count="45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1" fillId="0" borderId="1" xfId="0" applyFont="1" applyFill="1" applyBorder="1"/>
    <xf numFmtId="14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0" borderId="1" xfId="0" applyFont="1" applyBorder="1" applyAlignment="1">
      <alignment horizontal="left" vertical="top"/>
    </xf>
    <xf numFmtId="0" fontId="0" fillId="0" borderId="1" xfId="0" applyFont="1" applyFill="1" applyBorder="1" applyAlignment="1">
      <alignment horizontal="left" vertical="top"/>
    </xf>
    <xf numFmtId="0" fontId="0" fillId="0" borderId="1" xfId="0" quotePrefix="1" applyFont="1" applyBorder="1" applyAlignment="1">
      <alignment horizontal="left" vertical="top"/>
    </xf>
    <xf numFmtId="0" fontId="0" fillId="2" borderId="1" xfId="0" applyFont="1" applyFill="1" applyBorder="1" applyAlignment="1">
      <alignment horizontal="left" vertical="top"/>
    </xf>
    <xf numFmtId="164" fontId="0" fillId="0" borderId="1" xfId="0" applyNumberFormat="1" applyFont="1" applyBorder="1" applyAlignment="1">
      <alignment horizontal="left" vertical="top"/>
    </xf>
    <xf numFmtId="14" fontId="0" fillId="0" borderId="1" xfId="0" applyNumberFormat="1" applyFont="1" applyBorder="1" applyAlignment="1">
      <alignment horizontal="left" vertical="top"/>
    </xf>
    <xf numFmtId="0" fontId="2" fillId="0" borderId="1" xfId="0" applyNumberFormat="1" applyFont="1" applyFill="1" applyBorder="1" applyAlignment="1" applyProtection="1">
      <alignment horizontal="left" vertical="top"/>
    </xf>
    <xf numFmtId="0" fontId="0" fillId="3" borderId="1" xfId="0" applyFill="1" applyBorder="1"/>
    <xf numFmtId="0" fontId="0" fillId="4" borderId="1" xfId="0" applyFill="1" applyBorder="1"/>
    <xf numFmtId="10" fontId="0" fillId="0" borderId="1" xfId="0" applyNumberFormat="1" applyFont="1" applyBorder="1" applyAlignment="1">
      <alignment horizontal="left" vertical="top"/>
    </xf>
    <xf numFmtId="164" fontId="0" fillId="0" borderId="0" xfId="0" applyNumberFormat="1"/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4" fillId="8" borderId="1" xfId="2" applyBorder="1" applyAlignment="1">
      <alignment horizontal="center" vertical="center"/>
    </xf>
    <xf numFmtId="0" fontId="0" fillId="5" borderId="1" xfId="0" applyFont="1" applyFill="1" applyBorder="1" applyAlignment="1">
      <alignment horizontal="left" vertical="top"/>
    </xf>
    <xf numFmtId="0" fontId="2" fillId="2" borderId="1" xfId="0" applyNumberFormat="1" applyFont="1" applyFill="1" applyBorder="1" applyAlignment="1" applyProtection="1">
      <alignment horizontal="left" vertical="top"/>
    </xf>
    <xf numFmtId="0" fontId="0" fillId="0" borderId="1" xfId="0" applyBorder="1" applyAlignment="1">
      <alignment horizontal="left" vertical="top"/>
    </xf>
    <xf numFmtId="0" fontId="2" fillId="9" borderId="1" xfId="0" applyNumberFormat="1" applyFont="1" applyFill="1" applyBorder="1" applyAlignment="1" applyProtection="1">
      <alignment horizontal="left" vertical="top"/>
    </xf>
    <xf numFmtId="0" fontId="5" fillId="0" borderId="0" xfId="0" applyFont="1"/>
    <xf numFmtId="0" fontId="6" fillId="0" borderId="1" xfId="0" applyNumberFormat="1" applyFont="1" applyFill="1" applyBorder="1" applyAlignment="1" applyProtection="1">
      <alignment horizontal="left" vertical="top"/>
    </xf>
    <xf numFmtId="0" fontId="5" fillId="0" borderId="1" xfId="0" applyFont="1" applyFill="1" applyBorder="1" applyAlignment="1">
      <alignment horizontal="left" vertical="top"/>
    </xf>
    <xf numFmtId="0" fontId="5" fillId="0" borderId="1" xfId="0" applyFont="1" applyBorder="1" applyAlignment="1">
      <alignment horizontal="left" vertical="top"/>
    </xf>
    <xf numFmtId="0" fontId="5" fillId="0" borderId="1" xfId="0" quotePrefix="1" applyFont="1" applyBorder="1" applyAlignment="1">
      <alignment horizontal="left" vertical="top"/>
    </xf>
    <xf numFmtId="0" fontId="5" fillId="2" borderId="1" xfId="0" applyFont="1" applyFill="1" applyBorder="1" applyAlignment="1">
      <alignment horizontal="left" vertical="top"/>
    </xf>
    <xf numFmtId="164" fontId="5" fillId="0" borderId="1" xfId="0" applyNumberFormat="1" applyFont="1" applyBorder="1" applyAlignment="1">
      <alignment horizontal="left" vertical="top"/>
    </xf>
    <xf numFmtId="10" fontId="5" fillId="0" borderId="1" xfId="0" applyNumberFormat="1" applyFont="1" applyBorder="1" applyAlignment="1">
      <alignment horizontal="left" vertical="top"/>
    </xf>
    <xf numFmtId="0" fontId="2" fillId="4" borderId="1" xfId="0" applyNumberFormat="1" applyFont="1" applyFill="1" applyBorder="1" applyAlignment="1" applyProtection="1">
      <alignment horizontal="left" vertical="top"/>
    </xf>
    <xf numFmtId="0" fontId="2" fillId="10" borderId="1" xfId="0" applyNumberFormat="1" applyFont="1" applyFill="1" applyBorder="1" applyAlignment="1" applyProtection="1">
      <alignment horizontal="left" vertical="top"/>
    </xf>
    <xf numFmtId="0" fontId="2" fillId="7" borderId="1" xfId="0" applyNumberFormat="1" applyFont="1" applyFill="1" applyBorder="1" applyAlignment="1" applyProtection="1">
      <alignment horizontal="left" vertical="top"/>
    </xf>
    <xf numFmtId="0" fontId="2" fillId="11" borderId="1" xfId="0" applyNumberFormat="1" applyFont="1" applyFill="1" applyBorder="1" applyAlignment="1" applyProtection="1">
      <alignment horizontal="left" vertical="top"/>
    </xf>
    <xf numFmtId="0" fontId="0" fillId="12" borderId="1" xfId="0" quotePrefix="1" applyFont="1" applyFill="1" applyBorder="1" applyAlignment="1">
      <alignment horizontal="left" vertical="top"/>
    </xf>
    <xf numFmtId="0" fontId="2" fillId="6" borderId="1" xfId="0" applyNumberFormat="1" applyFont="1" applyFill="1" applyBorder="1" applyAlignment="1" applyProtection="1">
      <alignment horizontal="left" vertical="top"/>
    </xf>
    <xf numFmtId="0" fontId="2" fillId="13" borderId="1" xfId="0" applyNumberFormat="1" applyFont="1" applyFill="1" applyBorder="1" applyAlignment="1" applyProtection="1">
      <alignment horizontal="left" vertical="top"/>
    </xf>
    <xf numFmtId="0" fontId="2" fillId="14" borderId="1" xfId="0" applyNumberFormat="1" applyFont="1" applyFill="1" applyBorder="1" applyAlignment="1" applyProtection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2" fillId="15" borderId="1" xfId="0" applyNumberFormat="1" applyFont="1" applyFill="1" applyBorder="1" applyAlignment="1" applyProtection="1">
      <alignment horizontal="left" vertical="top"/>
    </xf>
    <xf numFmtId="0" fontId="2" fillId="16" borderId="1" xfId="0" applyNumberFormat="1" applyFont="1" applyFill="1" applyBorder="1" applyAlignment="1" applyProtection="1">
      <alignment horizontal="left" vertical="top"/>
    </xf>
  </cellXfs>
  <cellStyles count="3">
    <cellStyle name="Bad" xfId="2" builtinId="27"/>
    <cellStyle name="Normal" xfId="0" builtinId="0"/>
    <cellStyle name="Normal 3" xfId="1"/>
  </cellStyles>
  <dxfs count="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AM309"/>
  <sheetViews>
    <sheetView tabSelected="1" topLeftCell="A31" zoomScale="85" zoomScaleNormal="85" workbookViewId="0">
      <pane xSplit="2" ySplit="17" topLeftCell="C48" activePane="bottomRight" state="frozen"/>
      <selection activeCell="A31" sqref="A31"/>
      <selection pane="topRight" activeCell="C31" sqref="C31"/>
      <selection pane="bottomLeft" activeCell="A48" sqref="A48"/>
      <selection pane="bottomRight" activeCell="C48" sqref="C48"/>
    </sheetView>
  </sheetViews>
  <sheetFormatPr defaultRowHeight="15" x14ac:dyDescent="0.25"/>
  <cols>
    <col min="2" max="2" width="14.42578125" bestFit="1" customWidth="1"/>
    <col min="3" max="3" width="14.5703125" customWidth="1"/>
    <col min="4" max="4" width="10.140625" customWidth="1"/>
    <col min="5" max="5" width="31.140625" bestFit="1" customWidth="1"/>
    <col min="6" max="6" width="66" bestFit="1" customWidth="1"/>
    <col min="7" max="7" width="10" bestFit="1" customWidth="1"/>
    <col min="8" max="8" width="12.140625" bestFit="1" customWidth="1"/>
    <col min="9" max="9" width="50.5703125" bestFit="1" customWidth="1"/>
    <col min="10" max="10" width="12" bestFit="1" customWidth="1"/>
    <col min="11" max="11" width="12" customWidth="1"/>
    <col min="12" max="12" width="14.42578125" bestFit="1" customWidth="1"/>
    <col min="13" max="13" width="14.42578125" customWidth="1"/>
    <col min="14" max="14" width="21" bestFit="1" customWidth="1"/>
    <col min="15" max="15" width="17.42578125" bestFit="1" customWidth="1"/>
    <col min="16" max="16" width="36" bestFit="1" customWidth="1"/>
    <col min="17" max="17" width="12.42578125" bestFit="1" customWidth="1"/>
    <col min="18" max="18" width="14" bestFit="1" customWidth="1"/>
    <col min="19" max="19" width="13.42578125" bestFit="1" customWidth="1"/>
    <col min="20" max="20" width="17.42578125" bestFit="1" customWidth="1"/>
    <col min="21" max="21" width="17.85546875" bestFit="1" customWidth="1"/>
    <col min="22" max="22" width="14" bestFit="1" customWidth="1"/>
    <col min="23" max="23" width="22.7109375" customWidth="1"/>
    <col min="24" max="24" width="18.140625" bestFit="1" customWidth="1"/>
    <col min="25" max="25" width="27.28515625" bestFit="1" customWidth="1"/>
    <col min="26" max="26" width="14.85546875" bestFit="1" customWidth="1"/>
    <col min="27" max="27" width="16.85546875" bestFit="1" customWidth="1"/>
    <col min="28" max="28" width="17.42578125" bestFit="1" customWidth="1"/>
    <col min="29" max="29" width="16" bestFit="1" customWidth="1"/>
    <col min="30" max="31" width="14.140625" bestFit="1" customWidth="1"/>
    <col min="32" max="32" width="17.140625" bestFit="1" customWidth="1"/>
    <col min="33" max="35" width="9.5703125" bestFit="1" customWidth="1"/>
    <col min="36" max="36" width="15" bestFit="1" customWidth="1"/>
    <col min="37" max="37" width="33" bestFit="1" customWidth="1"/>
    <col min="38" max="38" width="30.28515625" bestFit="1" customWidth="1"/>
    <col min="39" max="39" width="10.140625" bestFit="1" customWidth="1"/>
  </cols>
  <sheetData>
    <row r="1" spans="1:13" x14ac:dyDescent="0.25">
      <c r="A1" s="1" t="s">
        <v>69</v>
      </c>
    </row>
    <row r="2" spans="1:13" x14ac:dyDescent="0.25">
      <c r="B2" s="1" t="s">
        <v>24</v>
      </c>
    </row>
    <row r="3" spans="1:13" x14ac:dyDescent="0.25">
      <c r="B3" s="2" t="s">
        <v>0</v>
      </c>
      <c r="C3" s="2" t="s">
        <v>5</v>
      </c>
      <c r="D3" s="2" t="s">
        <v>63</v>
      </c>
      <c r="E3" s="2" t="s">
        <v>25</v>
      </c>
      <c r="F3" s="2" t="s">
        <v>64</v>
      </c>
      <c r="G3" s="2" t="s">
        <v>13</v>
      </c>
      <c r="H3" s="4" t="s">
        <v>14</v>
      </c>
      <c r="J3" s="1" t="s">
        <v>17</v>
      </c>
    </row>
    <row r="4" spans="1:13" x14ac:dyDescent="0.25">
      <c r="B4" s="3">
        <v>1</v>
      </c>
      <c r="C4" s="16" t="s">
        <v>3</v>
      </c>
      <c r="D4" s="19">
        <f>SUMIFS($W$48:$W$309,$D$48:$D$309,#REF!,$S$48:$S$309,C4)</f>
        <v>0</v>
      </c>
      <c r="E4" s="19">
        <f>SUMIFS($W$48:$W$309,$D$48:$D$309,#REF!,$S$48:$S$309,C4)-SUM(SUMIFS($W$48:$W$309,$D$48:$D$309,#REF!,$S$48:$S$309,C4,$AA$48:$AA$309,{"Ongoing","N/A",""}))</f>
        <v>0</v>
      </c>
      <c r="F4" s="19">
        <f>1/8*(SUMIFS($Z$48:$Z$309,$D$48:$D$309,#REF!,$S$48:$S$309,C4)-SUM(SUMIFS($Z$48:$Z$309,$D$48:$D$309,#REF!,$S$48:$S$309,C4,$AA$48:$AA$309,{"Ongoing","N/A",""})))</f>
        <v>0</v>
      </c>
      <c r="G4" s="19" t="str">
        <f>IF(ISERROR(E4/(F4)),"N/A",E4/F4)</f>
        <v>N/A</v>
      </c>
      <c r="H4" s="20" t="str">
        <f>IF(ISERROR(E4/D4),"N/A",E4/D4)</f>
        <v>N/A</v>
      </c>
      <c r="K4" s="1" t="s">
        <v>19</v>
      </c>
    </row>
    <row r="5" spans="1:13" x14ac:dyDescent="0.25">
      <c r="B5" s="3">
        <v>2</v>
      </c>
      <c r="C5" s="16" t="s">
        <v>36</v>
      </c>
      <c r="D5" s="19">
        <f>SUMIFS($W$48:$W$309,$D$48:$D$309,#REF!,$S$48:$S$309,C5)</f>
        <v>0</v>
      </c>
      <c r="E5" s="19">
        <f>SUMIFS($W$48:$W$309,$D$48:$D$309,#REF!,$S$48:$S$309,C5)-SUM(SUMIFS($W$48:$W$309,$D$48:$D$309,#REF!,$S$48:$S$309,C5,$AA$48:$AA$309,{"Ongoing","N/A",""}))</f>
        <v>0</v>
      </c>
      <c r="F5" s="19">
        <f>1/8*(SUMIFS($Z$48:$Z$309,$D$48:$D$309,#REF!,$S$48:$S$309,C5)-SUM(SUMIFS($Z$48:$Z$309,$D$48:$D$309,#REF!,$S$48:$S$309,C5,$AA$48:$AA$309,{"Ongoing","N/A",""})))</f>
        <v>0</v>
      </c>
      <c r="G5" s="19" t="str">
        <f t="shared" ref="G5:G13" si="0">IF(ISERROR(E5/(F5)),"N/A",E5/F5)</f>
        <v>N/A</v>
      </c>
      <c r="H5" s="20" t="str">
        <f t="shared" ref="H5:H14" si="1">IF(ISERROR(E5/D5),"N/A",E5/D5)</f>
        <v>N/A</v>
      </c>
      <c r="L5" t="s">
        <v>18</v>
      </c>
    </row>
    <row r="6" spans="1:13" x14ac:dyDescent="0.25">
      <c r="B6" s="3">
        <v>3</v>
      </c>
      <c r="C6" s="16" t="s">
        <v>37</v>
      </c>
      <c r="D6" s="19">
        <f>SUMIFS($W$48:$W$309,$D$48:$D$309,#REF!,$S$48:$S$309,C6)</f>
        <v>0</v>
      </c>
      <c r="E6" s="19">
        <f>SUMIFS($W$48:$W$309,$D$48:$D$309,#REF!,$S$48:$S$309,C6)-SUM(SUMIFS($W$48:$W$309,$D$48:$D$309,#REF!,$S$48:$S$309,C6,$AA$48:$AA$309,{"Ongoing","N/A",""}))</f>
        <v>0</v>
      </c>
      <c r="F6" s="19">
        <f>1/8*(SUMIFS($Z$48:$Z$309,$D$48:$D$309,#REF!,$S$48:$S$309,C6)-SUM(SUMIFS($Z$48:$Z$309,$D$48:$D$309,#REF!,$S$48:$S$309,C6,$AA$48:$AA$309,{"Ongoing","N/A",""})))</f>
        <v>0</v>
      </c>
      <c r="G6" s="19" t="str">
        <f t="shared" si="0"/>
        <v>N/A</v>
      </c>
      <c r="H6" s="20" t="str">
        <f t="shared" si="1"/>
        <v>N/A</v>
      </c>
      <c r="L6" t="s">
        <v>56</v>
      </c>
    </row>
    <row r="7" spans="1:13" x14ac:dyDescent="0.25">
      <c r="B7" s="3">
        <v>4</v>
      </c>
      <c r="C7" s="16" t="s">
        <v>38</v>
      </c>
      <c r="D7" s="19">
        <f>SUMIFS($W$48:$W$309,$D$48:$D$309,#REF!,$S$48:$S$309,C7)</f>
        <v>0</v>
      </c>
      <c r="E7" s="19">
        <f>SUMIFS($W$48:$W$309,$D$48:$D$309,#REF!,$S$48:$S$309,C7)-SUM(SUMIFS($W$48:$W$309,$D$48:$D$309,#REF!,$S$48:$S$309,C7,$AA$48:$AA$309,{"Ongoing","N/A",""}))</f>
        <v>0</v>
      </c>
      <c r="F7" s="19">
        <f>1/8*(SUMIFS($Z$48:$Z$309,$D$48:$D$309,#REF!,$S$48:$S$309,C7)-SUM(SUMIFS($Z$48:$Z$309,$D$48:$D$309,#REF!,$S$48:$S$309,C7,$AA$48:$AA$309,{"Ongoing","N/A",""})))</f>
        <v>0</v>
      </c>
      <c r="G7" s="19" t="str">
        <f t="shared" si="0"/>
        <v>N/A</v>
      </c>
      <c r="H7" s="20" t="str">
        <f t="shared" si="1"/>
        <v>N/A</v>
      </c>
      <c r="K7" s="1" t="s">
        <v>20</v>
      </c>
    </row>
    <row r="8" spans="1:13" x14ac:dyDescent="0.25">
      <c r="B8" s="3">
        <v>5</v>
      </c>
      <c r="C8" s="16" t="s">
        <v>39</v>
      </c>
      <c r="D8" s="19">
        <f>SUMIFS($W$48:$W$309,$D$48:$D$309,#REF!,$S$48:$S$309,C8)</f>
        <v>0</v>
      </c>
      <c r="E8" s="19">
        <f>SUMIFS($W$48:$W$309,$D$48:$D$309,#REF!,$S$48:$S$309,C8)-SUM(SUMIFS($W$48:$W$309,$D$48:$D$309,#REF!,$S$48:$S$309,C8,$AA$48:$AA$309,{"Ongoing","N/A",""}))</f>
        <v>0</v>
      </c>
      <c r="F8" s="19">
        <f>1/8*(SUMIFS($Z$48:$Z$309,$D$48:$D$309,#REF!,$S$48:$S$309,C8)-SUM(SUMIFS($Z$48:$Z$309,$D$48:$D$309,#REF!,$S$48:$S$309,C8,$AA$48:$AA$309,{"Ongoing","N/A",""})))</f>
        <v>0</v>
      </c>
      <c r="G8" s="19" t="str">
        <f t="shared" si="0"/>
        <v>N/A</v>
      </c>
      <c r="H8" s="20" t="str">
        <f t="shared" si="1"/>
        <v>N/A</v>
      </c>
      <c r="L8" t="s">
        <v>21</v>
      </c>
    </row>
    <row r="9" spans="1:13" x14ac:dyDescent="0.25">
      <c r="B9" s="3">
        <v>6</v>
      </c>
      <c r="C9" s="16" t="s">
        <v>40</v>
      </c>
      <c r="D9" s="19">
        <f>SUMIFS($W$48:$W$309,$D$48:$D$309,#REF!,$S$48:$S$309,C9)</f>
        <v>0</v>
      </c>
      <c r="E9" s="19">
        <f>SUMIFS($W$48:$W$309,$D$48:$D$309,#REF!,$S$48:$S$309,C9)-SUM(SUMIFS($W$48:$W$309,$D$48:$D$309,#REF!,$S$48:$S$309,C9,$AA$48:$AA$309,{"Ongoing","N/A",""}))</f>
        <v>0</v>
      </c>
      <c r="F9" s="19">
        <f>1/8*(SUMIFS($Z$48:$Z$309,$D$48:$D$309,#REF!,$S$48:$S$309,C9)-SUM(SUMIFS($Z$48:$Z$309,$D$48:$D$309,#REF!,$S$48:$S$309,C9,$AA$48:$AA$309,{"Ongoing","N/A",""})))</f>
        <v>0</v>
      </c>
      <c r="G9" s="19" t="str">
        <f t="shared" si="0"/>
        <v>N/A</v>
      </c>
      <c r="H9" s="20" t="str">
        <f t="shared" si="1"/>
        <v>N/A</v>
      </c>
      <c r="L9" t="s">
        <v>22</v>
      </c>
    </row>
    <row r="10" spans="1:13" x14ac:dyDescent="0.25">
      <c r="B10" s="3">
        <v>7</v>
      </c>
      <c r="C10" s="16" t="s">
        <v>41</v>
      </c>
      <c r="D10" s="19">
        <f>SUMIFS($W$48:$W$309,$D$48:$D$309,#REF!,$S$48:$S$309,C10)</f>
        <v>0</v>
      </c>
      <c r="E10" s="19">
        <f>SUMIFS($W$48:$W$309,$D$48:$D$309,#REF!,$S$48:$S$309,C10)-SUM(SUMIFS($W$48:$W$309,$D$48:$D$309,#REF!,$S$48:$S$309,C10,$AA$48:$AA$309,{"Ongoing","N/A",""}))</f>
        <v>0</v>
      </c>
      <c r="F10" s="19">
        <f>1/8*(SUMIFS($Z$48:$Z$309,$D$48:$D$309,#REF!,$S$48:$S$309,C10)-SUM(SUMIFS($Z$48:$Z$309,$D$48:$D$309,#REF!,$S$48:$S$309,C10,$AA$48:$AA$309,{"Ongoing","N/A",""})))</f>
        <v>0</v>
      </c>
      <c r="G10" s="19" t="str">
        <f t="shared" si="0"/>
        <v>N/A</v>
      </c>
      <c r="H10" s="20" t="str">
        <f t="shared" si="1"/>
        <v>N/A</v>
      </c>
    </row>
    <row r="11" spans="1:13" x14ac:dyDescent="0.25">
      <c r="B11" s="3">
        <v>8</v>
      </c>
      <c r="C11" s="16" t="s">
        <v>42</v>
      </c>
      <c r="D11" s="19">
        <f>SUMIFS($W$48:$W$309,$D$48:$D$309,#REF!,$S$48:$S$309,C11)</f>
        <v>0</v>
      </c>
      <c r="E11" s="19">
        <f>SUMIFS($W$48:$W$309,$D$48:$D$309,#REF!,$S$48:$S$309,C11)-SUM(SUMIFS($W$48:$W$309,$D$48:$D$309,#REF!,$S$48:$S$309,C11,$AA$48:$AA$309,{"Ongoing","N/A",""}))</f>
        <v>0</v>
      </c>
      <c r="F11" s="19">
        <f>1/8*(SUMIFS($Z$48:$Z$309,$D$48:$D$309,#REF!,$S$48:$S$309,C11)-SUM(SUMIFS($Z$48:$Z$309,$D$48:$D$309,#REF!,$S$48:$S$309,C11,$AA$48:$AA$309,{"Ongoing","N/A",""})))</f>
        <v>0</v>
      </c>
      <c r="G11" s="19" t="str">
        <f t="shared" si="0"/>
        <v>N/A</v>
      </c>
      <c r="H11" s="20" t="str">
        <f t="shared" si="1"/>
        <v>N/A</v>
      </c>
    </row>
    <row r="12" spans="1:13" x14ac:dyDescent="0.25">
      <c r="B12" s="3">
        <v>9</v>
      </c>
      <c r="C12" s="16" t="s">
        <v>70</v>
      </c>
      <c r="D12" s="19">
        <f>SUMIFS($W$48:$W$309,$D$48:$D$309,#REF!,$S$48:$S$309,C12)</f>
        <v>0</v>
      </c>
      <c r="E12" s="19">
        <f>SUMIFS($W$48:$W$309,$D$48:$D$309,#REF!,$S$48:$S$309,C12)-SUM(SUMIFS($W$48:$W$309,$D$48:$D$309,#REF!,$S$48:$S$309,C12,$AA$48:$AA$309,{"Ongoing","N/A",""}))</f>
        <v>0</v>
      </c>
      <c r="F12" s="19">
        <f>1/8*(SUMIFS($Z$48:$Z$309,$D$48:$D$309,#REF!,$S$48:$S$309,C12)-SUM(SUMIFS($Z$48:$Z$309,$D$48:$D$309,#REF!,$S$48:$S$309,C12,$AA$48:$AA$309,{"Ongoing","N/A",""})))</f>
        <v>0</v>
      </c>
      <c r="G12" s="19" t="str">
        <f t="shared" si="0"/>
        <v>N/A</v>
      </c>
      <c r="H12" s="20" t="str">
        <f t="shared" si="1"/>
        <v>N/A</v>
      </c>
    </row>
    <row r="13" spans="1:13" x14ac:dyDescent="0.25">
      <c r="B13" s="3">
        <v>10</v>
      </c>
      <c r="C13" s="16" t="s">
        <v>71</v>
      </c>
      <c r="D13" s="19">
        <f>SUMIFS($W$48:$W$309,$D$48:$D$309,#REF!,$S$48:$S$309,C13)</f>
        <v>0</v>
      </c>
      <c r="E13" s="19">
        <f>SUMIFS($W$48:$W$309,$D$48:$D$309,#REF!,$S$48:$S$309,C13)-SUM(SUMIFS($W$48:$W$309,$D$48:$D$309,#REF!,$S$48:$S$309,C13,$AA$48:$AA$309,{"Ongoing","N/A",""}))</f>
        <v>0</v>
      </c>
      <c r="F13" s="19">
        <f>1/8*(SUMIFS($Z$48:$Z$309,$D$48:$D$309,#REF!,$S$48:$S$309,C13)-SUM(SUMIFS($Z$48:$Z$309,$D$48:$D$309,#REF!,$S$48:$S$309,C13,$AA$48:$AA$309,{"Ongoing","N/A",""})))</f>
        <v>0</v>
      </c>
      <c r="G13" s="19" t="str">
        <f t="shared" si="0"/>
        <v>N/A</v>
      </c>
      <c r="H13" s="20" t="str">
        <f t="shared" si="1"/>
        <v>N/A</v>
      </c>
      <c r="J13" s="1" t="s">
        <v>16</v>
      </c>
      <c r="K13" s="18">
        <v>43935</v>
      </c>
      <c r="M13" s="18">
        <f ca="1">TODAY()</f>
        <v>43937</v>
      </c>
    </row>
    <row r="14" spans="1:13" x14ac:dyDescent="0.25">
      <c r="B14" s="2" t="s">
        <v>58</v>
      </c>
      <c r="C14" s="15"/>
      <c r="D14" s="21">
        <f>SUMIFS($W$48:$W$309,$D$48:$D$309,#REF!)</f>
        <v>0</v>
      </c>
      <c r="E14" s="21">
        <f>SUMIFS($W$48:$W$309,$D$48:$D$309,#REF!)-SUM(SUMIFS($W$48:$W$309,$D$48:$D$309,#REF!,$AA$48:$AA$309,{"Ongoing","N/A",""}))</f>
        <v>0</v>
      </c>
      <c r="F14" s="21">
        <f>1/8*(SUMIFS($Z$48:$Z$309,$D$48:$D$309,#REF!)-SUM(SUMIFS($Z$48:$Z$309,$D$48:$D$309,#REF!,$AA$48:$AA$309,{"Ongoing","N/A",""})))</f>
        <v>0</v>
      </c>
      <c r="G14" s="19" t="str">
        <f>IF(ISERROR(E14/(F14)),"N/A",E14/F14)</f>
        <v>N/A</v>
      </c>
      <c r="H14" s="20" t="str">
        <f t="shared" si="1"/>
        <v>N/A</v>
      </c>
      <c r="J14" s="1" t="s">
        <v>15</v>
      </c>
      <c r="K14" s="6">
        <f ca="1">SUM(INT((WEEKDAY(K13-{2,3,4,5,6}) +M13-K13)/7))</f>
        <v>3</v>
      </c>
    </row>
    <row r="15" spans="1:13" x14ac:dyDescent="0.25">
      <c r="J15" s="1" t="s">
        <v>65</v>
      </c>
      <c r="K15" s="6">
        <v>0</v>
      </c>
    </row>
    <row r="16" spans="1:13" x14ac:dyDescent="0.25">
      <c r="J16" s="1" t="s">
        <v>60</v>
      </c>
      <c r="K16">
        <f ca="1">IF(TODAY()&lt;M13,SUM(INT((WEEKDAY(K13-{2,3,4,5,6})+TODAY()-K13)/7)),SUM(INT((WEEKDAY(K13-{2,3,4,5,6})+M13-K13)/7)))-1/8</f>
        <v>2.875</v>
      </c>
    </row>
    <row r="17" spans="2:21" x14ac:dyDescent="0.25">
      <c r="B17" s="1" t="s">
        <v>23</v>
      </c>
    </row>
    <row r="18" spans="2:21" x14ac:dyDescent="0.25">
      <c r="B18" s="2" t="s">
        <v>0</v>
      </c>
      <c r="C18" s="2" t="s">
        <v>5</v>
      </c>
      <c r="D18" s="2" t="s">
        <v>63</v>
      </c>
      <c r="E18" s="2" t="s">
        <v>25</v>
      </c>
      <c r="F18" s="2" t="s">
        <v>64</v>
      </c>
      <c r="G18" s="2" t="s">
        <v>13</v>
      </c>
      <c r="H18" s="4" t="s">
        <v>14</v>
      </c>
    </row>
    <row r="19" spans="2:21" x14ac:dyDescent="0.25">
      <c r="B19" s="3">
        <v>1</v>
      </c>
      <c r="C19" s="16" t="s">
        <v>3</v>
      </c>
      <c r="D19" s="19">
        <f>SUMIFS($W$48:$W$309,$D$48:$D$309,#REF!,$S$48:$S$309,C19)</f>
        <v>0</v>
      </c>
      <c r="E19" s="19">
        <f>SUMIFS($X$48:$X$309,$D$48:$D$309,#REF!,$S$48:$S$309,C19)-SUM(SUMIFS($X$48:$X$309,$D$48:$D$309,#REF!,$S$48:$S$309,C19,$AA$48:$AA$309,{"Ongoing","N/A",""}))</f>
        <v>0</v>
      </c>
      <c r="F19" s="19">
        <f>1/8*(SUMIFS($Z$48:$Z$309,$D$48:$D$309,#REF!,$S$48:$S$309,C19)-SUM(SUMIFS($Z$48:$Z$309,$D$48:$D$309,#REF!,$S$48:$S$309,C19,$AA$48:$AA$309,{"Ongoing","N/A",""})))</f>
        <v>0</v>
      </c>
      <c r="G19" s="19" t="str">
        <f>IF(ISERROR(E19/(F19)),"N/A",E19/F19)</f>
        <v>N/A</v>
      </c>
      <c r="H19" s="20" t="str">
        <f>IF(ISERROR(E19/D19),"N/A",E19/D19)</f>
        <v>N/A</v>
      </c>
    </row>
    <row r="20" spans="2:21" x14ac:dyDescent="0.25">
      <c r="B20" s="3">
        <v>2</v>
      </c>
      <c r="C20" s="16" t="s">
        <v>36</v>
      </c>
      <c r="D20" s="19">
        <f>SUMIFS($W$48:$W$309,$D$48:$D$309,#REF!,$S$48:$S$309,C20)</f>
        <v>0</v>
      </c>
      <c r="E20" s="19">
        <f>SUMIFS($X$48:$X$309,$D$48:$D$309,#REF!,$S$48:$S$309,C20)-SUM(SUMIFS($X$48:$X$309,$D$48:$D$309,#REF!,$S$48:$S$309,C20,$AA$48:$AA$309,{"Ongoing","N/A",""}))</f>
        <v>0</v>
      </c>
      <c r="F20" s="19">
        <f>1/8*(SUMIFS($Z$48:$Z$309,$D$48:$D$309,#REF!,$S$48:$S$309,C20)-SUM(SUMIFS($Z$48:$Z$309,$D$48:$D$309,#REF!,$S$48:$S$309,C20,$AA$48:$AA$309,{"Ongoing","N/A",""})))</f>
        <v>0</v>
      </c>
      <c r="G20" s="19" t="str">
        <f t="shared" ref="G20:G29" si="2">IF(ISERROR(E20/(F20)),"N/A",E20/F20)</f>
        <v>N/A</v>
      </c>
      <c r="H20" s="20" t="str">
        <f t="shared" ref="H20:H29" si="3">IF(ISERROR(E20/D20),"N/A",E20/D20)</f>
        <v>N/A</v>
      </c>
    </row>
    <row r="21" spans="2:21" x14ac:dyDescent="0.25">
      <c r="B21" s="3">
        <v>3</v>
      </c>
      <c r="C21" s="16" t="s">
        <v>37</v>
      </c>
      <c r="D21" s="19">
        <f>SUMIFS($W$48:$W$309,$D$48:$D$309,#REF!,$S$48:$S$309,C21)</f>
        <v>0</v>
      </c>
      <c r="E21" s="19">
        <f>SUMIFS($X$48:$X$309,$D$48:$D$309,#REF!,$S$48:$S$309,C21)-SUM(SUMIFS($X$48:$X$309,$D$48:$D$309,#REF!,$S$48:$S$309,C21,$AA$48:$AA$309,{"Ongoing","N/A",""}))</f>
        <v>0</v>
      </c>
      <c r="F21" s="19">
        <f>1/8*(SUMIFS($Z$48:$Z$309,$D$48:$D$309,#REF!,$S$48:$S$309,C21)-SUM(SUMIFS($Z$48:$Z$309,$D$48:$D$309,#REF!,$S$48:$S$309,C21,$AA$48:$AA$309,{"Ongoing","N/A",""})))</f>
        <v>0</v>
      </c>
      <c r="G21" s="19" t="str">
        <f t="shared" si="2"/>
        <v>N/A</v>
      </c>
      <c r="H21" s="20" t="str">
        <f t="shared" si="3"/>
        <v>N/A</v>
      </c>
    </row>
    <row r="22" spans="2:21" x14ac:dyDescent="0.25">
      <c r="B22" s="3">
        <v>4</v>
      </c>
      <c r="C22" s="16" t="s">
        <v>38</v>
      </c>
      <c r="D22" s="19">
        <f>SUMIFS($W$48:$W$309,$D$48:$D$309,#REF!,$S$48:$S$309,C22)</f>
        <v>0</v>
      </c>
      <c r="E22" s="19">
        <f>SUMIFS($X$48:$X$309,$D$48:$D$309,#REF!,$S$48:$S$309,C22)-SUM(SUMIFS($X$48:$X$309,$D$48:$D$309,#REF!,$S$48:$S$309,C22,$AA$48:$AA$309,{"Ongoing","N/A",""}))</f>
        <v>0</v>
      </c>
      <c r="F22" s="19">
        <f>1/8*(SUMIFS($Z$48:$Z$309,$D$48:$D$309,#REF!,$S$48:$S$309,C22)-SUM(SUMIFS($Z$48:$Z$309,$D$48:$D$309,#REF!,$S$48:$S$309,C22,$AA$48:$AA$309,{"Ongoing","N/A",""})))</f>
        <v>0</v>
      </c>
      <c r="G22" s="19" t="str">
        <f t="shared" si="2"/>
        <v>N/A</v>
      </c>
      <c r="H22" s="20" t="str">
        <f t="shared" si="3"/>
        <v>N/A</v>
      </c>
    </row>
    <row r="23" spans="2:21" x14ac:dyDescent="0.25">
      <c r="B23" s="3">
        <v>5</v>
      </c>
      <c r="C23" s="16" t="s">
        <v>39</v>
      </c>
      <c r="D23" s="19">
        <f>SUMIFS($W$48:$W$309,$D$48:$D$309,#REF!,$S$48:$S$309,C23)</f>
        <v>0</v>
      </c>
      <c r="E23" s="19">
        <f>SUMIFS($X$48:$X$309,$D$48:$D$309,#REF!,$S$48:$S$309,C23)-SUM(SUMIFS($X$48:$X$309,$D$48:$D$309,#REF!,$S$48:$S$309,C23,$AA$48:$AA$309,{"Ongoing","N/A",""}))</f>
        <v>0</v>
      </c>
      <c r="F23" s="19">
        <f>1/8*(SUMIFS($Z$48:$Z$309,$D$48:$D$309,#REF!,$S$48:$S$309,C23)-SUM(SUMIFS($Z$48:$Z$309,$D$48:$D$309,#REF!,$S$48:$S$309,C23,$AA$48:$AA$309,{"Ongoing","N/A",""})))</f>
        <v>0</v>
      </c>
      <c r="G23" s="19" t="str">
        <f t="shared" si="2"/>
        <v>N/A</v>
      </c>
      <c r="H23" s="20" t="str">
        <f t="shared" si="3"/>
        <v>N/A</v>
      </c>
    </row>
    <row r="24" spans="2:21" x14ac:dyDescent="0.25">
      <c r="B24" s="3">
        <v>6</v>
      </c>
      <c r="C24" s="16" t="s">
        <v>40</v>
      </c>
      <c r="D24" s="19">
        <f>SUMIFS($W$48:$W$309,$D$48:$D$309,#REF!,$S$48:$S$309,C24)</f>
        <v>0</v>
      </c>
      <c r="E24" s="19">
        <f>SUMIFS($X$48:$X$309,$D$48:$D$309,#REF!,$S$48:$S$309,C24)-SUM(SUMIFS($X$48:$X$309,$D$48:$D$309,#REF!,$S$48:$S$309,C24,$AA$48:$AA$309,{"Ongoing","N/A",""}))</f>
        <v>0</v>
      </c>
      <c r="F24" s="19">
        <f>1/8*(SUMIFS($Z$48:$Z$309,$D$48:$D$309,#REF!,$S$48:$S$309,C24)-SUM(SUMIFS($Z$48:$Z$309,$D$48:$D$309,#REF!,$S$48:$S$309,C24,$AA$48:$AA$309,{"Ongoing","N/A",""})))</f>
        <v>0</v>
      </c>
      <c r="G24" s="19" t="str">
        <f t="shared" si="2"/>
        <v>N/A</v>
      </c>
      <c r="H24" s="20" t="str">
        <f t="shared" si="3"/>
        <v>N/A</v>
      </c>
    </row>
    <row r="25" spans="2:21" x14ac:dyDescent="0.25">
      <c r="B25" s="3">
        <v>7</v>
      </c>
      <c r="C25" s="16" t="s">
        <v>41</v>
      </c>
      <c r="D25" s="19">
        <f>SUMIFS($W$48:$W$309,$D$48:$D$309,#REF!,$S$48:$S$309,C25)</f>
        <v>0</v>
      </c>
      <c r="E25" s="19">
        <f>SUMIFS($X$48:$X$309,$D$48:$D$309,#REF!,$S$48:$S$309,C25)-SUM(SUMIFS($X$48:$X$309,$D$48:$D$309,#REF!,$S$48:$S$309,C25,$AA$48:$AA$309,{"Ongoing","N/A",""}))</f>
        <v>0</v>
      </c>
      <c r="F25" s="19">
        <f>1/8*(SUMIFS($Z$48:$Z$309,$D$48:$D$309,#REF!,$S$48:$S$309,C25)-SUM(SUMIFS($Z$48:$Z$309,$D$48:$D$309,#REF!,$S$48:$S$309,C25,$AA$48:$AA$309,{"Ongoing","N/A",""})))</f>
        <v>0</v>
      </c>
      <c r="G25" s="19" t="str">
        <f t="shared" si="2"/>
        <v>N/A</v>
      </c>
      <c r="H25" s="20" t="str">
        <f t="shared" si="3"/>
        <v>N/A</v>
      </c>
    </row>
    <row r="26" spans="2:21" x14ac:dyDescent="0.25">
      <c r="B26" s="3">
        <v>8</v>
      </c>
      <c r="C26" s="16" t="s">
        <v>42</v>
      </c>
      <c r="D26" s="19">
        <f>SUMIFS($W$48:$W$309,$D$48:$D$309,#REF!,$S$48:$S$309,C26)</f>
        <v>0</v>
      </c>
      <c r="E26" s="19">
        <f>SUMIFS($X$48:$X$309,$D$48:$D$309,#REF!,$S$48:$S$309,C26)-SUM(SUMIFS($X$48:$X$309,$D$48:$D$309,#REF!,$S$48:$S$309,C26,$AA$48:$AA$309,{"Ongoing","N/A",""}))</f>
        <v>0</v>
      </c>
      <c r="F26" s="19">
        <f>1/8*(SUMIFS($Z$48:$Z$309,$D$48:$D$309,#REF!,$S$48:$S$309,C26)-SUM(SUMIFS($Z$48:$Z$309,$D$48:$D$309,#REF!,$S$48:$S$309,C26,$AA$48:$AA$309,{"Ongoing","N/A",""})))</f>
        <v>0</v>
      </c>
      <c r="G26" s="19" t="str">
        <f t="shared" si="2"/>
        <v>N/A</v>
      </c>
      <c r="H26" s="20" t="str">
        <f t="shared" si="3"/>
        <v>N/A</v>
      </c>
    </row>
    <row r="27" spans="2:21" x14ac:dyDescent="0.25">
      <c r="B27" s="3">
        <v>9</v>
      </c>
      <c r="C27" s="16" t="s">
        <v>70</v>
      </c>
      <c r="D27" s="19">
        <f>SUMIFS($W$48:$W$309,$D$48:$D$309,#REF!,$S$48:$S$309,C27)</f>
        <v>0</v>
      </c>
      <c r="E27" s="19">
        <f>SUMIFS($X$48:$X$309,$D$48:$D$309,#REF!,$S$48:$S$309,C27)-SUM(SUMIFS($X$48:$X$309,$D$48:$D$309,#REF!,$S$48:$S$309,C27,$AA$48:$AA$309,{"Ongoing","N/A",""}))</f>
        <v>0</v>
      </c>
      <c r="F27" s="19">
        <f>1/8*(SUMIFS($Z$48:$Z$309,$D$48:$D$309,#REF!,$S$48:$S$309,C27)-SUM(SUMIFS($Z$48:$Z$309,$D$48:$D$309,#REF!,$S$48:$S$309,C27,$AA$48:$AA$309,{"Ongoing","N/A",""})))</f>
        <v>0</v>
      </c>
      <c r="G27" s="19" t="str">
        <f t="shared" si="2"/>
        <v>N/A</v>
      </c>
      <c r="H27" s="20" t="str">
        <f t="shared" si="3"/>
        <v>N/A</v>
      </c>
    </row>
    <row r="28" spans="2:21" x14ac:dyDescent="0.25">
      <c r="B28" s="3">
        <v>10</v>
      </c>
      <c r="C28" s="16" t="s">
        <v>71</v>
      </c>
      <c r="D28" s="19">
        <f>SUMIFS($W$48:$W$309,$D$48:$D$309,#REF!,$S$48:$S$309,C28)</f>
        <v>0</v>
      </c>
      <c r="E28" s="19">
        <f>SUMIFS($X$48:$X$309,$D$48:$D$309,#REF!,$S$48:$S$309,C28)-SUM(SUMIFS($X$48:$X$309,$D$48:$D$309,#REF!,$S$48:$S$309,C28,$AA$48:$AA$309,{"Ongoing","N/A",""}))</f>
        <v>0</v>
      </c>
      <c r="F28" s="19">
        <f>1/8*(SUMIFS($Z$48:$Z$309,$D$48:$D$309,#REF!,$S$48:$S$309,C28)-SUM(SUMIFS($Z$48:$Z$309,$D$48:$D$309,#REF!,$S$48:$S$309,C28,$AA$48:$AA$309,{"Ongoing","N/A",""})))</f>
        <v>0</v>
      </c>
      <c r="G28" s="19" t="str">
        <f t="shared" si="2"/>
        <v>N/A</v>
      </c>
      <c r="H28" s="20" t="str">
        <f t="shared" si="3"/>
        <v>N/A</v>
      </c>
    </row>
    <row r="29" spans="2:21" x14ac:dyDescent="0.25">
      <c r="B29" s="2" t="s">
        <v>58</v>
      </c>
      <c r="C29" s="15"/>
      <c r="D29" s="21">
        <f>ROUND(SUMIFS($W$48:$W$309,$D$48:$D$309,#REF!),3)</f>
        <v>0</v>
      </c>
      <c r="E29" s="21">
        <f>ROUND(SUMIFS($W$48:$W$309,$D$48:$D$309,#REF!)-SUM(SUMIFS($W$48:$W$309,$D$48:$D$309,#REF!,$AA$48:$AA$309,{"Ongoing","N/A",""})),3)</f>
        <v>0</v>
      </c>
      <c r="F29" s="21">
        <f>1/8*(SUMIFS($Z$48:$Z$309,$D$48:$D$309,#REF!)-SUM(SUMIFS($Z$48:$Z$309,$D$48:$D$309,#REF!,$AA$48:$AA$309,{"Ongoing","N/A",""})))</f>
        <v>0</v>
      </c>
      <c r="G29" s="19" t="str">
        <f t="shared" si="2"/>
        <v>N/A</v>
      </c>
      <c r="H29" s="20" t="str">
        <f t="shared" si="3"/>
        <v>N/A</v>
      </c>
      <c r="U29" s="5"/>
    </row>
    <row r="32" spans="2:21" x14ac:dyDescent="0.25">
      <c r="B32" s="1" t="s">
        <v>59</v>
      </c>
    </row>
    <row r="33" spans="2:39" x14ac:dyDescent="0.25">
      <c r="B33" s="2" t="s">
        <v>0</v>
      </c>
      <c r="C33" s="2" t="s">
        <v>5</v>
      </c>
      <c r="D33" s="2" t="s">
        <v>63</v>
      </c>
      <c r="E33" s="2" t="s">
        <v>25</v>
      </c>
      <c r="F33" s="2" t="s">
        <v>57</v>
      </c>
      <c r="G33" s="2" t="s">
        <v>13</v>
      </c>
      <c r="H33" s="4" t="s">
        <v>14</v>
      </c>
    </row>
    <row r="34" spans="2:39" x14ac:dyDescent="0.25">
      <c r="B34" s="3">
        <v>1</v>
      </c>
      <c r="C34" s="16" t="s">
        <v>3</v>
      </c>
      <c r="D34" s="19" t="e">
        <f>SUM(D19*#REF!/#REF!,D4)</f>
        <v>#REF!</v>
      </c>
      <c r="E34" s="19" t="e">
        <f>SUM(E19*#REF!/#REF!,E4)</f>
        <v>#REF!</v>
      </c>
      <c r="F34" s="19">
        <f t="shared" ref="F34:F43" ca="1" si="4">$K$16</f>
        <v>2.875</v>
      </c>
      <c r="G34" s="19" t="str">
        <f t="shared" ref="G34:G44" ca="1" si="5">IF(ISERROR(E34/(F34)),"N/A",E34/F34)</f>
        <v>N/A</v>
      </c>
      <c r="H34" s="20" t="str">
        <f t="shared" ref="H34:H44" si="6">IF(ISERROR(E34/D34),"N/A",E34/D34)</f>
        <v>N/A</v>
      </c>
    </row>
    <row r="35" spans="2:39" x14ac:dyDescent="0.25">
      <c r="B35" s="3">
        <v>2</v>
      </c>
      <c r="C35" s="16" t="s">
        <v>36</v>
      </c>
      <c r="D35" s="19" t="e">
        <f>SUM(D20*#REF!/#REF!,D5)</f>
        <v>#REF!</v>
      </c>
      <c r="E35" s="19" t="e">
        <f>SUM(E20*#REF!/#REF!,E5)</f>
        <v>#REF!</v>
      </c>
      <c r="F35" s="19">
        <f t="shared" ca="1" si="4"/>
        <v>2.875</v>
      </c>
      <c r="G35" s="19" t="str">
        <f t="shared" ca="1" si="5"/>
        <v>N/A</v>
      </c>
      <c r="H35" s="20" t="str">
        <f t="shared" si="6"/>
        <v>N/A</v>
      </c>
    </row>
    <row r="36" spans="2:39" x14ac:dyDescent="0.25">
      <c r="B36" s="3">
        <v>3</v>
      </c>
      <c r="C36" s="16" t="s">
        <v>37</v>
      </c>
      <c r="D36" s="19" t="e">
        <f>SUM(D21*#REF!/#REF!,D6)</f>
        <v>#REF!</v>
      </c>
      <c r="E36" s="19" t="e">
        <f>SUM(E21*#REF!/#REF!,E6)</f>
        <v>#REF!</v>
      </c>
      <c r="F36" s="19">
        <f t="shared" ca="1" si="4"/>
        <v>2.875</v>
      </c>
      <c r="G36" s="19" t="str">
        <f t="shared" ca="1" si="5"/>
        <v>N/A</v>
      </c>
      <c r="H36" s="20" t="str">
        <f t="shared" si="6"/>
        <v>N/A</v>
      </c>
    </row>
    <row r="37" spans="2:39" x14ac:dyDescent="0.25">
      <c r="B37" s="3">
        <v>4</v>
      </c>
      <c r="C37" s="16" t="s">
        <v>38</v>
      </c>
      <c r="D37" s="19" t="e">
        <f>SUM(D22*#REF!/#REF!,D7)</f>
        <v>#REF!</v>
      </c>
      <c r="E37" s="19" t="e">
        <f>SUM(E22*#REF!/#REF!,E7)</f>
        <v>#REF!</v>
      </c>
      <c r="F37" s="19">
        <f t="shared" ca="1" si="4"/>
        <v>2.875</v>
      </c>
      <c r="G37" s="19" t="str">
        <f t="shared" ca="1" si="5"/>
        <v>N/A</v>
      </c>
      <c r="H37" s="20" t="str">
        <f t="shared" si="6"/>
        <v>N/A</v>
      </c>
    </row>
    <row r="38" spans="2:39" x14ac:dyDescent="0.25">
      <c r="B38" s="3">
        <v>5</v>
      </c>
      <c r="C38" s="16" t="s">
        <v>39</v>
      </c>
      <c r="D38" s="19" t="e">
        <f>SUM(D23*#REF!/#REF!,D8)</f>
        <v>#REF!</v>
      </c>
      <c r="E38" s="19" t="e">
        <f>SUM(E23*#REF!/#REF!,E8)</f>
        <v>#REF!</v>
      </c>
      <c r="F38" s="19">
        <f t="shared" ca="1" si="4"/>
        <v>2.875</v>
      </c>
      <c r="G38" s="19" t="str">
        <f t="shared" ca="1" si="5"/>
        <v>N/A</v>
      </c>
      <c r="H38" s="20" t="str">
        <f t="shared" si="6"/>
        <v>N/A</v>
      </c>
    </row>
    <row r="39" spans="2:39" x14ac:dyDescent="0.25">
      <c r="B39" s="3">
        <v>6</v>
      </c>
      <c r="C39" s="16" t="s">
        <v>40</v>
      </c>
      <c r="D39" s="19" t="e">
        <f>SUM(D24*#REF!/#REF!,D9)</f>
        <v>#REF!</v>
      </c>
      <c r="E39" s="19" t="e">
        <f>SUM(E24*#REF!/#REF!,E9)</f>
        <v>#REF!</v>
      </c>
      <c r="F39" s="19">
        <f t="shared" ca="1" si="4"/>
        <v>2.875</v>
      </c>
      <c r="G39" s="19" t="str">
        <f t="shared" ca="1" si="5"/>
        <v>N/A</v>
      </c>
      <c r="H39" s="20" t="str">
        <f t="shared" si="6"/>
        <v>N/A</v>
      </c>
    </row>
    <row r="40" spans="2:39" x14ac:dyDescent="0.25">
      <c r="B40" s="3">
        <v>7</v>
      </c>
      <c r="C40" s="16" t="s">
        <v>41</v>
      </c>
      <c r="D40" s="19" t="e">
        <f>SUM(D25*#REF!/#REF!,D10)</f>
        <v>#REF!</v>
      </c>
      <c r="E40" s="19" t="e">
        <f>SUM(E25*#REF!/#REF!,E10)</f>
        <v>#REF!</v>
      </c>
      <c r="F40" s="19">
        <f t="shared" ca="1" si="4"/>
        <v>2.875</v>
      </c>
      <c r="G40" s="19" t="str">
        <f t="shared" ca="1" si="5"/>
        <v>N/A</v>
      </c>
      <c r="H40" s="20" t="str">
        <f t="shared" si="6"/>
        <v>N/A</v>
      </c>
    </row>
    <row r="41" spans="2:39" x14ac:dyDescent="0.25">
      <c r="B41" s="3">
        <v>8</v>
      </c>
      <c r="C41" s="16" t="s">
        <v>42</v>
      </c>
      <c r="D41" s="19" t="e">
        <f>SUM(D26*#REF!/#REF!,D11)</f>
        <v>#REF!</v>
      </c>
      <c r="E41" s="19" t="e">
        <f>SUM(E26*#REF!/#REF!,E11)</f>
        <v>#REF!</v>
      </c>
      <c r="F41" s="19">
        <f t="shared" ca="1" si="4"/>
        <v>2.875</v>
      </c>
      <c r="G41" s="19" t="str">
        <f t="shared" ca="1" si="5"/>
        <v>N/A</v>
      </c>
      <c r="H41" s="20" t="str">
        <f t="shared" si="6"/>
        <v>N/A</v>
      </c>
    </row>
    <row r="42" spans="2:39" x14ac:dyDescent="0.25">
      <c r="B42" s="3">
        <v>9</v>
      </c>
      <c r="C42" s="16" t="s">
        <v>70</v>
      </c>
      <c r="D42" s="19" t="e">
        <f>SUM(D27*#REF!/#REF!,D12)</f>
        <v>#REF!</v>
      </c>
      <c r="E42" s="19" t="e">
        <f>SUM(E27*#REF!/#REF!,E12)</f>
        <v>#REF!</v>
      </c>
      <c r="F42" s="19">
        <f t="shared" ca="1" si="4"/>
        <v>2.875</v>
      </c>
      <c r="G42" s="19" t="str">
        <f t="shared" ca="1" si="5"/>
        <v>N/A</v>
      </c>
      <c r="H42" s="20" t="str">
        <f t="shared" si="6"/>
        <v>N/A</v>
      </c>
    </row>
    <row r="43" spans="2:39" x14ac:dyDescent="0.25">
      <c r="B43" s="3">
        <v>10</v>
      </c>
      <c r="C43" s="16" t="s">
        <v>71</v>
      </c>
      <c r="D43" s="19" t="e">
        <f>SUM(D28*#REF!/#REF!,D13)</f>
        <v>#REF!</v>
      </c>
      <c r="E43" s="19" t="e">
        <f>SUM(E28*#REF!/#REF!,E13)</f>
        <v>#REF!</v>
      </c>
      <c r="F43" s="19">
        <f t="shared" ca="1" si="4"/>
        <v>2.875</v>
      </c>
      <c r="G43" s="19" t="str">
        <f t="shared" ca="1" si="5"/>
        <v>N/A</v>
      </c>
      <c r="H43" s="20" t="str">
        <f t="shared" si="6"/>
        <v>N/A</v>
      </c>
    </row>
    <row r="44" spans="2:39" x14ac:dyDescent="0.25">
      <c r="B44" s="2" t="s">
        <v>58</v>
      </c>
      <c r="C44" s="15"/>
      <c r="D44" s="19" t="e">
        <f>SUM(D34:D43)</f>
        <v>#REF!</v>
      </c>
      <c r="E44" s="19" t="e">
        <f>SUM(E34:E43)</f>
        <v>#REF!</v>
      </c>
      <c r="F44" s="19">
        <f ca="1">$K$16*5</f>
        <v>14.375</v>
      </c>
      <c r="G44" s="19" t="str">
        <f t="shared" ca="1" si="5"/>
        <v>N/A</v>
      </c>
      <c r="H44" s="20" t="str">
        <f t="shared" si="6"/>
        <v>N/A</v>
      </c>
    </row>
    <row r="47" spans="2:39" x14ac:dyDescent="0.25">
      <c r="B47" s="2" t="s">
        <v>0</v>
      </c>
      <c r="C47" s="2" t="s">
        <v>35</v>
      </c>
      <c r="D47" s="2" t="s">
        <v>1</v>
      </c>
      <c r="E47" s="2" t="s">
        <v>28</v>
      </c>
      <c r="F47" s="2" t="s">
        <v>29</v>
      </c>
      <c r="G47" s="2" t="s">
        <v>72</v>
      </c>
      <c r="H47" s="2" t="s">
        <v>62</v>
      </c>
      <c r="I47" s="2" t="s">
        <v>30</v>
      </c>
      <c r="J47" s="2" t="s">
        <v>61</v>
      </c>
      <c r="K47" s="2" t="s">
        <v>73</v>
      </c>
      <c r="L47" s="2" t="s">
        <v>44</v>
      </c>
      <c r="M47" s="2" t="s">
        <v>75</v>
      </c>
      <c r="N47" s="2" t="s">
        <v>43</v>
      </c>
      <c r="O47" s="2" t="s">
        <v>34</v>
      </c>
      <c r="P47" s="2" t="s">
        <v>51</v>
      </c>
      <c r="Q47" s="7" t="s">
        <v>27</v>
      </c>
      <c r="R47" s="4" t="s">
        <v>4</v>
      </c>
      <c r="S47" s="4" t="s">
        <v>5</v>
      </c>
      <c r="T47" s="4" t="s">
        <v>49</v>
      </c>
      <c r="U47" s="4" t="s">
        <v>53</v>
      </c>
      <c r="V47" s="4" t="s">
        <v>46</v>
      </c>
      <c r="W47" s="4" t="s">
        <v>47</v>
      </c>
      <c r="X47" s="4" t="s">
        <v>25</v>
      </c>
      <c r="Y47" s="4" t="s">
        <v>50</v>
      </c>
      <c r="Z47" s="4" t="s">
        <v>26</v>
      </c>
      <c r="AA47" s="4" t="s">
        <v>11</v>
      </c>
      <c r="AB47" s="4" t="s">
        <v>31</v>
      </c>
      <c r="AC47" s="4" t="s">
        <v>32</v>
      </c>
      <c r="AD47" s="2" t="s">
        <v>6</v>
      </c>
      <c r="AE47" s="2" t="s">
        <v>7</v>
      </c>
      <c r="AF47" s="2" t="s">
        <v>48</v>
      </c>
      <c r="AG47" s="2" t="s">
        <v>8</v>
      </c>
      <c r="AH47" s="2" t="s">
        <v>9</v>
      </c>
      <c r="AI47" s="4" t="s">
        <v>10</v>
      </c>
      <c r="AJ47" s="4" t="s">
        <v>74</v>
      </c>
      <c r="AK47" s="4" t="s">
        <v>67</v>
      </c>
      <c r="AL47" s="4" t="s">
        <v>66</v>
      </c>
      <c r="AM47" s="4" t="s">
        <v>52</v>
      </c>
    </row>
    <row r="48" spans="2:39" x14ac:dyDescent="0.25">
      <c r="B48" s="23">
        <v>1</v>
      </c>
      <c r="C48" s="9">
        <v>20200414</v>
      </c>
      <c r="D48" s="8" t="s">
        <v>2</v>
      </c>
      <c r="E48" s="8"/>
      <c r="F48" s="10"/>
      <c r="G48" s="10">
        <v>1415974</v>
      </c>
      <c r="H48" s="38" t="s">
        <v>33</v>
      </c>
      <c r="I48" s="8"/>
      <c r="J48" s="38" t="s">
        <v>33</v>
      </c>
      <c r="K48" s="8"/>
      <c r="L48" s="8"/>
      <c r="M48" s="8"/>
      <c r="N48" s="8"/>
      <c r="O48" s="10"/>
      <c r="P48" s="10"/>
      <c r="Q48" s="11"/>
      <c r="R48" s="38" t="s">
        <v>33</v>
      </c>
      <c r="S48" s="8" t="s">
        <v>3</v>
      </c>
      <c r="T48" s="8"/>
      <c r="U48" s="8"/>
      <c r="V48" s="8">
        <v>62</v>
      </c>
      <c r="W48" s="8">
        <f>V48</f>
        <v>62</v>
      </c>
      <c r="X48" s="8">
        <f>W48</f>
        <v>62</v>
      </c>
      <c r="Y48" s="8" t="e">
        <f>ROUNDDOWN(W48/HLOOKUP(D48,#REF!,2,0)*8,2)</f>
        <v>#REF!</v>
      </c>
      <c r="Z48" s="8">
        <v>2</v>
      </c>
      <c r="AA48" s="8" t="s">
        <v>12</v>
      </c>
      <c r="AB48" s="12">
        <v>43935</v>
      </c>
      <c r="AC48" s="12">
        <v>43938</v>
      </c>
      <c r="AD48" s="12">
        <v>43935</v>
      </c>
      <c r="AE48" s="12">
        <v>43935</v>
      </c>
      <c r="AF48" s="14" t="s">
        <v>54</v>
      </c>
      <c r="AG48" s="17">
        <v>1</v>
      </c>
      <c r="AH48" s="17">
        <v>1</v>
      </c>
      <c r="AI48" s="17">
        <v>1</v>
      </c>
      <c r="AJ48" s="14" t="s">
        <v>76</v>
      </c>
      <c r="AK48" s="8"/>
      <c r="AL48" s="8"/>
      <c r="AM48" s="8"/>
    </row>
    <row r="49" spans="2:39" x14ac:dyDescent="0.25">
      <c r="B49" s="23">
        <v>2</v>
      </c>
      <c r="C49" s="9">
        <v>20200414</v>
      </c>
      <c r="D49" s="8" t="s">
        <v>2</v>
      </c>
      <c r="E49" s="8"/>
      <c r="F49" s="10"/>
      <c r="G49" s="10">
        <v>1415974</v>
      </c>
      <c r="H49" s="38" t="s">
        <v>33</v>
      </c>
      <c r="I49" s="8"/>
      <c r="J49" s="38" t="s">
        <v>33</v>
      </c>
      <c r="K49" s="8"/>
      <c r="L49" s="8"/>
      <c r="M49" s="8"/>
      <c r="N49" s="8"/>
      <c r="O49" s="10"/>
      <c r="P49" s="10"/>
      <c r="Q49" s="11"/>
      <c r="R49" s="38" t="s">
        <v>33</v>
      </c>
      <c r="S49" s="8" t="s">
        <v>3</v>
      </c>
      <c r="T49" s="8"/>
      <c r="U49" s="8"/>
      <c r="V49" s="8">
        <v>22</v>
      </c>
      <c r="W49" s="8">
        <f t="shared" ref="W49:W112" si="7">V49</f>
        <v>22</v>
      </c>
      <c r="X49" s="8">
        <f t="shared" ref="X49:X57" si="8">W49</f>
        <v>22</v>
      </c>
      <c r="Y49" s="8" t="e">
        <f>ROUNDDOWN(W49/HLOOKUP(D49,#REF!,2,0)*8,2)</f>
        <v>#REF!</v>
      </c>
      <c r="Z49" s="8">
        <v>0.5</v>
      </c>
      <c r="AA49" s="8" t="s">
        <v>12</v>
      </c>
      <c r="AB49" s="12">
        <v>43935</v>
      </c>
      <c r="AC49" s="12">
        <v>43938</v>
      </c>
      <c r="AD49" s="12">
        <v>43936</v>
      </c>
      <c r="AE49" s="12">
        <v>43936</v>
      </c>
      <c r="AF49" s="14" t="s">
        <v>54</v>
      </c>
      <c r="AG49" s="17">
        <v>1</v>
      </c>
      <c r="AH49" s="17">
        <v>1</v>
      </c>
      <c r="AI49" s="17">
        <v>1</v>
      </c>
      <c r="AJ49" s="14" t="s">
        <v>76</v>
      </c>
      <c r="AK49" s="8"/>
      <c r="AL49" s="8"/>
      <c r="AM49" s="8"/>
    </row>
    <row r="50" spans="2:39" x14ac:dyDescent="0.25">
      <c r="B50" s="23">
        <v>3</v>
      </c>
      <c r="C50" s="9">
        <v>20200414</v>
      </c>
      <c r="D50" s="8" t="s">
        <v>2</v>
      </c>
      <c r="E50" s="8"/>
      <c r="F50" s="10"/>
      <c r="G50" s="10">
        <v>1415974</v>
      </c>
      <c r="H50" s="38" t="s">
        <v>33</v>
      </c>
      <c r="I50" s="8"/>
      <c r="J50" s="38" t="s">
        <v>33</v>
      </c>
      <c r="K50" s="8"/>
      <c r="L50" s="8"/>
      <c r="M50" s="8"/>
      <c r="N50" s="8"/>
      <c r="O50" s="10"/>
      <c r="P50" s="10"/>
      <c r="Q50" s="11"/>
      <c r="R50" s="38" t="s">
        <v>33</v>
      </c>
      <c r="S50" s="8" t="s">
        <v>3</v>
      </c>
      <c r="T50" s="8"/>
      <c r="U50" s="8"/>
      <c r="V50" s="8">
        <v>26</v>
      </c>
      <c r="W50" s="8">
        <f t="shared" si="7"/>
        <v>26</v>
      </c>
      <c r="X50" s="8">
        <f t="shared" si="8"/>
        <v>26</v>
      </c>
      <c r="Y50" s="8" t="e">
        <f>ROUNDDOWN(W50/HLOOKUP(D50,#REF!,2,0)*8,2)</f>
        <v>#REF!</v>
      </c>
      <c r="Z50" s="8">
        <v>0.5</v>
      </c>
      <c r="AA50" s="8" t="s">
        <v>12</v>
      </c>
      <c r="AB50" s="12">
        <v>43935</v>
      </c>
      <c r="AC50" s="12">
        <v>43938</v>
      </c>
      <c r="AD50" s="12">
        <v>43936</v>
      </c>
      <c r="AE50" s="12">
        <v>43936</v>
      </c>
      <c r="AF50" s="14" t="s">
        <v>54</v>
      </c>
      <c r="AG50" s="17">
        <v>1</v>
      </c>
      <c r="AH50" s="17">
        <v>1</v>
      </c>
      <c r="AI50" s="17">
        <v>1</v>
      </c>
      <c r="AJ50" s="14" t="s">
        <v>76</v>
      </c>
      <c r="AK50" s="8"/>
      <c r="AL50" s="8"/>
      <c r="AM50" s="8"/>
    </row>
    <row r="51" spans="2:39" x14ac:dyDescent="0.25">
      <c r="B51" s="23">
        <v>4</v>
      </c>
      <c r="C51" s="9">
        <v>20200414</v>
      </c>
      <c r="D51" s="8" t="s">
        <v>2</v>
      </c>
      <c r="E51" s="8"/>
      <c r="F51" s="10"/>
      <c r="G51" s="10">
        <v>1415974</v>
      </c>
      <c r="H51" s="38" t="s">
        <v>33</v>
      </c>
      <c r="I51" s="8"/>
      <c r="J51" s="38" t="s">
        <v>33</v>
      </c>
      <c r="K51" s="8"/>
      <c r="L51" s="8"/>
      <c r="M51" s="8"/>
      <c r="N51" s="8"/>
      <c r="O51" s="10"/>
      <c r="P51" s="10"/>
      <c r="Q51" s="11"/>
      <c r="R51" s="38" t="s">
        <v>33</v>
      </c>
      <c r="S51" s="8" t="s">
        <v>3</v>
      </c>
      <c r="T51" s="8"/>
      <c r="U51" s="8"/>
      <c r="V51" s="8">
        <v>35</v>
      </c>
      <c r="W51" s="8">
        <f t="shared" si="7"/>
        <v>35</v>
      </c>
      <c r="X51" s="8">
        <f t="shared" si="8"/>
        <v>35</v>
      </c>
      <c r="Y51" s="8" t="e">
        <f>ROUNDDOWN(W51/HLOOKUP(D51,#REF!,2,0)*8,2)</f>
        <v>#REF!</v>
      </c>
      <c r="Z51" s="8">
        <v>1</v>
      </c>
      <c r="AA51" s="8" t="s">
        <v>12</v>
      </c>
      <c r="AB51" s="12">
        <v>43935</v>
      </c>
      <c r="AC51" s="12">
        <v>43938</v>
      </c>
      <c r="AD51" s="12">
        <v>43936</v>
      </c>
      <c r="AE51" s="12">
        <v>43936</v>
      </c>
      <c r="AF51" s="14" t="s">
        <v>54</v>
      </c>
      <c r="AG51" s="17">
        <v>1</v>
      </c>
      <c r="AH51" s="17">
        <v>1</v>
      </c>
      <c r="AI51" s="17">
        <v>1</v>
      </c>
      <c r="AJ51" s="14" t="s">
        <v>76</v>
      </c>
      <c r="AK51" s="8"/>
      <c r="AL51" s="8"/>
      <c r="AM51" s="8"/>
    </row>
    <row r="52" spans="2:39" x14ac:dyDescent="0.25">
      <c r="B52" s="23">
        <v>5</v>
      </c>
      <c r="C52" s="9">
        <v>20200414</v>
      </c>
      <c r="D52" s="8" t="s">
        <v>2</v>
      </c>
      <c r="E52" s="8"/>
      <c r="F52" s="10"/>
      <c r="G52" s="10">
        <v>1415974</v>
      </c>
      <c r="H52" s="38" t="s">
        <v>33</v>
      </c>
      <c r="I52" s="8"/>
      <c r="J52" s="38" t="s">
        <v>33</v>
      </c>
      <c r="K52" s="8"/>
      <c r="L52" s="8"/>
      <c r="M52" s="8"/>
      <c r="N52" s="8"/>
      <c r="O52" s="10"/>
      <c r="P52" s="10"/>
      <c r="Q52" s="11"/>
      <c r="R52" s="38" t="s">
        <v>33</v>
      </c>
      <c r="S52" s="8" t="s">
        <v>3</v>
      </c>
      <c r="T52" s="8"/>
      <c r="U52" s="8"/>
      <c r="V52" s="8">
        <v>101</v>
      </c>
      <c r="W52" s="8">
        <f t="shared" si="7"/>
        <v>101</v>
      </c>
      <c r="X52" s="8">
        <f t="shared" si="8"/>
        <v>101</v>
      </c>
      <c r="Y52" s="8" t="e">
        <f>ROUNDDOWN(W52/HLOOKUP(D52,#REF!,2,0)*8,2)</f>
        <v>#REF!</v>
      </c>
      <c r="Z52" s="8">
        <v>1</v>
      </c>
      <c r="AA52" s="8" t="s">
        <v>12</v>
      </c>
      <c r="AB52" s="12">
        <v>43935</v>
      </c>
      <c r="AC52" s="12">
        <v>43938</v>
      </c>
      <c r="AD52" s="12">
        <v>43936</v>
      </c>
      <c r="AE52" s="12">
        <v>43936</v>
      </c>
      <c r="AF52" s="14" t="s">
        <v>54</v>
      </c>
      <c r="AG52" s="17">
        <v>1</v>
      </c>
      <c r="AH52" s="17">
        <v>1</v>
      </c>
      <c r="AI52" s="17">
        <v>1</v>
      </c>
      <c r="AJ52" s="14" t="s">
        <v>76</v>
      </c>
      <c r="AK52" s="8"/>
      <c r="AL52" s="8"/>
      <c r="AM52" s="8"/>
    </row>
    <row r="53" spans="2:39" x14ac:dyDescent="0.25">
      <c r="B53" s="23">
        <v>6</v>
      </c>
      <c r="C53" s="9">
        <v>20200414</v>
      </c>
      <c r="D53" s="8" t="s">
        <v>2</v>
      </c>
      <c r="E53" s="8"/>
      <c r="F53" s="10"/>
      <c r="G53" s="10">
        <v>1415974</v>
      </c>
      <c r="H53" s="38" t="s">
        <v>33</v>
      </c>
      <c r="I53" s="8"/>
      <c r="J53" s="38" t="s">
        <v>33</v>
      </c>
      <c r="K53" s="8"/>
      <c r="L53" s="8"/>
      <c r="M53" s="8"/>
      <c r="N53" s="8"/>
      <c r="O53" s="10"/>
      <c r="P53" s="10"/>
      <c r="Q53" s="11"/>
      <c r="R53" s="38" t="s">
        <v>33</v>
      </c>
      <c r="S53" s="8" t="s">
        <v>3</v>
      </c>
      <c r="T53" s="8"/>
      <c r="U53" s="8"/>
      <c r="V53" s="8">
        <v>67</v>
      </c>
      <c r="W53" s="8">
        <f t="shared" si="7"/>
        <v>67</v>
      </c>
      <c r="X53" s="8">
        <f t="shared" si="8"/>
        <v>67</v>
      </c>
      <c r="Y53" s="8" t="e">
        <f>ROUNDDOWN(W53/HLOOKUP(D53,#REF!,2,0)*8,2)</f>
        <v>#REF!</v>
      </c>
      <c r="Z53" s="8">
        <v>1</v>
      </c>
      <c r="AA53" s="8" t="s">
        <v>12</v>
      </c>
      <c r="AB53" s="12">
        <v>43935</v>
      </c>
      <c r="AC53" s="12">
        <v>43938</v>
      </c>
      <c r="AD53" s="12">
        <v>43936</v>
      </c>
      <c r="AE53" s="12">
        <v>43936</v>
      </c>
      <c r="AF53" s="14" t="s">
        <v>54</v>
      </c>
      <c r="AG53" s="17">
        <v>1</v>
      </c>
      <c r="AH53" s="17">
        <v>1</v>
      </c>
      <c r="AI53" s="17">
        <v>1</v>
      </c>
      <c r="AJ53" s="14" t="s">
        <v>76</v>
      </c>
      <c r="AK53" s="8"/>
      <c r="AL53" s="8"/>
      <c r="AM53" s="8"/>
    </row>
    <row r="54" spans="2:39" x14ac:dyDescent="0.25">
      <c r="B54" s="23">
        <v>7</v>
      </c>
      <c r="C54" s="9">
        <v>20200414</v>
      </c>
      <c r="D54" s="8" t="s">
        <v>2</v>
      </c>
      <c r="E54" s="8"/>
      <c r="F54" s="10"/>
      <c r="G54" s="10">
        <v>1415974</v>
      </c>
      <c r="H54" s="38" t="s">
        <v>33</v>
      </c>
      <c r="I54" s="8"/>
      <c r="J54" s="38" t="s">
        <v>33</v>
      </c>
      <c r="K54" s="8"/>
      <c r="L54" s="8"/>
      <c r="M54" s="8"/>
      <c r="N54" s="8"/>
      <c r="O54" s="10"/>
      <c r="P54" s="10"/>
      <c r="Q54" s="11"/>
      <c r="R54" s="38" t="s">
        <v>33</v>
      </c>
      <c r="S54" s="8" t="s">
        <v>3</v>
      </c>
      <c r="T54" s="8"/>
      <c r="U54" s="8"/>
      <c r="V54" s="8">
        <v>137</v>
      </c>
      <c r="W54" s="8">
        <f t="shared" si="7"/>
        <v>137</v>
      </c>
      <c r="X54" s="8">
        <f t="shared" si="8"/>
        <v>137</v>
      </c>
      <c r="Y54" s="8" t="e">
        <f>ROUNDDOWN(W54/HLOOKUP(D54,#REF!,2,0)*8,2)</f>
        <v>#REF!</v>
      </c>
      <c r="Z54" s="8">
        <v>1</v>
      </c>
      <c r="AA54" s="8" t="s">
        <v>12</v>
      </c>
      <c r="AB54" s="12">
        <v>43935</v>
      </c>
      <c r="AC54" s="12">
        <v>43938</v>
      </c>
      <c r="AD54" s="12">
        <v>43936</v>
      </c>
      <c r="AE54" s="12">
        <v>43936</v>
      </c>
      <c r="AF54" s="14" t="s">
        <v>54</v>
      </c>
      <c r="AG54" s="17">
        <v>1</v>
      </c>
      <c r="AH54" s="17">
        <v>1</v>
      </c>
      <c r="AI54" s="17">
        <v>1</v>
      </c>
      <c r="AJ54" s="14" t="s">
        <v>76</v>
      </c>
      <c r="AK54" s="8"/>
      <c r="AL54" s="8"/>
      <c r="AM54" s="8"/>
    </row>
    <row r="55" spans="2:39" x14ac:dyDescent="0.25">
      <c r="B55" s="23">
        <v>8</v>
      </c>
      <c r="C55" s="9">
        <v>20200414</v>
      </c>
      <c r="D55" s="8" t="s">
        <v>2</v>
      </c>
      <c r="E55" s="8"/>
      <c r="F55" s="10"/>
      <c r="G55" s="10">
        <v>1415974</v>
      </c>
      <c r="H55" s="38" t="s">
        <v>33</v>
      </c>
      <c r="I55" s="8"/>
      <c r="J55" s="38" t="s">
        <v>33</v>
      </c>
      <c r="K55" s="8"/>
      <c r="L55" s="8"/>
      <c r="M55" s="8"/>
      <c r="N55" s="8"/>
      <c r="O55" s="10"/>
      <c r="P55" s="10"/>
      <c r="Q55" s="11"/>
      <c r="R55" s="38" t="s">
        <v>33</v>
      </c>
      <c r="S55" s="8" t="s">
        <v>3</v>
      </c>
      <c r="T55" s="8"/>
      <c r="U55" s="8"/>
      <c r="V55" s="8">
        <v>160</v>
      </c>
      <c r="W55" s="8">
        <f t="shared" si="7"/>
        <v>160</v>
      </c>
      <c r="X55" s="8">
        <f t="shared" si="8"/>
        <v>160</v>
      </c>
      <c r="Y55" s="8" t="e">
        <f>ROUNDDOWN(W55/HLOOKUP(D55,#REF!,2,0)*8,2)</f>
        <v>#REF!</v>
      </c>
      <c r="Z55" s="8">
        <v>1</v>
      </c>
      <c r="AA55" s="8" t="s">
        <v>12</v>
      </c>
      <c r="AB55" s="12">
        <v>43935</v>
      </c>
      <c r="AC55" s="12">
        <v>43938</v>
      </c>
      <c r="AD55" s="12">
        <v>43936</v>
      </c>
      <c r="AE55" s="12">
        <v>43936</v>
      </c>
      <c r="AF55" s="14" t="s">
        <v>54</v>
      </c>
      <c r="AG55" s="17">
        <v>1</v>
      </c>
      <c r="AH55" s="17">
        <v>1</v>
      </c>
      <c r="AI55" s="17">
        <v>1</v>
      </c>
      <c r="AJ55" s="14" t="s">
        <v>76</v>
      </c>
      <c r="AK55" s="8"/>
      <c r="AL55" s="8"/>
      <c r="AM55" s="8"/>
    </row>
    <row r="56" spans="2:39" x14ac:dyDescent="0.25">
      <c r="B56" s="23">
        <v>9</v>
      </c>
      <c r="C56" s="9">
        <v>20200414</v>
      </c>
      <c r="D56" s="8" t="s">
        <v>2</v>
      </c>
      <c r="E56" s="8"/>
      <c r="F56" s="10"/>
      <c r="G56" s="10">
        <v>1415974</v>
      </c>
      <c r="H56" s="38" t="s">
        <v>33</v>
      </c>
      <c r="I56" s="8"/>
      <c r="J56" s="38" t="s">
        <v>33</v>
      </c>
      <c r="K56" s="8"/>
      <c r="L56" s="8"/>
      <c r="M56" s="8"/>
      <c r="N56" s="8"/>
      <c r="O56" s="10"/>
      <c r="P56" s="10"/>
      <c r="Q56" s="11"/>
      <c r="R56" s="38" t="s">
        <v>33</v>
      </c>
      <c r="S56" s="8" t="s">
        <v>3</v>
      </c>
      <c r="T56" s="8"/>
      <c r="U56" s="8"/>
      <c r="V56" s="8">
        <v>138</v>
      </c>
      <c r="W56" s="8">
        <f t="shared" si="7"/>
        <v>138</v>
      </c>
      <c r="X56" s="8">
        <f t="shared" si="8"/>
        <v>138</v>
      </c>
      <c r="Y56" s="8" t="e">
        <f>ROUNDDOWN(W56/HLOOKUP(D56,#REF!,2,0)*8,2)</f>
        <v>#REF!</v>
      </c>
      <c r="Z56" s="8">
        <v>1</v>
      </c>
      <c r="AA56" s="8" t="s">
        <v>12</v>
      </c>
      <c r="AB56" s="12">
        <v>43935</v>
      </c>
      <c r="AC56" s="12">
        <v>43938</v>
      </c>
      <c r="AD56" s="12">
        <v>43936</v>
      </c>
      <c r="AE56" s="12">
        <v>43936</v>
      </c>
      <c r="AF56" s="14" t="s">
        <v>54</v>
      </c>
      <c r="AG56" s="17">
        <v>1</v>
      </c>
      <c r="AH56" s="17">
        <v>1</v>
      </c>
      <c r="AI56" s="17">
        <v>1</v>
      </c>
      <c r="AJ56" s="14" t="s">
        <v>76</v>
      </c>
      <c r="AK56" s="8"/>
      <c r="AL56" s="8"/>
      <c r="AM56" s="8"/>
    </row>
    <row r="57" spans="2:39" x14ac:dyDescent="0.25">
      <c r="B57" s="23">
        <v>10</v>
      </c>
      <c r="C57" s="9">
        <v>20200414</v>
      </c>
      <c r="D57" s="8" t="s">
        <v>2</v>
      </c>
      <c r="E57" s="8"/>
      <c r="F57" s="10"/>
      <c r="G57" s="10">
        <v>1415974</v>
      </c>
      <c r="H57" s="38" t="s">
        <v>33</v>
      </c>
      <c r="I57" s="8"/>
      <c r="J57" s="38" t="s">
        <v>33</v>
      </c>
      <c r="K57" s="8"/>
      <c r="L57" s="8"/>
      <c r="M57" s="8"/>
      <c r="N57" s="8"/>
      <c r="O57" s="10"/>
      <c r="P57" s="10"/>
      <c r="Q57" s="11"/>
      <c r="R57" s="38" t="s">
        <v>33</v>
      </c>
      <c r="S57" s="8" t="s">
        <v>3</v>
      </c>
      <c r="T57" s="8"/>
      <c r="U57" s="8"/>
      <c r="V57" s="8">
        <v>188</v>
      </c>
      <c r="W57" s="8">
        <f t="shared" si="7"/>
        <v>188</v>
      </c>
      <c r="X57" s="8">
        <f t="shared" si="8"/>
        <v>188</v>
      </c>
      <c r="Y57" s="8" t="e">
        <f>ROUNDDOWN(W57/HLOOKUP(D57,#REF!,2,0)*8,2)</f>
        <v>#REF!</v>
      </c>
      <c r="Z57" s="8">
        <v>1</v>
      </c>
      <c r="AA57" s="8" t="s">
        <v>12</v>
      </c>
      <c r="AB57" s="12">
        <v>43935</v>
      </c>
      <c r="AC57" s="12">
        <v>43938</v>
      </c>
      <c r="AD57" s="12">
        <v>43936</v>
      </c>
      <c r="AE57" s="12">
        <v>43936</v>
      </c>
      <c r="AF57" s="14" t="s">
        <v>54</v>
      </c>
      <c r="AG57" s="17">
        <v>1</v>
      </c>
      <c r="AH57" s="17">
        <v>1</v>
      </c>
      <c r="AI57" s="17">
        <v>1</v>
      </c>
      <c r="AJ57" s="14" t="s">
        <v>76</v>
      </c>
      <c r="AK57" s="8"/>
      <c r="AL57" s="8"/>
      <c r="AM57" s="8"/>
    </row>
    <row r="58" spans="2:39" x14ac:dyDescent="0.25">
      <c r="B58" s="23">
        <v>11</v>
      </c>
      <c r="C58" s="9">
        <v>20200414</v>
      </c>
      <c r="D58" s="8" t="s">
        <v>2</v>
      </c>
      <c r="E58" s="8"/>
      <c r="F58" s="10"/>
      <c r="G58" s="10">
        <v>1415974</v>
      </c>
      <c r="H58" s="38" t="s">
        <v>33</v>
      </c>
      <c r="I58" s="8"/>
      <c r="J58" s="38" t="s">
        <v>33</v>
      </c>
      <c r="K58" s="8"/>
      <c r="L58" s="8"/>
      <c r="M58" s="8"/>
      <c r="N58" s="8"/>
      <c r="O58" s="10"/>
      <c r="P58" s="10"/>
      <c r="Q58" s="11"/>
      <c r="R58" s="38" t="s">
        <v>33</v>
      </c>
      <c r="S58" s="8" t="s">
        <v>36</v>
      </c>
      <c r="T58" s="8"/>
      <c r="U58" s="8"/>
      <c r="V58" s="8">
        <v>189</v>
      </c>
      <c r="W58" s="8">
        <f t="shared" si="7"/>
        <v>189</v>
      </c>
      <c r="X58" s="8">
        <f>W58</f>
        <v>189</v>
      </c>
      <c r="Y58" s="8" t="e">
        <f>ROUNDDOWN(W58/HLOOKUP(D58,#REF!,2,0)*8,2)</f>
        <v>#REF!</v>
      </c>
      <c r="Z58" s="8">
        <v>2</v>
      </c>
      <c r="AA58" s="8" t="s">
        <v>12</v>
      </c>
      <c r="AB58" s="12">
        <v>43935</v>
      </c>
      <c r="AC58" s="12">
        <v>43938</v>
      </c>
      <c r="AD58" s="12">
        <v>43935</v>
      </c>
      <c r="AE58" s="12">
        <v>43935</v>
      </c>
      <c r="AF58" s="14" t="s">
        <v>54</v>
      </c>
      <c r="AG58" s="17">
        <v>1</v>
      </c>
      <c r="AH58" s="17">
        <v>1</v>
      </c>
      <c r="AI58" s="17">
        <v>1</v>
      </c>
      <c r="AJ58" s="14"/>
      <c r="AK58" s="8"/>
      <c r="AL58" s="8"/>
      <c r="AM58" s="8"/>
    </row>
    <row r="59" spans="2:39" x14ac:dyDescent="0.25">
      <c r="B59" s="23">
        <v>12</v>
      </c>
      <c r="C59" s="9">
        <v>20200414</v>
      </c>
      <c r="D59" s="8" t="s">
        <v>2</v>
      </c>
      <c r="E59" s="8"/>
      <c r="F59" s="10"/>
      <c r="G59" s="10">
        <v>1415974</v>
      </c>
      <c r="H59" s="38" t="s">
        <v>33</v>
      </c>
      <c r="I59" s="8"/>
      <c r="J59" s="38" t="s">
        <v>33</v>
      </c>
      <c r="K59" s="8"/>
      <c r="L59" s="8"/>
      <c r="M59" s="8"/>
      <c r="N59" s="8"/>
      <c r="O59" s="10"/>
      <c r="P59" s="10"/>
      <c r="Q59" s="11"/>
      <c r="R59" s="38" t="s">
        <v>33</v>
      </c>
      <c r="S59" s="8" t="s">
        <v>36</v>
      </c>
      <c r="T59" s="8"/>
      <c r="U59" s="8"/>
      <c r="V59" s="8">
        <v>173</v>
      </c>
      <c r="W59" s="8">
        <f t="shared" si="7"/>
        <v>173</v>
      </c>
      <c r="X59" s="8">
        <f t="shared" ref="X59:X60" si="9">W59</f>
        <v>173</v>
      </c>
      <c r="Y59" s="8" t="e">
        <f>ROUNDDOWN(W59/HLOOKUP(D59,#REF!,2,0)*8,2)</f>
        <v>#REF!</v>
      </c>
      <c r="Z59" s="8">
        <v>2</v>
      </c>
      <c r="AA59" s="8" t="s">
        <v>12</v>
      </c>
      <c r="AB59" s="12">
        <v>43935</v>
      </c>
      <c r="AC59" s="12">
        <v>43938</v>
      </c>
      <c r="AD59" s="12">
        <v>43935</v>
      </c>
      <c r="AE59" s="12">
        <v>43935</v>
      </c>
      <c r="AF59" s="14" t="s">
        <v>54</v>
      </c>
      <c r="AG59" s="17">
        <v>1</v>
      </c>
      <c r="AH59" s="17">
        <v>1</v>
      </c>
      <c r="AI59" s="17">
        <v>1</v>
      </c>
      <c r="AJ59" s="14"/>
      <c r="AK59" s="8"/>
      <c r="AL59" s="8"/>
      <c r="AM59" s="8"/>
    </row>
    <row r="60" spans="2:39" x14ac:dyDescent="0.25">
      <c r="B60" s="23">
        <v>13</v>
      </c>
      <c r="C60" s="9">
        <v>20200414</v>
      </c>
      <c r="D60" s="8" t="s">
        <v>2</v>
      </c>
      <c r="E60" s="8"/>
      <c r="F60" s="10"/>
      <c r="G60" s="10">
        <v>1415974</v>
      </c>
      <c r="H60" s="38" t="s">
        <v>33</v>
      </c>
      <c r="I60" s="8"/>
      <c r="J60" s="38" t="s">
        <v>33</v>
      </c>
      <c r="K60" s="8"/>
      <c r="L60" s="8"/>
      <c r="M60" s="8"/>
      <c r="N60" s="8"/>
      <c r="O60" s="10"/>
      <c r="P60" s="10"/>
      <c r="Q60" s="11"/>
      <c r="R60" s="38" t="s">
        <v>33</v>
      </c>
      <c r="S60" s="8" t="s">
        <v>36</v>
      </c>
      <c r="T60" s="8"/>
      <c r="U60" s="8"/>
      <c r="V60" s="8">
        <v>176</v>
      </c>
      <c r="W60" s="8">
        <f t="shared" si="7"/>
        <v>176</v>
      </c>
      <c r="X60" s="8">
        <f t="shared" si="9"/>
        <v>176</v>
      </c>
      <c r="Y60" s="8" t="e">
        <f>ROUNDDOWN(W60/HLOOKUP(D60,#REF!,2,0)*8,2)</f>
        <v>#REF!</v>
      </c>
      <c r="Z60" s="8">
        <v>2</v>
      </c>
      <c r="AA60" s="8" t="s">
        <v>12</v>
      </c>
      <c r="AB60" s="12">
        <v>43935</v>
      </c>
      <c r="AC60" s="12">
        <v>43938</v>
      </c>
      <c r="AD60" s="12">
        <v>43935</v>
      </c>
      <c r="AE60" s="12">
        <v>43935</v>
      </c>
      <c r="AF60" s="14" t="s">
        <v>55</v>
      </c>
      <c r="AG60" s="17">
        <v>0.98</v>
      </c>
      <c r="AH60" s="17">
        <v>0.97</v>
      </c>
      <c r="AI60" s="17">
        <v>1</v>
      </c>
      <c r="AJ60" s="14"/>
      <c r="AK60" s="8" t="s">
        <v>77</v>
      </c>
      <c r="AL60" s="8"/>
      <c r="AM60" s="8"/>
    </row>
    <row r="61" spans="2:39" x14ac:dyDescent="0.25">
      <c r="B61" s="23">
        <v>14</v>
      </c>
      <c r="C61" s="9">
        <v>20200414</v>
      </c>
      <c r="D61" s="8" t="s">
        <v>2</v>
      </c>
      <c r="E61" s="8"/>
      <c r="F61" s="10"/>
      <c r="G61" s="10">
        <v>1415974</v>
      </c>
      <c r="H61" s="38" t="s">
        <v>33</v>
      </c>
      <c r="I61" s="8"/>
      <c r="J61" s="38" t="s">
        <v>33</v>
      </c>
      <c r="K61" s="8"/>
      <c r="L61" s="8"/>
      <c r="M61" s="8"/>
      <c r="N61" s="8"/>
      <c r="O61" s="10"/>
      <c r="P61" s="10"/>
      <c r="Q61" s="11"/>
      <c r="R61" s="38" t="s">
        <v>33</v>
      </c>
      <c r="S61" s="8" t="s">
        <v>36</v>
      </c>
      <c r="T61" s="8"/>
      <c r="U61" s="8"/>
      <c r="V61" s="8">
        <v>239</v>
      </c>
      <c r="W61" s="8">
        <f t="shared" si="7"/>
        <v>239</v>
      </c>
      <c r="X61" s="8">
        <f>W61</f>
        <v>239</v>
      </c>
      <c r="Y61" s="8" t="e">
        <f>ROUNDDOWN(W61/HLOOKUP(D61,#REF!,2,0)*8,2)</f>
        <v>#REF!</v>
      </c>
      <c r="Z61" s="8">
        <v>2</v>
      </c>
      <c r="AA61" s="8" t="s">
        <v>12</v>
      </c>
      <c r="AB61" s="12">
        <v>43935</v>
      </c>
      <c r="AC61" s="12">
        <v>43938</v>
      </c>
      <c r="AD61" s="12">
        <v>43936</v>
      </c>
      <c r="AE61" s="12">
        <v>43936</v>
      </c>
      <c r="AF61" s="14" t="s">
        <v>54</v>
      </c>
      <c r="AG61" s="17">
        <v>1</v>
      </c>
      <c r="AH61" s="17">
        <v>1</v>
      </c>
      <c r="AI61" s="17">
        <v>1</v>
      </c>
      <c r="AJ61" s="14"/>
      <c r="AK61" s="8"/>
      <c r="AL61" s="8"/>
      <c r="AM61" s="8"/>
    </row>
    <row r="62" spans="2:39" x14ac:dyDescent="0.25">
      <c r="B62" s="23">
        <v>15</v>
      </c>
      <c r="C62" s="9">
        <v>20200414</v>
      </c>
      <c r="D62" s="8" t="s">
        <v>2</v>
      </c>
      <c r="E62" s="8"/>
      <c r="F62" s="10"/>
      <c r="G62" s="10">
        <v>1415974</v>
      </c>
      <c r="H62" s="38" t="s">
        <v>33</v>
      </c>
      <c r="I62" s="8"/>
      <c r="J62" s="38" t="s">
        <v>33</v>
      </c>
      <c r="K62" s="8"/>
      <c r="L62" s="8"/>
      <c r="M62" s="8"/>
      <c r="N62" s="8"/>
      <c r="O62" s="10"/>
      <c r="P62" s="10"/>
      <c r="Q62" s="11"/>
      <c r="R62" s="38" t="s">
        <v>33</v>
      </c>
      <c r="S62" s="8" t="s">
        <v>36</v>
      </c>
      <c r="T62" s="8"/>
      <c r="U62" s="8"/>
      <c r="V62" s="8">
        <v>237</v>
      </c>
      <c r="W62" s="8">
        <f t="shared" si="7"/>
        <v>237</v>
      </c>
      <c r="X62" s="8">
        <f>W62</f>
        <v>237</v>
      </c>
      <c r="Y62" s="8" t="e">
        <f>ROUNDDOWN(W62/HLOOKUP(D62,#REF!,2,0)*8,2)</f>
        <v>#REF!</v>
      </c>
      <c r="Z62" s="8">
        <v>1</v>
      </c>
      <c r="AA62" s="8" t="s">
        <v>12</v>
      </c>
      <c r="AB62" s="12">
        <v>43935</v>
      </c>
      <c r="AC62" s="12">
        <v>43938</v>
      </c>
      <c r="AD62" s="12">
        <v>43936</v>
      </c>
      <c r="AE62" s="12">
        <v>43936</v>
      </c>
      <c r="AF62" s="14" t="s">
        <v>54</v>
      </c>
      <c r="AG62" s="17">
        <v>1</v>
      </c>
      <c r="AH62" s="17">
        <v>1</v>
      </c>
      <c r="AI62" s="17">
        <v>1</v>
      </c>
      <c r="AJ62" s="14"/>
      <c r="AK62" s="8"/>
      <c r="AL62" s="8"/>
      <c r="AM62" s="8"/>
    </row>
    <row r="63" spans="2:39" x14ac:dyDescent="0.25">
      <c r="B63" s="23">
        <v>16</v>
      </c>
      <c r="C63" s="9">
        <v>20200414</v>
      </c>
      <c r="D63" s="8" t="s">
        <v>2</v>
      </c>
      <c r="E63" s="8"/>
      <c r="F63" s="10"/>
      <c r="G63" s="10">
        <v>1415974</v>
      </c>
      <c r="H63" s="38" t="s">
        <v>33</v>
      </c>
      <c r="I63" s="8"/>
      <c r="J63" s="38" t="s">
        <v>33</v>
      </c>
      <c r="K63" s="8"/>
      <c r="L63" s="8"/>
      <c r="M63" s="8"/>
      <c r="N63" s="8"/>
      <c r="O63" s="10"/>
      <c r="P63" s="10"/>
      <c r="Q63" s="11"/>
      <c r="R63" s="38" t="s">
        <v>33</v>
      </c>
      <c r="S63" s="8" t="s">
        <v>36</v>
      </c>
      <c r="T63" s="8"/>
      <c r="U63" s="8"/>
      <c r="V63" s="8">
        <v>8</v>
      </c>
      <c r="W63" s="8">
        <f t="shared" si="7"/>
        <v>8</v>
      </c>
      <c r="X63" s="8">
        <f>W63</f>
        <v>8</v>
      </c>
      <c r="Y63" s="8" t="e">
        <f>ROUNDDOWN(W63/HLOOKUP(D63,#REF!,2,0)*8,2)</f>
        <v>#REF!</v>
      </c>
      <c r="Z63" s="8">
        <v>1</v>
      </c>
      <c r="AA63" s="8" t="s">
        <v>12</v>
      </c>
      <c r="AB63" s="12">
        <v>43935</v>
      </c>
      <c r="AC63" s="12">
        <v>43938</v>
      </c>
      <c r="AD63" s="12">
        <v>43936</v>
      </c>
      <c r="AE63" s="12">
        <v>43936</v>
      </c>
      <c r="AF63" s="14" t="s">
        <v>54</v>
      </c>
      <c r="AG63" s="17">
        <v>1</v>
      </c>
      <c r="AH63" s="17">
        <v>1</v>
      </c>
      <c r="AI63" s="17">
        <v>1</v>
      </c>
      <c r="AJ63" s="14"/>
      <c r="AK63" s="8"/>
      <c r="AL63" s="8"/>
      <c r="AM63" s="8"/>
    </row>
    <row r="64" spans="2:39" x14ac:dyDescent="0.25">
      <c r="B64" s="23">
        <v>17</v>
      </c>
      <c r="C64" s="9">
        <v>20200414</v>
      </c>
      <c r="D64" s="8" t="s">
        <v>2</v>
      </c>
      <c r="E64" s="8"/>
      <c r="F64" s="10"/>
      <c r="G64" s="10">
        <v>1415974</v>
      </c>
      <c r="H64" s="38" t="s">
        <v>33</v>
      </c>
      <c r="I64" s="8"/>
      <c r="J64" s="38" t="s">
        <v>33</v>
      </c>
      <c r="K64" s="8"/>
      <c r="L64" s="8"/>
      <c r="M64" s="8"/>
      <c r="N64" s="8"/>
      <c r="O64" s="10"/>
      <c r="P64" s="10"/>
      <c r="Q64" s="11"/>
      <c r="R64" s="38" t="s">
        <v>33</v>
      </c>
      <c r="S64" s="8" t="s">
        <v>36</v>
      </c>
      <c r="T64" s="8"/>
      <c r="U64" s="8"/>
      <c r="V64" s="8">
        <v>165</v>
      </c>
      <c r="W64" s="8">
        <f t="shared" si="7"/>
        <v>165</v>
      </c>
      <c r="X64" s="8">
        <f>W64</f>
        <v>165</v>
      </c>
      <c r="Y64" s="8" t="e">
        <f>ROUNDDOWN(W64/HLOOKUP(D64,#REF!,2,0)*8,2)</f>
        <v>#REF!</v>
      </c>
      <c r="Z64" s="8">
        <v>1</v>
      </c>
      <c r="AA64" s="8" t="s">
        <v>12</v>
      </c>
      <c r="AB64" s="12">
        <v>43935</v>
      </c>
      <c r="AC64" s="12">
        <v>43938</v>
      </c>
      <c r="AD64" s="12">
        <v>43936</v>
      </c>
      <c r="AE64" s="12">
        <v>43936</v>
      </c>
      <c r="AF64" s="14" t="s">
        <v>54</v>
      </c>
      <c r="AG64" s="17">
        <v>1</v>
      </c>
      <c r="AH64" s="17">
        <v>1</v>
      </c>
      <c r="AI64" s="17">
        <v>1</v>
      </c>
      <c r="AJ64" s="14"/>
      <c r="AK64" s="8"/>
      <c r="AL64" s="8"/>
      <c r="AM64" s="8"/>
    </row>
    <row r="65" spans="2:39" x14ac:dyDescent="0.25">
      <c r="B65" s="23">
        <v>18</v>
      </c>
      <c r="C65" s="9">
        <v>20200414</v>
      </c>
      <c r="D65" s="8" t="s">
        <v>2</v>
      </c>
      <c r="E65" s="8"/>
      <c r="F65" s="10"/>
      <c r="G65" s="10">
        <v>1415974</v>
      </c>
      <c r="H65" s="38" t="s">
        <v>33</v>
      </c>
      <c r="I65" s="8"/>
      <c r="J65" s="38" t="s">
        <v>33</v>
      </c>
      <c r="K65" s="8"/>
      <c r="L65" s="8"/>
      <c r="M65" s="8"/>
      <c r="N65" s="8"/>
      <c r="O65" s="10"/>
      <c r="P65" s="10"/>
      <c r="Q65" s="11"/>
      <c r="R65" s="38" t="s">
        <v>33</v>
      </c>
      <c r="S65" s="8" t="s">
        <v>36</v>
      </c>
      <c r="T65" s="8"/>
      <c r="U65" s="8"/>
      <c r="V65" s="8">
        <v>0</v>
      </c>
      <c r="W65" s="8">
        <f t="shared" si="7"/>
        <v>0</v>
      </c>
      <c r="X65" s="8">
        <v>0</v>
      </c>
      <c r="Y65" s="8" t="e">
        <f>ROUNDDOWN(W65/HLOOKUP(D65,#REF!,2,0)*8,2)</f>
        <v>#REF!</v>
      </c>
      <c r="Z65" s="8">
        <v>0</v>
      </c>
      <c r="AA65" s="8" t="s">
        <v>12</v>
      </c>
      <c r="AB65" s="12">
        <v>43935</v>
      </c>
      <c r="AC65" s="12">
        <v>43938</v>
      </c>
      <c r="AD65" s="12">
        <v>43936</v>
      </c>
      <c r="AE65" s="12">
        <v>43936</v>
      </c>
      <c r="AF65" s="14" t="s">
        <v>55</v>
      </c>
      <c r="AG65" s="17"/>
      <c r="AH65" s="17"/>
      <c r="AI65" s="17"/>
      <c r="AJ65" s="14"/>
      <c r="AK65" s="8" t="s">
        <v>78</v>
      </c>
      <c r="AL65" s="8"/>
      <c r="AM65" s="8"/>
    </row>
    <row r="66" spans="2:39" x14ac:dyDescent="0.25">
      <c r="B66" s="23">
        <v>19</v>
      </c>
      <c r="C66" s="9">
        <v>20200414</v>
      </c>
      <c r="D66" s="8" t="s">
        <v>2</v>
      </c>
      <c r="E66" s="8"/>
      <c r="F66" s="10"/>
      <c r="G66" s="10">
        <v>1415974</v>
      </c>
      <c r="H66" s="38" t="s">
        <v>33</v>
      </c>
      <c r="I66" s="8"/>
      <c r="J66" s="38" t="s">
        <v>33</v>
      </c>
      <c r="K66" s="8"/>
      <c r="L66" s="8"/>
      <c r="M66" s="8"/>
      <c r="N66" s="8"/>
      <c r="O66" s="10"/>
      <c r="P66" s="10"/>
      <c r="Q66" s="11"/>
      <c r="R66" s="38" t="s">
        <v>33</v>
      </c>
      <c r="S66" s="8" t="s">
        <v>38</v>
      </c>
      <c r="T66" s="8"/>
      <c r="U66" s="8"/>
      <c r="V66" s="8">
        <v>12</v>
      </c>
      <c r="W66" s="8">
        <f t="shared" si="7"/>
        <v>12</v>
      </c>
      <c r="X66" s="8">
        <f>W66</f>
        <v>12</v>
      </c>
      <c r="Y66" s="8" t="e">
        <f>ROUNDDOWN(W66/HLOOKUP(D66,#REF!,2,0)*8,2)</f>
        <v>#REF!</v>
      </c>
      <c r="Z66" s="8">
        <v>1</v>
      </c>
      <c r="AA66" s="8" t="s">
        <v>12</v>
      </c>
      <c r="AB66" s="12">
        <v>43935</v>
      </c>
      <c r="AC66" s="12">
        <v>43938</v>
      </c>
      <c r="AD66" s="12">
        <v>43936</v>
      </c>
      <c r="AE66" s="12">
        <v>43936</v>
      </c>
      <c r="AF66" s="14" t="s">
        <v>54</v>
      </c>
      <c r="AG66" s="17"/>
      <c r="AH66" s="17"/>
      <c r="AI66" s="17"/>
      <c r="AJ66" s="14"/>
      <c r="AK66" s="8"/>
      <c r="AL66" s="8"/>
      <c r="AM66" s="8"/>
    </row>
    <row r="67" spans="2:39" x14ac:dyDescent="0.25">
      <c r="B67" s="23">
        <v>20</v>
      </c>
      <c r="C67" s="9">
        <v>20200414</v>
      </c>
      <c r="D67" s="8" t="s">
        <v>2</v>
      </c>
      <c r="E67" s="8"/>
      <c r="F67" s="10"/>
      <c r="G67" s="10">
        <v>1415974</v>
      </c>
      <c r="H67" s="38" t="s">
        <v>33</v>
      </c>
      <c r="I67" s="8"/>
      <c r="J67" s="38" t="s">
        <v>33</v>
      </c>
      <c r="K67" s="8"/>
      <c r="L67" s="8"/>
      <c r="M67" s="8"/>
      <c r="N67" s="8"/>
      <c r="O67" s="10"/>
      <c r="P67" s="10"/>
      <c r="Q67" s="11"/>
      <c r="R67" s="38" t="s">
        <v>33</v>
      </c>
      <c r="S67" s="8" t="s">
        <v>38</v>
      </c>
      <c r="T67" s="8"/>
      <c r="U67" s="8"/>
      <c r="V67" s="8">
        <v>37</v>
      </c>
      <c r="W67" s="8">
        <f t="shared" si="7"/>
        <v>37</v>
      </c>
      <c r="X67" s="8">
        <f t="shared" ref="X67:X71" si="10">W67</f>
        <v>37</v>
      </c>
      <c r="Y67" s="8" t="e">
        <f>ROUNDDOWN(W67/HLOOKUP(D67,#REF!,2,0)*8,2)</f>
        <v>#REF!</v>
      </c>
      <c r="Z67" s="8">
        <v>1</v>
      </c>
      <c r="AA67" s="8" t="s">
        <v>12</v>
      </c>
      <c r="AB67" s="12">
        <v>43935</v>
      </c>
      <c r="AC67" s="12">
        <v>43938</v>
      </c>
      <c r="AD67" s="12">
        <v>43936</v>
      </c>
      <c r="AE67" s="12">
        <v>43936</v>
      </c>
      <c r="AF67" s="14" t="s">
        <v>54</v>
      </c>
      <c r="AG67" s="17"/>
      <c r="AH67" s="17"/>
      <c r="AI67" s="17"/>
      <c r="AJ67" s="14"/>
      <c r="AK67" s="8"/>
      <c r="AL67" s="8"/>
      <c r="AM67" s="8"/>
    </row>
    <row r="68" spans="2:39" x14ac:dyDescent="0.25">
      <c r="B68" s="23">
        <v>21</v>
      </c>
      <c r="C68" s="9">
        <v>20200414</v>
      </c>
      <c r="D68" s="8" t="s">
        <v>2</v>
      </c>
      <c r="E68" s="8"/>
      <c r="F68" s="10"/>
      <c r="G68" s="10">
        <v>1415974</v>
      </c>
      <c r="H68" s="38" t="s">
        <v>33</v>
      </c>
      <c r="I68" s="8"/>
      <c r="J68" s="38" t="s">
        <v>33</v>
      </c>
      <c r="K68" s="8"/>
      <c r="L68" s="8"/>
      <c r="M68" s="8"/>
      <c r="N68" s="8"/>
      <c r="O68" s="10"/>
      <c r="P68" s="10"/>
      <c r="Q68" s="11"/>
      <c r="R68" s="38" t="s">
        <v>33</v>
      </c>
      <c r="S68" s="8" t="s">
        <v>38</v>
      </c>
      <c r="T68" s="8"/>
      <c r="U68" s="8"/>
      <c r="V68" s="8">
        <v>3</v>
      </c>
      <c r="W68" s="8">
        <f t="shared" si="7"/>
        <v>3</v>
      </c>
      <c r="X68" s="8">
        <f t="shared" si="10"/>
        <v>3</v>
      </c>
      <c r="Y68" s="8" t="e">
        <f>ROUNDDOWN(W68/HLOOKUP(D68,#REF!,2,0)*8,2)</f>
        <v>#REF!</v>
      </c>
      <c r="Z68" s="8">
        <v>1</v>
      </c>
      <c r="AA68" s="8" t="s">
        <v>12</v>
      </c>
      <c r="AB68" s="12">
        <v>43935</v>
      </c>
      <c r="AC68" s="12">
        <v>43938</v>
      </c>
      <c r="AD68" s="12">
        <v>43936</v>
      </c>
      <c r="AE68" s="12">
        <v>43936</v>
      </c>
      <c r="AF68" s="14" t="s">
        <v>54</v>
      </c>
      <c r="AG68" s="17"/>
      <c r="AH68" s="17"/>
      <c r="AI68" s="17"/>
      <c r="AJ68" s="14"/>
      <c r="AK68" s="8"/>
      <c r="AL68" s="8"/>
      <c r="AM68" s="8"/>
    </row>
    <row r="69" spans="2:39" x14ac:dyDescent="0.25">
      <c r="B69" s="34">
        <v>22</v>
      </c>
      <c r="C69" s="9">
        <v>20200414</v>
      </c>
      <c r="D69" s="8" t="s">
        <v>2</v>
      </c>
      <c r="E69" s="8"/>
      <c r="F69" s="10"/>
      <c r="G69" s="10">
        <v>1416009</v>
      </c>
      <c r="H69" s="38" t="s">
        <v>33</v>
      </c>
      <c r="I69" s="8"/>
      <c r="J69" s="38" t="s">
        <v>33</v>
      </c>
      <c r="K69" s="8"/>
      <c r="L69" s="8"/>
      <c r="M69" s="8"/>
      <c r="N69" s="8"/>
      <c r="O69" s="10"/>
      <c r="P69" s="10"/>
      <c r="Q69" s="11"/>
      <c r="R69" s="38" t="s">
        <v>33</v>
      </c>
      <c r="S69" s="8" t="s">
        <v>38</v>
      </c>
      <c r="T69" s="8"/>
      <c r="U69" s="8"/>
      <c r="V69" s="8">
        <v>322</v>
      </c>
      <c r="W69" s="8">
        <f t="shared" si="7"/>
        <v>322</v>
      </c>
      <c r="X69" s="8">
        <f t="shared" si="10"/>
        <v>322</v>
      </c>
      <c r="Y69" s="8" t="e">
        <f>ROUNDDOWN(W69/HLOOKUP(D69,#REF!,2,0)*8,2)</f>
        <v>#REF!</v>
      </c>
      <c r="Z69" s="8">
        <v>2</v>
      </c>
      <c r="AA69" s="8" t="s">
        <v>12</v>
      </c>
      <c r="AB69" s="12">
        <v>43935</v>
      </c>
      <c r="AC69" s="12">
        <v>43938</v>
      </c>
      <c r="AD69" s="12">
        <v>43936</v>
      </c>
      <c r="AE69" s="12">
        <v>43936</v>
      </c>
      <c r="AF69" s="14" t="s">
        <v>54</v>
      </c>
      <c r="AG69" s="17"/>
      <c r="AH69" s="17"/>
      <c r="AI69" s="17"/>
      <c r="AJ69" s="14"/>
      <c r="AK69" s="8"/>
      <c r="AL69" s="8"/>
      <c r="AM69" s="8"/>
    </row>
    <row r="70" spans="2:39" x14ac:dyDescent="0.25">
      <c r="B70" s="34">
        <v>23</v>
      </c>
      <c r="C70" s="9">
        <v>20200414</v>
      </c>
      <c r="D70" s="8" t="s">
        <v>2</v>
      </c>
      <c r="E70" s="8"/>
      <c r="F70" s="10"/>
      <c r="G70" s="10">
        <v>1416093</v>
      </c>
      <c r="H70" s="38" t="s">
        <v>33</v>
      </c>
      <c r="I70" s="8"/>
      <c r="J70" s="38" t="s">
        <v>33</v>
      </c>
      <c r="K70" s="8"/>
      <c r="L70" s="8"/>
      <c r="M70" s="8"/>
      <c r="N70" s="8"/>
      <c r="O70" s="10"/>
      <c r="P70" s="10"/>
      <c r="Q70" s="11"/>
      <c r="R70" s="38" t="s">
        <v>33</v>
      </c>
      <c r="S70" s="8" t="s">
        <v>38</v>
      </c>
      <c r="T70" s="8"/>
      <c r="U70" s="8"/>
      <c r="V70" s="8">
        <v>25</v>
      </c>
      <c r="W70" s="8">
        <f t="shared" si="7"/>
        <v>25</v>
      </c>
      <c r="X70" s="8">
        <f t="shared" si="10"/>
        <v>25</v>
      </c>
      <c r="Y70" s="8" t="e">
        <f>ROUNDDOWN(W70/HLOOKUP(D70,#REF!,2,0)*8,2)</f>
        <v>#REF!</v>
      </c>
      <c r="Z70" s="8">
        <v>2</v>
      </c>
      <c r="AA70" s="8" t="s">
        <v>12</v>
      </c>
      <c r="AB70" s="12">
        <v>43935</v>
      </c>
      <c r="AC70" s="12">
        <v>43938</v>
      </c>
      <c r="AD70" s="12">
        <v>43936</v>
      </c>
      <c r="AE70" s="12">
        <v>43936</v>
      </c>
      <c r="AF70" s="14" t="s">
        <v>54</v>
      </c>
      <c r="AG70" s="17"/>
      <c r="AH70" s="17"/>
      <c r="AI70" s="17"/>
      <c r="AJ70" s="14"/>
      <c r="AK70" s="8"/>
      <c r="AL70" s="8"/>
      <c r="AM70" s="8"/>
    </row>
    <row r="71" spans="2:39" x14ac:dyDescent="0.25">
      <c r="B71" s="34">
        <v>24</v>
      </c>
      <c r="C71" s="9">
        <v>20200414</v>
      </c>
      <c r="D71" s="8" t="s">
        <v>2</v>
      </c>
      <c r="E71" s="8"/>
      <c r="F71" s="10"/>
      <c r="G71" s="10">
        <v>1416093</v>
      </c>
      <c r="H71" s="38" t="s">
        <v>33</v>
      </c>
      <c r="I71" s="8"/>
      <c r="J71" s="38" t="s">
        <v>33</v>
      </c>
      <c r="K71" s="8"/>
      <c r="L71" s="8"/>
      <c r="M71" s="8"/>
      <c r="N71" s="8"/>
      <c r="O71" s="10"/>
      <c r="P71" s="10"/>
      <c r="Q71" s="11"/>
      <c r="R71" s="38" t="s">
        <v>33</v>
      </c>
      <c r="S71" s="8" t="s">
        <v>38</v>
      </c>
      <c r="T71" s="8"/>
      <c r="U71" s="8"/>
      <c r="V71" s="8">
        <v>28</v>
      </c>
      <c r="W71" s="8">
        <f t="shared" si="7"/>
        <v>28</v>
      </c>
      <c r="X71" s="8">
        <f t="shared" si="10"/>
        <v>28</v>
      </c>
      <c r="Y71" s="8" t="e">
        <f>ROUNDDOWN(W71/HLOOKUP(D71,#REF!,2,0)*8,2)</f>
        <v>#REF!</v>
      </c>
      <c r="Z71" s="8">
        <v>2</v>
      </c>
      <c r="AA71" s="8" t="s">
        <v>12</v>
      </c>
      <c r="AB71" s="12">
        <v>43935</v>
      </c>
      <c r="AC71" s="12">
        <v>43938</v>
      </c>
      <c r="AD71" s="12">
        <v>43936</v>
      </c>
      <c r="AE71" s="12">
        <v>43936</v>
      </c>
      <c r="AF71" s="14" t="s">
        <v>54</v>
      </c>
      <c r="AG71" s="17"/>
      <c r="AH71" s="17"/>
      <c r="AI71" s="17"/>
      <c r="AJ71" s="14"/>
      <c r="AK71" s="8"/>
      <c r="AL71" s="8"/>
      <c r="AM71" s="8"/>
    </row>
    <row r="72" spans="2:39" x14ac:dyDescent="0.25">
      <c r="B72" s="34">
        <v>25</v>
      </c>
      <c r="C72" s="9">
        <v>20200414</v>
      </c>
      <c r="D72" s="8" t="s">
        <v>2</v>
      </c>
      <c r="E72" s="8"/>
      <c r="F72" s="10"/>
      <c r="G72" s="10">
        <v>1416093</v>
      </c>
      <c r="H72" s="38" t="s">
        <v>33</v>
      </c>
      <c r="I72" s="8"/>
      <c r="J72" s="38" t="s">
        <v>33</v>
      </c>
      <c r="K72" s="8"/>
      <c r="L72" s="8"/>
      <c r="M72" s="8"/>
      <c r="N72" s="8"/>
      <c r="O72" s="10"/>
      <c r="P72" s="10"/>
      <c r="Q72" s="11"/>
      <c r="R72" s="38" t="s">
        <v>33</v>
      </c>
      <c r="S72" s="8" t="s">
        <v>38</v>
      </c>
      <c r="T72" s="8"/>
      <c r="U72" s="8"/>
      <c r="V72" s="8">
        <v>46</v>
      </c>
      <c r="W72" s="8">
        <f t="shared" si="7"/>
        <v>46</v>
      </c>
      <c r="X72" s="8">
        <f>W72</f>
        <v>46</v>
      </c>
      <c r="Y72" s="8" t="e">
        <f>ROUNDDOWN(W72/HLOOKUP(D72,#REF!,2,0)*8,2)</f>
        <v>#REF!</v>
      </c>
      <c r="Z72" s="8">
        <v>1</v>
      </c>
      <c r="AA72" s="8" t="s">
        <v>12</v>
      </c>
      <c r="AB72" s="12">
        <v>43935</v>
      </c>
      <c r="AC72" s="12">
        <v>43938</v>
      </c>
      <c r="AD72" s="12">
        <v>43936</v>
      </c>
      <c r="AE72" s="12">
        <v>43936</v>
      </c>
      <c r="AF72" s="14" t="s">
        <v>54</v>
      </c>
      <c r="AG72" s="17"/>
      <c r="AH72" s="17"/>
      <c r="AI72" s="17"/>
      <c r="AJ72" s="14"/>
      <c r="AK72" s="8"/>
      <c r="AL72" s="8"/>
      <c r="AM72" s="8"/>
    </row>
    <row r="73" spans="2:39" x14ac:dyDescent="0.25">
      <c r="B73" s="34">
        <v>26</v>
      </c>
      <c r="C73" s="9">
        <v>20200414</v>
      </c>
      <c r="D73" s="8" t="s">
        <v>2</v>
      </c>
      <c r="E73" s="8"/>
      <c r="F73" s="10"/>
      <c r="G73" s="10">
        <v>1416093</v>
      </c>
      <c r="H73" s="38" t="s">
        <v>33</v>
      </c>
      <c r="I73" s="8"/>
      <c r="J73" s="38" t="s">
        <v>33</v>
      </c>
      <c r="K73" s="8"/>
      <c r="L73" s="8"/>
      <c r="M73" s="8"/>
      <c r="N73" s="8"/>
      <c r="O73" s="10"/>
      <c r="P73" s="10"/>
      <c r="Q73" s="11"/>
      <c r="R73" s="38" t="s">
        <v>33</v>
      </c>
      <c r="S73" s="8" t="s">
        <v>38</v>
      </c>
      <c r="T73" s="8"/>
      <c r="U73" s="8"/>
      <c r="V73" s="8">
        <v>31</v>
      </c>
      <c r="W73" s="8">
        <f t="shared" si="7"/>
        <v>31</v>
      </c>
      <c r="X73" s="8">
        <f>W73</f>
        <v>31</v>
      </c>
      <c r="Y73" s="8" t="e">
        <f>ROUNDDOWN(W73/HLOOKUP(D73,#REF!,2,0)*8,2)</f>
        <v>#REF!</v>
      </c>
      <c r="Z73" s="8">
        <v>1</v>
      </c>
      <c r="AA73" s="8" t="s">
        <v>12</v>
      </c>
      <c r="AB73" s="12">
        <v>43935</v>
      </c>
      <c r="AC73" s="12">
        <v>43938</v>
      </c>
      <c r="AD73" s="12">
        <v>43936</v>
      </c>
      <c r="AE73" s="12">
        <v>43936</v>
      </c>
      <c r="AF73" s="14" t="s">
        <v>54</v>
      </c>
      <c r="AG73" s="17"/>
      <c r="AH73" s="17"/>
      <c r="AI73" s="17"/>
      <c r="AJ73" s="14"/>
      <c r="AK73" s="8"/>
      <c r="AL73" s="8"/>
      <c r="AM73" s="8"/>
    </row>
    <row r="74" spans="2:39" x14ac:dyDescent="0.25">
      <c r="B74" s="34">
        <v>27</v>
      </c>
      <c r="C74" s="9">
        <v>20200414</v>
      </c>
      <c r="D74" s="8" t="s">
        <v>2</v>
      </c>
      <c r="E74" s="8"/>
      <c r="F74" s="10"/>
      <c r="G74" s="10">
        <v>1416093</v>
      </c>
      <c r="H74" s="38" t="s">
        <v>33</v>
      </c>
      <c r="I74" s="8"/>
      <c r="J74" s="38" t="s">
        <v>33</v>
      </c>
      <c r="K74" s="8"/>
      <c r="L74" s="8"/>
      <c r="M74" s="8"/>
      <c r="N74" s="8"/>
      <c r="O74" s="10"/>
      <c r="P74" s="10"/>
      <c r="Q74" s="11"/>
      <c r="R74" s="38" t="s">
        <v>33</v>
      </c>
      <c r="S74" s="8" t="s">
        <v>38</v>
      </c>
      <c r="T74" s="8"/>
      <c r="U74" s="8"/>
      <c r="V74" s="8">
        <v>102</v>
      </c>
      <c r="W74" s="8">
        <f t="shared" si="7"/>
        <v>102</v>
      </c>
      <c r="X74" s="8">
        <f>W74</f>
        <v>102</v>
      </c>
      <c r="Y74" s="8" t="e">
        <f>ROUNDDOWN(W74/HLOOKUP(D74,#REF!,2,0)*8,2)</f>
        <v>#REF!</v>
      </c>
      <c r="Z74" s="8">
        <v>1</v>
      </c>
      <c r="AA74" s="8" t="s">
        <v>12</v>
      </c>
      <c r="AB74" s="12">
        <v>43935</v>
      </c>
      <c r="AC74" s="12">
        <v>43938</v>
      </c>
      <c r="AD74" s="12">
        <v>43936</v>
      </c>
      <c r="AE74" s="12">
        <v>43936</v>
      </c>
      <c r="AF74" s="14" t="s">
        <v>54</v>
      </c>
      <c r="AG74" s="17"/>
      <c r="AH74" s="17"/>
      <c r="AI74" s="17"/>
      <c r="AJ74" s="14"/>
      <c r="AK74" s="8"/>
      <c r="AL74" s="8"/>
      <c r="AM74" s="8"/>
    </row>
    <row r="75" spans="2:39" x14ac:dyDescent="0.25">
      <c r="B75" s="34">
        <v>28</v>
      </c>
      <c r="C75" s="9">
        <v>20200414</v>
      </c>
      <c r="D75" s="8" t="s">
        <v>2</v>
      </c>
      <c r="E75" s="8"/>
      <c r="F75" s="10"/>
      <c r="G75" s="10">
        <v>1416093</v>
      </c>
      <c r="H75" s="38" t="s">
        <v>33</v>
      </c>
      <c r="I75" s="8"/>
      <c r="J75" s="38" t="s">
        <v>33</v>
      </c>
      <c r="K75" s="8"/>
      <c r="L75" s="8"/>
      <c r="M75" s="8"/>
      <c r="N75" s="8"/>
      <c r="O75" s="10"/>
      <c r="P75" s="10"/>
      <c r="Q75" s="11"/>
      <c r="R75" s="38" t="s">
        <v>33</v>
      </c>
      <c r="S75" s="8" t="s">
        <v>38</v>
      </c>
      <c r="T75" s="8"/>
      <c r="U75" s="8"/>
      <c r="V75" s="8">
        <v>66</v>
      </c>
      <c r="W75" s="8">
        <f t="shared" si="7"/>
        <v>66</v>
      </c>
      <c r="X75" s="8">
        <f>W75</f>
        <v>66</v>
      </c>
      <c r="Y75" s="8" t="e">
        <f>ROUNDDOWN(W75/HLOOKUP(D75,#REF!,2,0)*8,2)</f>
        <v>#REF!</v>
      </c>
      <c r="Z75" s="8">
        <v>1</v>
      </c>
      <c r="AA75" s="8" t="s">
        <v>12</v>
      </c>
      <c r="AB75" s="12">
        <v>43935</v>
      </c>
      <c r="AC75" s="12">
        <v>43938</v>
      </c>
      <c r="AD75" s="12">
        <v>43936</v>
      </c>
      <c r="AE75" s="12">
        <v>43936</v>
      </c>
      <c r="AF75" s="14" t="s">
        <v>54</v>
      </c>
      <c r="AG75" s="17"/>
      <c r="AH75" s="17"/>
      <c r="AI75" s="17"/>
      <c r="AJ75" s="14"/>
      <c r="AK75" s="8"/>
      <c r="AL75" s="8"/>
      <c r="AM75" s="8"/>
    </row>
    <row r="76" spans="2:39" x14ac:dyDescent="0.25">
      <c r="B76" s="34">
        <v>29</v>
      </c>
      <c r="C76" s="9">
        <v>20200414</v>
      </c>
      <c r="D76" s="8" t="s">
        <v>2</v>
      </c>
      <c r="E76" s="8"/>
      <c r="F76" s="10"/>
      <c r="G76" s="10">
        <v>1416093</v>
      </c>
      <c r="H76" s="38" t="s">
        <v>33</v>
      </c>
      <c r="I76" s="8"/>
      <c r="J76" s="38" t="s">
        <v>33</v>
      </c>
      <c r="K76" s="8"/>
      <c r="L76" s="8"/>
      <c r="M76" s="8"/>
      <c r="N76" s="8"/>
      <c r="O76" s="10"/>
      <c r="P76" s="10"/>
      <c r="Q76" s="11"/>
      <c r="R76" s="38" t="s">
        <v>33</v>
      </c>
      <c r="S76" s="8" t="s">
        <v>38</v>
      </c>
      <c r="T76" s="8"/>
      <c r="U76" s="8"/>
      <c r="V76" s="8">
        <v>19</v>
      </c>
      <c r="W76" s="8">
        <f t="shared" si="7"/>
        <v>19</v>
      </c>
      <c r="X76" s="8">
        <f>W76</f>
        <v>19</v>
      </c>
      <c r="Y76" s="8" t="e">
        <f>ROUNDDOWN(W76/HLOOKUP(D76,#REF!,2,0)*8,2)</f>
        <v>#REF!</v>
      </c>
      <c r="Z76" s="8">
        <v>1</v>
      </c>
      <c r="AA76" s="8" t="s">
        <v>12</v>
      </c>
      <c r="AB76" s="12">
        <v>43935</v>
      </c>
      <c r="AC76" s="12">
        <v>43938</v>
      </c>
      <c r="AD76" s="12">
        <v>43936</v>
      </c>
      <c r="AE76" s="12">
        <v>43936</v>
      </c>
      <c r="AF76" s="14" t="s">
        <v>54</v>
      </c>
      <c r="AG76" s="17"/>
      <c r="AH76" s="17"/>
      <c r="AI76" s="17"/>
      <c r="AJ76" s="14"/>
      <c r="AK76" s="8"/>
      <c r="AL76" s="8"/>
      <c r="AM76" s="8"/>
    </row>
    <row r="77" spans="2:39" x14ac:dyDescent="0.25">
      <c r="B77" s="35">
        <v>30</v>
      </c>
      <c r="C77" s="9">
        <v>20200414</v>
      </c>
      <c r="D77" s="8" t="s">
        <v>2</v>
      </c>
      <c r="E77" s="8"/>
      <c r="F77" s="10"/>
      <c r="G77" s="10">
        <v>1416090</v>
      </c>
      <c r="H77" s="38" t="s">
        <v>33</v>
      </c>
      <c r="I77" s="8"/>
      <c r="J77" s="38" t="s">
        <v>33</v>
      </c>
      <c r="K77" s="8"/>
      <c r="L77" s="8"/>
      <c r="M77" s="8"/>
      <c r="N77" s="8"/>
      <c r="O77" s="10"/>
      <c r="P77" s="10"/>
      <c r="Q77" s="11"/>
      <c r="R77" s="38" t="s">
        <v>33</v>
      </c>
      <c r="S77" s="8" t="s">
        <v>3</v>
      </c>
      <c r="T77" s="8"/>
      <c r="U77" s="8"/>
      <c r="V77" s="8">
        <v>25</v>
      </c>
      <c r="W77" s="8">
        <f t="shared" si="7"/>
        <v>25</v>
      </c>
      <c r="X77" s="8"/>
      <c r="Y77" s="8" t="e">
        <f>ROUNDDOWN(W77/HLOOKUP(D77,#REF!,2,0)*8,2)</f>
        <v>#REF!</v>
      </c>
      <c r="Z77" s="8"/>
      <c r="AA77" s="8"/>
      <c r="AB77" s="12">
        <v>43935</v>
      </c>
      <c r="AC77" s="12">
        <v>43938</v>
      </c>
      <c r="AD77" s="12"/>
      <c r="AE77" s="12"/>
      <c r="AF77" s="14"/>
      <c r="AG77" s="17"/>
      <c r="AH77" s="17"/>
      <c r="AI77" s="17"/>
      <c r="AJ77" s="14"/>
      <c r="AK77" s="8"/>
      <c r="AL77" s="8"/>
      <c r="AM77" s="8"/>
    </row>
    <row r="78" spans="2:39" x14ac:dyDescent="0.25">
      <c r="B78" s="35">
        <v>31</v>
      </c>
      <c r="C78" s="9">
        <v>20200414</v>
      </c>
      <c r="D78" s="8" t="s">
        <v>2</v>
      </c>
      <c r="E78" s="8"/>
      <c r="F78" s="10"/>
      <c r="G78" s="10">
        <v>1416090</v>
      </c>
      <c r="H78" s="38" t="s">
        <v>33</v>
      </c>
      <c r="I78" s="8"/>
      <c r="J78" s="38" t="s">
        <v>33</v>
      </c>
      <c r="K78" s="8"/>
      <c r="L78" s="8"/>
      <c r="M78" s="8"/>
      <c r="N78" s="8"/>
      <c r="O78" s="10"/>
      <c r="P78" s="10"/>
      <c r="Q78" s="11"/>
      <c r="R78" s="38" t="s">
        <v>33</v>
      </c>
      <c r="S78" s="8" t="s">
        <v>3</v>
      </c>
      <c r="T78" s="8"/>
      <c r="U78" s="8"/>
      <c r="V78" s="8">
        <v>28</v>
      </c>
      <c r="W78" s="8">
        <f t="shared" si="7"/>
        <v>28</v>
      </c>
      <c r="X78" s="8"/>
      <c r="Y78" s="8" t="e">
        <f>ROUNDDOWN(W78/HLOOKUP(D78,#REF!,2,0)*8,2)</f>
        <v>#REF!</v>
      </c>
      <c r="Z78" s="8"/>
      <c r="AA78" s="8"/>
      <c r="AB78" s="12">
        <v>43935</v>
      </c>
      <c r="AC78" s="12">
        <v>43938</v>
      </c>
      <c r="AD78" s="12"/>
      <c r="AE78" s="12"/>
      <c r="AF78" s="14"/>
      <c r="AG78" s="17"/>
      <c r="AH78" s="17"/>
      <c r="AI78" s="17"/>
      <c r="AJ78" s="14"/>
      <c r="AK78" s="8"/>
      <c r="AL78" s="8"/>
      <c r="AM78" s="8"/>
    </row>
    <row r="79" spans="2:39" x14ac:dyDescent="0.25">
      <c r="B79" s="35">
        <v>32</v>
      </c>
      <c r="C79" s="9">
        <v>20200414</v>
      </c>
      <c r="D79" s="8" t="s">
        <v>2</v>
      </c>
      <c r="E79" s="8"/>
      <c r="F79" s="10"/>
      <c r="G79" s="10">
        <v>1416090</v>
      </c>
      <c r="H79" s="38" t="s">
        <v>33</v>
      </c>
      <c r="I79" s="8"/>
      <c r="J79" s="38" t="s">
        <v>33</v>
      </c>
      <c r="K79" s="8"/>
      <c r="L79" s="8"/>
      <c r="M79" s="8"/>
      <c r="N79" s="8"/>
      <c r="O79" s="10"/>
      <c r="P79" s="10"/>
      <c r="Q79" s="11"/>
      <c r="R79" s="38" t="s">
        <v>33</v>
      </c>
      <c r="S79" s="8" t="s">
        <v>3</v>
      </c>
      <c r="T79" s="8"/>
      <c r="U79" s="8"/>
      <c r="V79" s="8">
        <v>46</v>
      </c>
      <c r="W79" s="8">
        <f t="shared" si="7"/>
        <v>46</v>
      </c>
      <c r="X79" s="8"/>
      <c r="Y79" s="8" t="e">
        <f>ROUNDDOWN(W79/HLOOKUP(D79,#REF!,2,0)*8,2)</f>
        <v>#REF!</v>
      </c>
      <c r="Z79" s="8"/>
      <c r="AA79" s="8"/>
      <c r="AB79" s="12">
        <v>43935</v>
      </c>
      <c r="AC79" s="12">
        <v>43938</v>
      </c>
      <c r="AD79" s="12"/>
      <c r="AE79" s="12"/>
      <c r="AF79" s="14"/>
      <c r="AG79" s="17"/>
      <c r="AH79" s="17"/>
      <c r="AI79" s="17"/>
      <c r="AJ79" s="14"/>
      <c r="AK79" s="8"/>
      <c r="AL79" s="8"/>
      <c r="AM79" s="8"/>
    </row>
    <row r="80" spans="2:39" x14ac:dyDescent="0.25">
      <c r="B80" s="35">
        <v>33</v>
      </c>
      <c r="C80" s="9">
        <v>20200414</v>
      </c>
      <c r="D80" s="8" t="s">
        <v>2</v>
      </c>
      <c r="E80" s="8"/>
      <c r="F80" s="10"/>
      <c r="G80" s="10">
        <v>1416090</v>
      </c>
      <c r="H80" s="38" t="s">
        <v>33</v>
      </c>
      <c r="I80" s="8"/>
      <c r="J80" s="38" t="s">
        <v>33</v>
      </c>
      <c r="K80" s="8"/>
      <c r="L80" s="8"/>
      <c r="M80" s="8"/>
      <c r="N80" s="8"/>
      <c r="O80" s="10"/>
      <c r="P80" s="10"/>
      <c r="Q80" s="11"/>
      <c r="R80" s="38" t="s">
        <v>33</v>
      </c>
      <c r="S80" s="8" t="s">
        <v>3</v>
      </c>
      <c r="T80" s="8"/>
      <c r="U80" s="8"/>
      <c r="V80" s="8">
        <v>31</v>
      </c>
      <c r="W80" s="8">
        <f t="shared" si="7"/>
        <v>31</v>
      </c>
      <c r="X80" s="8"/>
      <c r="Y80" s="8" t="e">
        <f>ROUNDDOWN(W80/HLOOKUP(D80,#REF!,2,0)*8,2)</f>
        <v>#REF!</v>
      </c>
      <c r="Z80" s="8"/>
      <c r="AA80" s="8"/>
      <c r="AB80" s="12">
        <v>43935</v>
      </c>
      <c r="AC80" s="12">
        <v>43938</v>
      </c>
      <c r="AD80" s="12"/>
      <c r="AE80" s="12"/>
      <c r="AF80" s="14"/>
      <c r="AG80" s="17"/>
      <c r="AH80" s="17"/>
      <c r="AI80" s="17"/>
      <c r="AJ80" s="14"/>
      <c r="AK80" s="8"/>
      <c r="AL80" s="8"/>
      <c r="AM80" s="8"/>
    </row>
    <row r="81" spans="2:39" x14ac:dyDescent="0.25">
      <c r="B81" s="35">
        <v>34</v>
      </c>
      <c r="C81" s="9">
        <v>20200414</v>
      </c>
      <c r="D81" s="8" t="s">
        <v>2</v>
      </c>
      <c r="E81" s="8"/>
      <c r="F81" s="10"/>
      <c r="G81" s="10">
        <v>1416090</v>
      </c>
      <c r="H81" s="38" t="s">
        <v>33</v>
      </c>
      <c r="I81" s="8"/>
      <c r="J81" s="38" t="s">
        <v>33</v>
      </c>
      <c r="K81" s="8"/>
      <c r="L81" s="8"/>
      <c r="M81" s="8"/>
      <c r="N81" s="8"/>
      <c r="O81" s="10"/>
      <c r="P81" s="10"/>
      <c r="Q81" s="11"/>
      <c r="R81" s="38" t="s">
        <v>33</v>
      </c>
      <c r="S81" s="8" t="s">
        <v>3</v>
      </c>
      <c r="T81" s="8"/>
      <c r="U81" s="8"/>
      <c r="V81" s="8">
        <v>102</v>
      </c>
      <c r="W81" s="8">
        <f t="shared" si="7"/>
        <v>102</v>
      </c>
      <c r="X81" s="8"/>
      <c r="Y81" s="8" t="e">
        <f>ROUNDDOWN(W81/HLOOKUP(D81,#REF!,2,0)*8,2)</f>
        <v>#REF!</v>
      </c>
      <c r="Z81" s="8"/>
      <c r="AA81" s="8"/>
      <c r="AB81" s="12">
        <v>43935</v>
      </c>
      <c r="AC81" s="12">
        <v>43938</v>
      </c>
      <c r="AD81" s="12"/>
      <c r="AE81" s="12"/>
      <c r="AF81" s="14"/>
      <c r="AG81" s="17"/>
      <c r="AH81" s="17"/>
      <c r="AI81" s="17"/>
      <c r="AJ81" s="14"/>
      <c r="AK81" s="8"/>
      <c r="AL81" s="8"/>
      <c r="AM81" s="8"/>
    </row>
    <row r="82" spans="2:39" x14ac:dyDescent="0.25">
      <c r="B82" s="35">
        <v>35</v>
      </c>
      <c r="C82" s="9">
        <v>20200414</v>
      </c>
      <c r="D82" s="8" t="s">
        <v>2</v>
      </c>
      <c r="E82" s="8"/>
      <c r="F82" s="10"/>
      <c r="G82" s="10">
        <v>1416090</v>
      </c>
      <c r="H82" s="38" t="s">
        <v>33</v>
      </c>
      <c r="I82" s="8"/>
      <c r="J82" s="38" t="s">
        <v>33</v>
      </c>
      <c r="K82" s="8"/>
      <c r="L82" s="8"/>
      <c r="M82" s="8"/>
      <c r="N82" s="8"/>
      <c r="O82" s="10"/>
      <c r="P82" s="10"/>
      <c r="Q82" s="11"/>
      <c r="R82" s="38" t="s">
        <v>33</v>
      </c>
      <c r="S82" s="8" t="s">
        <v>3</v>
      </c>
      <c r="T82" s="8"/>
      <c r="U82" s="8"/>
      <c r="V82" s="8">
        <v>66</v>
      </c>
      <c r="W82" s="8">
        <f t="shared" si="7"/>
        <v>66</v>
      </c>
      <c r="X82" s="8"/>
      <c r="Y82" s="8" t="e">
        <f>ROUNDDOWN(W82/HLOOKUP(D82,#REF!,2,0)*8,2)</f>
        <v>#REF!</v>
      </c>
      <c r="Z82" s="8"/>
      <c r="AA82" s="8"/>
      <c r="AB82" s="12">
        <v>43935</v>
      </c>
      <c r="AC82" s="12">
        <v>43938</v>
      </c>
      <c r="AD82" s="12"/>
      <c r="AE82" s="12"/>
      <c r="AF82" s="14"/>
      <c r="AG82" s="17"/>
      <c r="AH82" s="17"/>
      <c r="AI82" s="17"/>
      <c r="AJ82" s="14"/>
      <c r="AK82" s="8"/>
      <c r="AL82" s="8"/>
      <c r="AM82" s="8"/>
    </row>
    <row r="83" spans="2:39" x14ac:dyDescent="0.25">
      <c r="B83" s="35">
        <v>36</v>
      </c>
      <c r="C83" s="9">
        <v>20200414</v>
      </c>
      <c r="D83" s="8" t="s">
        <v>2</v>
      </c>
      <c r="E83" s="8"/>
      <c r="F83" s="10"/>
      <c r="G83" s="10">
        <v>1416090</v>
      </c>
      <c r="H83" s="38" t="s">
        <v>33</v>
      </c>
      <c r="I83" s="8"/>
      <c r="J83" s="38" t="s">
        <v>33</v>
      </c>
      <c r="K83" s="8"/>
      <c r="L83" s="8"/>
      <c r="M83" s="8"/>
      <c r="N83" s="8"/>
      <c r="O83" s="10"/>
      <c r="P83" s="10"/>
      <c r="Q83" s="11"/>
      <c r="R83" s="38" t="s">
        <v>33</v>
      </c>
      <c r="S83" s="8" t="s">
        <v>3</v>
      </c>
      <c r="T83" s="8"/>
      <c r="U83" s="8"/>
      <c r="V83" s="8">
        <v>19</v>
      </c>
      <c r="W83" s="8">
        <f t="shared" si="7"/>
        <v>19</v>
      </c>
      <c r="X83" s="8"/>
      <c r="Y83" s="8" t="e">
        <f>ROUNDDOWN(W83/HLOOKUP(D83,#REF!,2,0)*8,2)</f>
        <v>#REF!</v>
      </c>
      <c r="Z83" s="8"/>
      <c r="AA83" s="8"/>
      <c r="AB83" s="12">
        <v>43935</v>
      </c>
      <c r="AC83" s="12">
        <v>43938</v>
      </c>
      <c r="AD83" s="12"/>
      <c r="AE83" s="12"/>
      <c r="AF83" s="14"/>
      <c r="AG83" s="17"/>
      <c r="AH83" s="17"/>
      <c r="AI83" s="17"/>
      <c r="AJ83" s="14"/>
      <c r="AK83" s="8"/>
      <c r="AL83" s="8"/>
      <c r="AM83" s="8"/>
    </row>
    <row r="84" spans="2:39" x14ac:dyDescent="0.25">
      <c r="B84" s="35">
        <v>37</v>
      </c>
      <c r="C84" s="9">
        <v>20200414</v>
      </c>
      <c r="D84" s="8" t="s">
        <v>2</v>
      </c>
      <c r="E84" s="8"/>
      <c r="F84" s="10"/>
      <c r="G84" s="10">
        <v>1417373</v>
      </c>
      <c r="H84" s="38" t="s">
        <v>33</v>
      </c>
      <c r="I84" s="8"/>
      <c r="J84" s="38" t="s">
        <v>33</v>
      </c>
      <c r="K84" s="8"/>
      <c r="L84" s="8"/>
      <c r="M84" s="8"/>
      <c r="N84" s="8"/>
      <c r="O84" s="10"/>
      <c r="P84" s="10"/>
      <c r="Q84" s="11"/>
      <c r="R84" s="38" t="s">
        <v>33</v>
      </c>
      <c r="S84" s="8" t="s">
        <v>37</v>
      </c>
      <c r="T84" s="8"/>
      <c r="U84" s="8"/>
      <c r="V84" s="8">
        <v>322</v>
      </c>
      <c r="W84" s="8">
        <f t="shared" si="7"/>
        <v>322</v>
      </c>
      <c r="X84" s="8">
        <f t="shared" ref="X84:X89" si="11">W84</f>
        <v>322</v>
      </c>
      <c r="Y84" s="8" t="e">
        <f>ROUNDDOWN(W84/HLOOKUP(D84,#REF!,2,0)*8,2)</f>
        <v>#REF!</v>
      </c>
      <c r="Z84" s="8">
        <v>2</v>
      </c>
      <c r="AA84" s="8" t="s">
        <v>12</v>
      </c>
      <c r="AB84" s="12">
        <v>43935</v>
      </c>
      <c r="AC84" s="12">
        <v>43938</v>
      </c>
      <c r="AD84" s="12">
        <v>43935</v>
      </c>
      <c r="AE84" s="12">
        <v>43935</v>
      </c>
      <c r="AF84" s="14" t="s">
        <v>54</v>
      </c>
      <c r="AG84" s="17">
        <v>1</v>
      </c>
      <c r="AH84" s="17">
        <v>1</v>
      </c>
      <c r="AI84" s="17">
        <v>1</v>
      </c>
      <c r="AJ84" s="14"/>
      <c r="AK84" s="8"/>
      <c r="AL84" s="8"/>
      <c r="AM84" s="8"/>
    </row>
    <row r="85" spans="2:39" x14ac:dyDescent="0.25">
      <c r="B85" s="35">
        <v>38</v>
      </c>
      <c r="C85" s="9">
        <v>20200414</v>
      </c>
      <c r="D85" s="8" t="s">
        <v>2</v>
      </c>
      <c r="E85" s="8"/>
      <c r="F85" s="10"/>
      <c r="G85" s="10">
        <v>1417373</v>
      </c>
      <c r="H85" s="38" t="s">
        <v>33</v>
      </c>
      <c r="I85" s="8"/>
      <c r="J85" s="38" t="s">
        <v>33</v>
      </c>
      <c r="K85" s="8"/>
      <c r="L85" s="8"/>
      <c r="M85" s="8"/>
      <c r="N85" s="8"/>
      <c r="O85" s="10"/>
      <c r="P85" s="10"/>
      <c r="Q85" s="11"/>
      <c r="R85" s="38" t="s">
        <v>33</v>
      </c>
      <c r="S85" s="8" t="s">
        <v>37</v>
      </c>
      <c r="T85" s="8"/>
      <c r="U85" s="8"/>
      <c r="V85" s="8">
        <v>268</v>
      </c>
      <c r="W85" s="8">
        <f t="shared" si="7"/>
        <v>268</v>
      </c>
      <c r="X85" s="8">
        <f t="shared" si="11"/>
        <v>268</v>
      </c>
      <c r="Y85" s="8" t="e">
        <f>ROUNDDOWN(W85/HLOOKUP(D85,#REF!,2,0)*8,2)</f>
        <v>#REF!</v>
      </c>
      <c r="Z85" s="8">
        <v>2</v>
      </c>
      <c r="AA85" s="8" t="s">
        <v>12</v>
      </c>
      <c r="AB85" s="12">
        <v>43935</v>
      </c>
      <c r="AC85" s="12">
        <v>43938</v>
      </c>
      <c r="AD85" s="12">
        <v>43936</v>
      </c>
      <c r="AE85" s="12">
        <v>43936</v>
      </c>
      <c r="AF85" s="14" t="s">
        <v>54</v>
      </c>
      <c r="AG85" s="17">
        <v>1</v>
      </c>
      <c r="AH85" s="17">
        <v>1</v>
      </c>
      <c r="AI85" s="17">
        <v>1</v>
      </c>
      <c r="AJ85" s="14"/>
      <c r="AK85" s="8"/>
      <c r="AL85" s="8"/>
      <c r="AM85" s="8"/>
    </row>
    <row r="86" spans="2:39" x14ac:dyDescent="0.25">
      <c r="B86" s="35">
        <v>39</v>
      </c>
      <c r="C86" s="9">
        <v>20200414</v>
      </c>
      <c r="D86" s="8" t="s">
        <v>2</v>
      </c>
      <c r="E86" s="8"/>
      <c r="F86" s="10"/>
      <c r="G86" s="10">
        <v>1417373</v>
      </c>
      <c r="H86" s="38" t="s">
        <v>33</v>
      </c>
      <c r="I86" s="8"/>
      <c r="J86" s="38" t="s">
        <v>33</v>
      </c>
      <c r="K86" s="8"/>
      <c r="L86" s="8"/>
      <c r="M86" s="8"/>
      <c r="N86" s="8"/>
      <c r="O86" s="10"/>
      <c r="P86" s="10"/>
      <c r="Q86" s="11"/>
      <c r="R86" s="38" t="s">
        <v>33</v>
      </c>
      <c r="S86" s="8" t="s">
        <v>37</v>
      </c>
      <c r="T86" s="8"/>
      <c r="U86" s="8"/>
      <c r="V86" s="8">
        <v>275</v>
      </c>
      <c r="W86" s="8">
        <f t="shared" si="7"/>
        <v>275</v>
      </c>
      <c r="X86" s="8">
        <f t="shared" si="11"/>
        <v>275</v>
      </c>
      <c r="Y86" s="8" t="e">
        <f>ROUNDDOWN(W86/HLOOKUP(D86,#REF!,2,0)*8,2)</f>
        <v>#REF!</v>
      </c>
      <c r="Z86" s="8">
        <v>2</v>
      </c>
      <c r="AA86" s="8" t="s">
        <v>12</v>
      </c>
      <c r="AB86" s="12">
        <v>43935</v>
      </c>
      <c r="AC86" s="12">
        <v>43938</v>
      </c>
      <c r="AD86" s="12">
        <v>43936</v>
      </c>
      <c r="AE86" s="12">
        <v>43936</v>
      </c>
      <c r="AF86" s="14" t="s">
        <v>54</v>
      </c>
      <c r="AG86" s="17">
        <v>1</v>
      </c>
      <c r="AH86" s="17">
        <v>1</v>
      </c>
      <c r="AI86" s="17">
        <v>1</v>
      </c>
      <c r="AJ86" s="14"/>
      <c r="AK86" s="8"/>
      <c r="AL86" s="8"/>
      <c r="AM86" s="8"/>
    </row>
    <row r="87" spans="2:39" x14ac:dyDescent="0.25">
      <c r="B87" s="35">
        <v>40</v>
      </c>
      <c r="C87" s="9">
        <v>20200414</v>
      </c>
      <c r="D87" s="8" t="s">
        <v>2</v>
      </c>
      <c r="E87" s="8"/>
      <c r="F87" s="10"/>
      <c r="G87" s="10">
        <v>1417373</v>
      </c>
      <c r="H87" s="38" t="s">
        <v>33</v>
      </c>
      <c r="I87" s="8"/>
      <c r="J87" s="38" t="s">
        <v>33</v>
      </c>
      <c r="K87" s="8"/>
      <c r="L87" s="8"/>
      <c r="M87" s="8"/>
      <c r="N87" s="8"/>
      <c r="O87" s="10"/>
      <c r="P87" s="10"/>
      <c r="Q87" s="11"/>
      <c r="R87" s="38" t="s">
        <v>33</v>
      </c>
      <c r="S87" s="8" t="s">
        <v>37</v>
      </c>
      <c r="T87" s="8"/>
      <c r="U87" s="8"/>
      <c r="V87" s="8">
        <v>267</v>
      </c>
      <c r="W87" s="8">
        <f t="shared" si="7"/>
        <v>267</v>
      </c>
      <c r="X87" s="8">
        <f t="shared" si="11"/>
        <v>267</v>
      </c>
      <c r="Y87" s="8" t="e">
        <f>ROUNDDOWN(W87/HLOOKUP(D87,#REF!,2,0)*8,2)</f>
        <v>#REF!</v>
      </c>
      <c r="Z87" s="8">
        <v>2.5</v>
      </c>
      <c r="AA87" s="8" t="s">
        <v>12</v>
      </c>
      <c r="AB87" s="12">
        <v>43935</v>
      </c>
      <c r="AC87" s="12">
        <v>43938</v>
      </c>
      <c r="AD87" s="12">
        <v>43936</v>
      </c>
      <c r="AE87" s="12">
        <v>43936</v>
      </c>
      <c r="AF87" s="14" t="s">
        <v>54</v>
      </c>
      <c r="AG87" s="17">
        <v>1</v>
      </c>
      <c r="AH87" s="17">
        <v>1</v>
      </c>
      <c r="AI87" s="17">
        <v>1</v>
      </c>
      <c r="AJ87" s="14"/>
      <c r="AK87" s="8"/>
      <c r="AL87" s="8"/>
      <c r="AM87" s="8"/>
    </row>
    <row r="88" spans="2:39" x14ac:dyDescent="0.25">
      <c r="B88" s="36">
        <v>41</v>
      </c>
      <c r="C88" s="9">
        <v>20200414</v>
      </c>
      <c r="D88" s="8" t="s">
        <v>2</v>
      </c>
      <c r="E88" s="8"/>
      <c r="F88" s="10"/>
      <c r="G88" s="10">
        <v>1417493</v>
      </c>
      <c r="H88" s="38" t="s">
        <v>33</v>
      </c>
      <c r="I88" s="8"/>
      <c r="J88" s="38" t="s">
        <v>33</v>
      </c>
      <c r="K88" s="8"/>
      <c r="L88" s="10"/>
      <c r="M88" s="8"/>
      <c r="N88" s="8"/>
      <c r="O88" s="10"/>
      <c r="P88" s="10"/>
      <c r="Q88" s="11"/>
      <c r="R88" s="38" t="s">
        <v>33</v>
      </c>
      <c r="S88" s="8" t="s">
        <v>38</v>
      </c>
      <c r="T88" s="8"/>
      <c r="U88" s="8"/>
      <c r="V88" s="8">
        <v>200</v>
      </c>
      <c r="W88" s="8">
        <f t="shared" si="7"/>
        <v>200</v>
      </c>
      <c r="X88" s="8">
        <f t="shared" si="11"/>
        <v>200</v>
      </c>
      <c r="Y88" s="8" t="e">
        <f>ROUNDDOWN(W88/HLOOKUP(D88,#REF!,2,0)*8,2)</f>
        <v>#REF!</v>
      </c>
      <c r="Z88" s="8">
        <v>1</v>
      </c>
      <c r="AA88" s="8" t="s">
        <v>12</v>
      </c>
      <c r="AB88" s="12">
        <v>43935</v>
      </c>
      <c r="AC88" s="12">
        <v>43938</v>
      </c>
      <c r="AD88" s="12">
        <v>43936</v>
      </c>
      <c r="AE88" s="12">
        <v>43936</v>
      </c>
      <c r="AF88" s="14" t="s">
        <v>54</v>
      </c>
      <c r="AG88" s="17"/>
      <c r="AH88" s="17"/>
      <c r="AI88" s="17"/>
      <c r="AJ88" s="14"/>
      <c r="AK88" s="8"/>
      <c r="AL88" s="8"/>
      <c r="AM88" s="8"/>
    </row>
    <row r="89" spans="2:39" x14ac:dyDescent="0.25">
      <c r="B89" s="36">
        <v>42</v>
      </c>
      <c r="C89" s="9">
        <v>20200414</v>
      </c>
      <c r="D89" s="8" t="s">
        <v>2</v>
      </c>
      <c r="E89" s="8"/>
      <c r="F89" s="10"/>
      <c r="G89" s="10">
        <v>1417493</v>
      </c>
      <c r="H89" s="38" t="s">
        <v>33</v>
      </c>
      <c r="I89" s="8"/>
      <c r="J89" s="38" t="s">
        <v>33</v>
      </c>
      <c r="K89" s="8"/>
      <c r="L89" s="10"/>
      <c r="M89" s="8"/>
      <c r="N89" s="8"/>
      <c r="O89" s="10"/>
      <c r="P89" s="10"/>
      <c r="Q89" s="11"/>
      <c r="R89" s="38" t="s">
        <v>33</v>
      </c>
      <c r="S89" s="8" t="s">
        <v>38</v>
      </c>
      <c r="T89" s="8"/>
      <c r="U89" s="8"/>
      <c r="V89" s="8">
        <v>137</v>
      </c>
      <c r="W89" s="8">
        <f t="shared" si="7"/>
        <v>137</v>
      </c>
      <c r="X89" s="8">
        <f t="shared" si="11"/>
        <v>137</v>
      </c>
      <c r="Y89" s="8" t="e">
        <f>ROUNDDOWN(W89/HLOOKUP(D89,#REF!,2,0)*8,2)</f>
        <v>#REF!</v>
      </c>
      <c r="Z89" s="8">
        <v>1</v>
      </c>
      <c r="AA89" s="8" t="s">
        <v>12</v>
      </c>
      <c r="AB89" s="12">
        <v>43935</v>
      </c>
      <c r="AC89" s="12">
        <v>43938</v>
      </c>
      <c r="AD89" s="12">
        <v>43936</v>
      </c>
      <c r="AE89" s="12">
        <v>43936</v>
      </c>
      <c r="AF89" s="14" t="s">
        <v>54</v>
      </c>
      <c r="AG89" s="17"/>
      <c r="AH89" s="17"/>
      <c r="AI89" s="17"/>
      <c r="AJ89" s="14"/>
      <c r="AK89" s="8"/>
      <c r="AL89" s="8"/>
      <c r="AM89" s="8"/>
    </row>
    <row r="90" spans="2:39" x14ac:dyDescent="0.25">
      <c r="B90" s="36">
        <v>43</v>
      </c>
      <c r="C90" s="9">
        <v>20200414</v>
      </c>
      <c r="D90" s="8" t="s">
        <v>2</v>
      </c>
      <c r="E90" s="8"/>
      <c r="F90" s="10"/>
      <c r="G90" s="10">
        <v>1417493</v>
      </c>
      <c r="H90" s="38" t="s">
        <v>33</v>
      </c>
      <c r="I90" s="8"/>
      <c r="J90" s="38" t="s">
        <v>33</v>
      </c>
      <c r="K90" s="8"/>
      <c r="L90" s="10"/>
      <c r="M90" s="8"/>
      <c r="N90" s="8"/>
      <c r="O90" s="10"/>
      <c r="P90" s="10"/>
      <c r="Q90" s="11"/>
      <c r="R90" s="38" t="s">
        <v>33</v>
      </c>
      <c r="S90" s="8" t="s">
        <v>38</v>
      </c>
      <c r="T90" s="8"/>
      <c r="U90" s="8"/>
      <c r="V90" s="8">
        <v>343</v>
      </c>
      <c r="W90" s="8">
        <f t="shared" si="7"/>
        <v>343</v>
      </c>
      <c r="X90" s="8"/>
      <c r="Y90" s="8" t="e">
        <f>ROUNDDOWN(W90/HLOOKUP(D90,#REF!,2,0)*8,2)</f>
        <v>#REF!</v>
      </c>
      <c r="Z90" s="8"/>
      <c r="AA90" s="8"/>
      <c r="AB90" s="12">
        <v>43935</v>
      </c>
      <c r="AC90" s="12">
        <v>43938</v>
      </c>
      <c r="AD90" s="12"/>
      <c r="AE90" s="12"/>
      <c r="AF90" s="14"/>
      <c r="AG90" s="17"/>
      <c r="AH90" s="17"/>
      <c r="AI90" s="17"/>
      <c r="AJ90" s="14"/>
      <c r="AK90" s="8"/>
      <c r="AL90" s="8"/>
      <c r="AM90" s="8"/>
    </row>
    <row r="91" spans="2:39" x14ac:dyDescent="0.25">
      <c r="B91" s="36">
        <v>44</v>
      </c>
      <c r="C91" s="9">
        <v>20200414</v>
      </c>
      <c r="D91" s="8" t="s">
        <v>2</v>
      </c>
      <c r="E91" s="8"/>
      <c r="F91" s="10"/>
      <c r="G91" s="10">
        <v>1417493</v>
      </c>
      <c r="H91" s="38" t="s">
        <v>33</v>
      </c>
      <c r="I91" s="8"/>
      <c r="J91" s="38" t="s">
        <v>33</v>
      </c>
      <c r="K91" s="8"/>
      <c r="L91" s="10"/>
      <c r="M91" s="8"/>
      <c r="N91" s="8"/>
      <c r="O91" s="10"/>
      <c r="P91" s="10"/>
      <c r="Q91" s="11"/>
      <c r="R91" s="38" t="s">
        <v>33</v>
      </c>
      <c r="S91" s="8" t="s">
        <v>38</v>
      </c>
      <c r="T91" s="8"/>
      <c r="U91" s="8"/>
      <c r="V91" s="8">
        <v>36</v>
      </c>
      <c r="W91" s="8">
        <f t="shared" si="7"/>
        <v>36</v>
      </c>
      <c r="X91" s="8">
        <f>W91</f>
        <v>36</v>
      </c>
      <c r="Y91" s="8" t="e">
        <f>ROUNDDOWN(W91/HLOOKUP(D91,#REF!,2,0)*8,2)</f>
        <v>#REF!</v>
      </c>
      <c r="Z91" s="8">
        <v>1</v>
      </c>
      <c r="AA91" s="8" t="s">
        <v>12</v>
      </c>
      <c r="AB91" s="12">
        <v>43935</v>
      </c>
      <c r="AC91" s="12">
        <v>43938</v>
      </c>
      <c r="AD91" s="12">
        <v>43936</v>
      </c>
      <c r="AE91" s="12">
        <v>43936</v>
      </c>
      <c r="AF91" s="14" t="s">
        <v>54</v>
      </c>
      <c r="AG91" s="17"/>
      <c r="AH91" s="17"/>
      <c r="AI91" s="17"/>
      <c r="AJ91" s="14"/>
      <c r="AK91" s="8"/>
      <c r="AL91" s="8"/>
      <c r="AM91" s="8"/>
    </row>
    <row r="92" spans="2:39" x14ac:dyDescent="0.25">
      <c r="B92" s="36">
        <v>45</v>
      </c>
      <c r="C92" s="9">
        <v>20200414</v>
      </c>
      <c r="D92" s="8" t="s">
        <v>2</v>
      </c>
      <c r="E92" s="8"/>
      <c r="F92" s="10"/>
      <c r="G92" s="10">
        <v>1417493</v>
      </c>
      <c r="H92" s="38" t="s">
        <v>33</v>
      </c>
      <c r="I92" s="8"/>
      <c r="J92" s="38" t="s">
        <v>33</v>
      </c>
      <c r="K92" s="8"/>
      <c r="L92" s="10"/>
      <c r="M92" s="8"/>
      <c r="N92" s="8"/>
      <c r="O92" s="10"/>
      <c r="P92" s="10"/>
      <c r="Q92" s="11"/>
      <c r="R92" s="38" t="s">
        <v>33</v>
      </c>
      <c r="S92" s="8" t="s">
        <v>38</v>
      </c>
      <c r="T92" s="8"/>
      <c r="U92" s="8"/>
      <c r="V92" s="8">
        <v>225</v>
      </c>
      <c r="W92" s="8">
        <f t="shared" si="7"/>
        <v>225</v>
      </c>
      <c r="X92" s="8">
        <f>W92</f>
        <v>225</v>
      </c>
      <c r="Y92" s="8" t="e">
        <f>ROUNDDOWN(W92/HLOOKUP(D92,#REF!,2,0)*8,2)</f>
        <v>#REF!</v>
      </c>
      <c r="Z92" s="8">
        <v>1</v>
      </c>
      <c r="AA92" s="8" t="s">
        <v>12</v>
      </c>
      <c r="AB92" s="12">
        <v>43935</v>
      </c>
      <c r="AC92" s="12">
        <v>43938</v>
      </c>
      <c r="AD92" s="12">
        <v>43936</v>
      </c>
      <c r="AE92" s="12">
        <v>43936</v>
      </c>
      <c r="AF92" s="14" t="s">
        <v>54</v>
      </c>
      <c r="AG92" s="17"/>
      <c r="AH92" s="17"/>
      <c r="AI92" s="17"/>
      <c r="AJ92" s="14"/>
      <c r="AK92" s="8"/>
      <c r="AL92" s="8"/>
      <c r="AM92" s="8"/>
    </row>
    <row r="93" spans="2:39" x14ac:dyDescent="0.25">
      <c r="B93" s="36">
        <v>46</v>
      </c>
      <c r="C93" s="9">
        <v>20200414</v>
      </c>
      <c r="D93" s="8" t="s">
        <v>2</v>
      </c>
      <c r="E93" s="8"/>
      <c r="F93" s="10"/>
      <c r="G93" s="10">
        <v>1417493</v>
      </c>
      <c r="H93" s="38" t="s">
        <v>33</v>
      </c>
      <c r="I93" s="8"/>
      <c r="J93" s="38" t="s">
        <v>33</v>
      </c>
      <c r="K93" s="8"/>
      <c r="L93" s="10"/>
      <c r="M93" s="8"/>
      <c r="N93" s="8"/>
      <c r="O93" s="10"/>
      <c r="P93" s="10"/>
      <c r="Q93" s="11"/>
      <c r="R93" s="38" t="s">
        <v>33</v>
      </c>
      <c r="S93" s="8" t="s">
        <v>37</v>
      </c>
      <c r="T93" s="8"/>
      <c r="U93" s="8"/>
      <c r="V93" s="8">
        <v>194</v>
      </c>
      <c r="W93" s="8">
        <f t="shared" si="7"/>
        <v>194</v>
      </c>
      <c r="X93" s="8">
        <f>W93</f>
        <v>194</v>
      </c>
      <c r="Y93" s="8" t="e">
        <f>ROUNDDOWN(W93/HLOOKUP(D93,#REF!,2,0)*8,2)</f>
        <v>#REF!</v>
      </c>
      <c r="Z93" s="8">
        <v>3</v>
      </c>
      <c r="AA93" s="8" t="s">
        <v>12</v>
      </c>
      <c r="AB93" s="12">
        <v>43935</v>
      </c>
      <c r="AC93" s="12">
        <v>43938</v>
      </c>
      <c r="AD93" s="12">
        <v>43936</v>
      </c>
      <c r="AE93" s="12">
        <v>43936</v>
      </c>
      <c r="AF93" s="14" t="s">
        <v>54</v>
      </c>
      <c r="AG93" s="17">
        <v>1</v>
      </c>
      <c r="AH93" s="17">
        <v>1</v>
      </c>
      <c r="AI93" s="17">
        <v>1</v>
      </c>
      <c r="AJ93" s="14"/>
      <c r="AK93" s="8"/>
      <c r="AL93" s="8"/>
      <c r="AM93" s="8"/>
    </row>
    <row r="94" spans="2:39" x14ac:dyDescent="0.25">
      <c r="B94" s="36">
        <v>47</v>
      </c>
      <c r="C94" s="9">
        <v>20200414</v>
      </c>
      <c r="D94" s="8" t="s">
        <v>2</v>
      </c>
      <c r="E94" s="8"/>
      <c r="F94" s="10"/>
      <c r="G94" s="10">
        <v>1417493</v>
      </c>
      <c r="H94" s="38" t="s">
        <v>33</v>
      </c>
      <c r="I94" s="8"/>
      <c r="J94" s="38" t="s">
        <v>33</v>
      </c>
      <c r="K94" s="8"/>
      <c r="L94" s="10"/>
      <c r="M94" s="8"/>
      <c r="N94" s="8"/>
      <c r="O94" s="10"/>
      <c r="P94" s="10"/>
      <c r="Q94" s="11"/>
      <c r="R94" s="38" t="s">
        <v>33</v>
      </c>
      <c r="S94" s="8" t="s">
        <v>37</v>
      </c>
      <c r="T94" s="8"/>
      <c r="U94" s="8"/>
      <c r="V94" s="8">
        <v>321</v>
      </c>
      <c r="W94" s="8">
        <f t="shared" si="7"/>
        <v>321</v>
      </c>
      <c r="X94" s="8">
        <f>W94</f>
        <v>321</v>
      </c>
      <c r="Y94" s="8" t="e">
        <f>ROUNDDOWN(W94/HLOOKUP(D94,#REF!,2,0)*8,2)</f>
        <v>#REF!</v>
      </c>
      <c r="Z94" s="8">
        <v>6</v>
      </c>
      <c r="AA94" s="8" t="s">
        <v>12</v>
      </c>
      <c r="AB94" s="12">
        <v>43935</v>
      </c>
      <c r="AC94" s="12">
        <v>43938</v>
      </c>
      <c r="AD94" s="12">
        <v>43937</v>
      </c>
      <c r="AE94" s="12">
        <v>43937</v>
      </c>
      <c r="AF94" s="14" t="s">
        <v>54</v>
      </c>
      <c r="AG94" s="17">
        <v>1</v>
      </c>
      <c r="AH94" s="17">
        <v>1</v>
      </c>
      <c r="AI94" s="17">
        <v>1</v>
      </c>
      <c r="AJ94" s="14"/>
      <c r="AK94" s="8"/>
      <c r="AL94" s="8"/>
      <c r="AM94" s="8"/>
    </row>
    <row r="95" spans="2:39" x14ac:dyDescent="0.25">
      <c r="B95" s="36">
        <v>48</v>
      </c>
      <c r="C95" s="9">
        <v>20200414</v>
      </c>
      <c r="D95" s="8" t="s">
        <v>2</v>
      </c>
      <c r="E95" s="8"/>
      <c r="F95" s="10"/>
      <c r="G95" s="10">
        <v>1417493</v>
      </c>
      <c r="H95" s="38" t="s">
        <v>33</v>
      </c>
      <c r="I95" s="8"/>
      <c r="J95" s="38" t="s">
        <v>33</v>
      </c>
      <c r="K95" s="8"/>
      <c r="L95" s="10"/>
      <c r="M95" s="8"/>
      <c r="N95" s="8"/>
      <c r="O95" s="10"/>
      <c r="P95" s="10"/>
      <c r="Q95" s="11"/>
      <c r="R95" s="38" t="s">
        <v>33</v>
      </c>
      <c r="S95" s="8" t="s">
        <v>37</v>
      </c>
      <c r="T95" s="8"/>
      <c r="U95" s="8"/>
      <c r="V95" s="8">
        <v>52</v>
      </c>
      <c r="W95" s="8">
        <f t="shared" si="7"/>
        <v>52</v>
      </c>
      <c r="X95" s="8"/>
      <c r="Y95" s="8" t="e">
        <f>ROUNDDOWN(W95/HLOOKUP(D95,#REF!,2,0)*8,2)</f>
        <v>#REF!</v>
      </c>
      <c r="Z95" s="8"/>
      <c r="AA95" s="8"/>
      <c r="AB95" s="12">
        <v>43935</v>
      </c>
      <c r="AC95" s="12">
        <v>43938</v>
      </c>
      <c r="AD95" s="12"/>
      <c r="AE95" s="12"/>
      <c r="AF95" s="14"/>
      <c r="AG95" s="17"/>
      <c r="AH95" s="17"/>
      <c r="AI95" s="17"/>
      <c r="AJ95" s="14"/>
      <c r="AK95" s="8"/>
      <c r="AL95" s="8"/>
      <c r="AM95" s="8"/>
    </row>
    <row r="96" spans="2:39" x14ac:dyDescent="0.25">
      <c r="B96" s="36">
        <v>49</v>
      </c>
      <c r="C96" s="9">
        <v>20200414</v>
      </c>
      <c r="D96" s="8" t="s">
        <v>2</v>
      </c>
      <c r="E96" s="8"/>
      <c r="F96" s="10"/>
      <c r="G96" s="10">
        <v>1417493</v>
      </c>
      <c r="H96" s="38" t="s">
        <v>33</v>
      </c>
      <c r="I96" s="8"/>
      <c r="J96" s="38" t="s">
        <v>33</v>
      </c>
      <c r="K96" s="8"/>
      <c r="L96" s="10"/>
      <c r="M96" s="8"/>
      <c r="N96" s="8"/>
      <c r="O96" s="10"/>
      <c r="P96" s="10"/>
      <c r="Q96" s="11"/>
      <c r="R96" s="38" t="s">
        <v>33</v>
      </c>
      <c r="S96" s="8" t="s">
        <v>37</v>
      </c>
      <c r="T96" s="8"/>
      <c r="U96" s="8"/>
      <c r="V96" s="8">
        <v>209</v>
      </c>
      <c r="W96" s="8">
        <f t="shared" si="7"/>
        <v>209</v>
      </c>
      <c r="X96" s="8"/>
      <c r="Y96" s="8" t="e">
        <f>ROUNDDOWN(W96/HLOOKUP(D96,#REF!,2,0)*8,2)</f>
        <v>#REF!</v>
      </c>
      <c r="Z96" s="8"/>
      <c r="AA96" s="8"/>
      <c r="AB96" s="12">
        <v>43935</v>
      </c>
      <c r="AC96" s="12">
        <v>43938</v>
      </c>
      <c r="AD96" s="12"/>
      <c r="AE96" s="12"/>
      <c r="AF96" s="14"/>
      <c r="AG96" s="17"/>
      <c r="AH96" s="17"/>
      <c r="AI96" s="17"/>
      <c r="AJ96" s="14"/>
      <c r="AK96" s="8"/>
      <c r="AL96" s="8"/>
      <c r="AM96" s="8"/>
    </row>
    <row r="97" spans="2:39" x14ac:dyDescent="0.25">
      <c r="B97" s="36">
        <v>50</v>
      </c>
      <c r="C97" s="9">
        <v>20200414</v>
      </c>
      <c r="D97" s="8" t="s">
        <v>2</v>
      </c>
      <c r="E97" s="8"/>
      <c r="F97" s="10"/>
      <c r="G97" s="10">
        <v>1417493</v>
      </c>
      <c r="H97" s="38" t="s">
        <v>33</v>
      </c>
      <c r="I97" s="8"/>
      <c r="J97" s="38" t="s">
        <v>33</v>
      </c>
      <c r="K97" s="8"/>
      <c r="L97" s="10"/>
      <c r="M97" s="8"/>
      <c r="N97" s="8"/>
      <c r="O97" s="10"/>
      <c r="P97" s="10"/>
      <c r="Q97" s="11"/>
      <c r="R97" s="38" t="s">
        <v>33</v>
      </c>
      <c r="S97" s="8" t="s">
        <v>37</v>
      </c>
      <c r="T97" s="8"/>
      <c r="U97" s="8"/>
      <c r="V97" s="8">
        <v>67</v>
      </c>
      <c r="W97" s="8">
        <f t="shared" si="7"/>
        <v>67</v>
      </c>
      <c r="X97" s="8"/>
      <c r="Y97" s="8" t="e">
        <f>ROUNDDOWN(W97/HLOOKUP(D97,#REF!,2,0)*8,2)</f>
        <v>#REF!</v>
      </c>
      <c r="Z97" s="8"/>
      <c r="AA97" s="8"/>
      <c r="AB97" s="12">
        <v>43935</v>
      </c>
      <c r="AC97" s="12">
        <v>43938</v>
      </c>
      <c r="AD97" s="12"/>
      <c r="AE97" s="12"/>
      <c r="AF97" s="14"/>
      <c r="AG97" s="17"/>
      <c r="AH97" s="17"/>
      <c r="AI97" s="17"/>
      <c r="AJ97" s="14"/>
      <c r="AK97" s="8"/>
      <c r="AL97" s="8"/>
      <c r="AM97" s="8"/>
    </row>
    <row r="98" spans="2:39" x14ac:dyDescent="0.25">
      <c r="B98" s="36">
        <v>51</v>
      </c>
      <c r="C98" s="9">
        <v>20200414</v>
      </c>
      <c r="D98" s="8" t="s">
        <v>2</v>
      </c>
      <c r="E98" s="8"/>
      <c r="F98" s="10"/>
      <c r="G98" s="10">
        <v>1417493</v>
      </c>
      <c r="H98" s="38" t="s">
        <v>33</v>
      </c>
      <c r="I98" s="8"/>
      <c r="J98" s="38" t="s">
        <v>33</v>
      </c>
      <c r="K98" s="8"/>
      <c r="L98" s="10"/>
      <c r="M98" s="8"/>
      <c r="N98" s="8"/>
      <c r="O98" s="10"/>
      <c r="P98" s="10"/>
      <c r="Q98" s="11"/>
      <c r="R98" s="38" t="s">
        <v>33</v>
      </c>
      <c r="S98" s="8" t="s">
        <v>37</v>
      </c>
      <c r="T98" s="8"/>
      <c r="U98" s="8"/>
      <c r="V98" s="8">
        <v>202</v>
      </c>
      <c r="W98" s="8">
        <f t="shared" si="7"/>
        <v>202</v>
      </c>
      <c r="X98" s="8"/>
      <c r="Y98" s="8" t="e">
        <f>ROUNDDOWN(W98/HLOOKUP(D98,#REF!,2,0)*8,2)</f>
        <v>#REF!</v>
      </c>
      <c r="Z98" s="8"/>
      <c r="AA98" s="8"/>
      <c r="AB98" s="12">
        <v>43935</v>
      </c>
      <c r="AC98" s="12">
        <v>43938</v>
      </c>
      <c r="AD98" s="12"/>
      <c r="AE98" s="12"/>
      <c r="AF98" s="14"/>
      <c r="AG98" s="17"/>
      <c r="AH98" s="17"/>
      <c r="AI98" s="17"/>
      <c r="AJ98" s="14"/>
      <c r="AK98" s="8"/>
      <c r="AL98" s="8"/>
      <c r="AM98" s="8"/>
    </row>
    <row r="99" spans="2:39" x14ac:dyDescent="0.25">
      <c r="B99" s="36">
        <v>52</v>
      </c>
      <c r="C99" s="9">
        <v>20200414</v>
      </c>
      <c r="D99" s="8" t="s">
        <v>2</v>
      </c>
      <c r="E99" s="8"/>
      <c r="F99" s="10"/>
      <c r="G99" s="10">
        <v>1417493</v>
      </c>
      <c r="H99" s="38" t="s">
        <v>33</v>
      </c>
      <c r="I99" s="8"/>
      <c r="J99" s="38" t="s">
        <v>33</v>
      </c>
      <c r="K99" s="8"/>
      <c r="L99" s="10"/>
      <c r="M99" s="8"/>
      <c r="N99" s="8"/>
      <c r="O99" s="10"/>
      <c r="P99" s="10"/>
      <c r="Q99" s="11"/>
      <c r="R99" s="38" t="s">
        <v>33</v>
      </c>
      <c r="S99" s="8" t="s">
        <v>36</v>
      </c>
      <c r="T99" s="8"/>
      <c r="U99" s="8"/>
      <c r="V99" s="8">
        <v>133</v>
      </c>
      <c r="W99" s="8">
        <f t="shared" si="7"/>
        <v>133</v>
      </c>
      <c r="X99" s="8">
        <f t="shared" ref="X99:X112" si="12">W99</f>
        <v>133</v>
      </c>
      <c r="Y99" s="8" t="e">
        <f>ROUNDDOWN(W99/HLOOKUP(D99,#REF!,2,0)*8,2)</f>
        <v>#REF!</v>
      </c>
      <c r="Z99" s="8">
        <v>2</v>
      </c>
      <c r="AA99" s="8" t="s">
        <v>12</v>
      </c>
      <c r="AB99" s="12">
        <v>43935</v>
      </c>
      <c r="AC99" s="12">
        <v>43938</v>
      </c>
      <c r="AD99" s="12">
        <v>43937</v>
      </c>
      <c r="AE99" s="12">
        <v>43937</v>
      </c>
      <c r="AF99" s="14" t="s">
        <v>54</v>
      </c>
      <c r="AG99" s="17">
        <v>1</v>
      </c>
      <c r="AH99" s="17">
        <v>1</v>
      </c>
      <c r="AI99" s="17">
        <v>1</v>
      </c>
      <c r="AJ99" s="14"/>
      <c r="AK99" s="8"/>
      <c r="AL99" s="8"/>
      <c r="AM99" s="8"/>
    </row>
    <row r="100" spans="2:39" x14ac:dyDescent="0.25">
      <c r="B100" s="36">
        <v>53</v>
      </c>
      <c r="C100" s="9">
        <v>20200414</v>
      </c>
      <c r="D100" s="8" t="s">
        <v>2</v>
      </c>
      <c r="E100" s="8"/>
      <c r="F100" s="10"/>
      <c r="G100" s="10">
        <v>1417493</v>
      </c>
      <c r="H100" s="38" t="s">
        <v>33</v>
      </c>
      <c r="I100" s="8"/>
      <c r="J100" s="38" t="s">
        <v>33</v>
      </c>
      <c r="K100" s="8"/>
      <c r="L100" s="10"/>
      <c r="M100" s="8"/>
      <c r="N100" s="8"/>
      <c r="O100" s="10"/>
      <c r="P100" s="10"/>
      <c r="Q100" s="11"/>
      <c r="R100" s="38" t="s">
        <v>33</v>
      </c>
      <c r="S100" s="8" t="s">
        <v>36</v>
      </c>
      <c r="T100" s="8"/>
      <c r="U100" s="8"/>
      <c r="V100" s="8">
        <v>141</v>
      </c>
      <c r="W100" s="8">
        <f t="shared" si="7"/>
        <v>141</v>
      </c>
      <c r="X100" s="8">
        <f t="shared" si="12"/>
        <v>141</v>
      </c>
      <c r="Y100" s="8" t="e">
        <f>ROUNDDOWN(W100/HLOOKUP(D100,#REF!,2,0)*8,2)</f>
        <v>#REF!</v>
      </c>
      <c r="Z100" s="8">
        <v>1</v>
      </c>
      <c r="AA100" s="8" t="s">
        <v>12</v>
      </c>
      <c r="AB100" s="12">
        <v>43935</v>
      </c>
      <c r="AC100" s="12">
        <v>43938</v>
      </c>
      <c r="AD100" s="12">
        <v>43937</v>
      </c>
      <c r="AE100" s="12">
        <v>43937</v>
      </c>
      <c r="AF100" s="14" t="s">
        <v>54</v>
      </c>
      <c r="AG100" s="17">
        <v>1</v>
      </c>
      <c r="AH100" s="17">
        <v>1</v>
      </c>
      <c r="AI100" s="17">
        <v>1</v>
      </c>
      <c r="AJ100" s="14"/>
      <c r="AK100" s="8"/>
      <c r="AL100" s="8"/>
      <c r="AM100" s="8"/>
    </row>
    <row r="101" spans="2:39" x14ac:dyDescent="0.25">
      <c r="B101" s="25">
        <v>54</v>
      </c>
      <c r="C101" s="9">
        <v>20200414</v>
      </c>
      <c r="D101" s="8" t="s">
        <v>2</v>
      </c>
      <c r="E101" s="8"/>
      <c r="F101" s="10"/>
      <c r="G101" s="10">
        <v>1416608</v>
      </c>
      <c r="H101" s="38" t="s">
        <v>33</v>
      </c>
      <c r="I101" s="8"/>
      <c r="J101" s="38" t="s">
        <v>33</v>
      </c>
      <c r="K101" s="8"/>
      <c r="L101" s="10"/>
      <c r="M101" s="8"/>
      <c r="N101" s="8"/>
      <c r="O101" s="10"/>
      <c r="P101" s="10"/>
      <c r="Q101" s="11"/>
      <c r="R101" s="38" t="s">
        <v>33</v>
      </c>
      <c r="S101" s="8" t="s">
        <v>36</v>
      </c>
      <c r="T101" s="8"/>
      <c r="U101" s="8"/>
      <c r="V101" s="8">
        <v>84</v>
      </c>
      <c r="W101" s="8">
        <f t="shared" si="7"/>
        <v>84</v>
      </c>
      <c r="X101" s="8">
        <f t="shared" si="12"/>
        <v>84</v>
      </c>
      <c r="Y101" s="8" t="e">
        <f>ROUNDDOWN(W101/HLOOKUP(D101,#REF!,2,0)*8,2)</f>
        <v>#REF!</v>
      </c>
      <c r="Z101" s="8">
        <v>0.5</v>
      </c>
      <c r="AA101" s="8" t="s">
        <v>12</v>
      </c>
      <c r="AB101" s="12">
        <v>43935</v>
      </c>
      <c r="AC101" s="12">
        <v>43938</v>
      </c>
      <c r="AD101" s="12">
        <v>43936</v>
      </c>
      <c r="AE101" s="12">
        <v>43936</v>
      </c>
      <c r="AF101" s="14" t="s">
        <v>54</v>
      </c>
      <c r="AG101" s="17">
        <v>1</v>
      </c>
      <c r="AH101" s="17">
        <v>1</v>
      </c>
      <c r="AI101" s="17">
        <v>1</v>
      </c>
      <c r="AJ101" s="14"/>
      <c r="AK101" s="8"/>
      <c r="AL101" s="8"/>
      <c r="AM101" s="8"/>
    </row>
    <row r="102" spans="2:39" x14ac:dyDescent="0.25">
      <c r="B102" s="25">
        <v>55</v>
      </c>
      <c r="C102" s="9">
        <v>20200414</v>
      </c>
      <c r="D102" s="8" t="s">
        <v>2</v>
      </c>
      <c r="E102" s="8"/>
      <c r="F102" s="10"/>
      <c r="G102" s="10">
        <v>1416608</v>
      </c>
      <c r="H102" s="38" t="s">
        <v>33</v>
      </c>
      <c r="I102" s="8"/>
      <c r="J102" s="38" t="s">
        <v>33</v>
      </c>
      <c r="K102" s="8"/>
      <c r="L102" s="10"/>
      <c r="M102" s="8"/>
      <c r="N102" s="8"/>
      <c r="O102" s="10"/>
      <c r="P102" s="10"/>
      <c r="Q102" s="11"/>
      <c r="R102" s="38" t="s">
        <v>33</v>
      </c>
      <c r="S102" s="8" t="s">
        <v>36</v>
      </c>
      <c r="T102" s="8"/>
      <c r="U102" s="8"/>
      <c r="V102" s="8">
        <v>106</v>
      </c>
      <c r="W102" s="8">
        <f t="shared" si="7"/>
        <v>106</v>
      </c>
      <c r="X102" s="8">
        <f t="shared" si="12"/>
        <v>106</v>
      </c>
      <c r="Y102" s="8" t="e">
        <f>ROUNDDOWN(W102/HLOOKUP(D102,#REF!,2,0)*8,2)</f>
        <v>#REF!</v>
      </c>
      <c r="Z102" s="8">
        <v>0.5</v>
      </c>
      <c r="AA102" s="8" t="s">
        <v>12</v>
      </c>
      <c r="AB102" s="12">
        <v>43935</v>
      </c>
      <c r="AC102" s="12">
        <v>43938</v>
      </c>
      <c r="AD102" s="12">
        <v>43936</v>
      </c>
      <c r="AE102" s="12">
        <v>43936</v>
      </c>
      <c r="AF102" s="14" t="s">
        <v>54</v>
      </c>
      <c r="AG102" s="17">
        <v>1</v>
      </c>
      <c r="AH102" s="17">
        <v>1</v>
      </c>
      <c r="AI102" s="17">
        <v>1</v>
      </c>
      <c r="AJ102" s="14"/>
      <c r="AK102" s="8"/>
      <c r="AL102" s="8"/>
      <c r="AM102" s="8"/>
    </row>
    <row r="103" spans="2:39" x14ac:dyDescent="0.25">
      <c r="B103" s="25">
        <v>56</v>
      </c>
      <c r="C103" s="9">
        <v>20200414</v>
      </c>
      <c r="D103" s="8" t="s">
        <v>2</v>
      </c>
      <c r="E103" s="8"/>
      <c r="F103" s="10"/>
      <c r="G103" s="10">
        <v>1416608</v>
      </c>
      <c r="H103" s="38" t="s">
        <v>33</v>
      </c>
      <c r="I103" s="8"/>
      <c r="J103" s="38" t="s">
        <v>33</v>
      </c>
      <c r="K103" s="8"/>
      <c r="L103" s="10"/>
      <c r="M103" s="8"/>
      <c r="N103" s="8"/>
      <c r="O103" s="10"/>
      <c r="P103" s="10"/>
      <c r="Q103" s="11"/>
      <c r="R103" s="38" t="s">
        <v>33</v>
      </c>
      <c r="S103" s="8" t="s">
        <v>36</v>
      </c>
      <c r="T103" s="8"/>
      <c r="U103" s="8"/>
      <c r="V103" s="8">
        <v>259</v>
      </c>
      <c r="W103" s="8">
        <f t="shared" si="7"/>
        <v>259</v>
      </c>
      <c r="X103" s="8">
        <f t="shared" si="12"/>
        <v>259</v>
      </c>
      <c r="Y103" s="8" t="e">
        <f>ROUNDDOWN(W103/HLOOKUP(D103,#REF!,2,0)*8,2)</f>
        <v>#REF!</v>
      </c>
      <c r="Z103" s="8">
        <v>1</v>
      </c>
      <c r="AA103" s="8" t="s">
        <v>12</v>
      </c>
      <c r="AB103" s="12">
        <v>43935</v>
      </c>
      <c r="AC103" s="12">
        <v>43938</v>
      </c>
      <c r="AD103" s="12">
        <v>43937</v>
      </c>
      <c r="AE103" s="12">
        <v>43937</v>
      </c>
      <c r="AF103" s="14" t="s">
        <v>55</v>
      </c>
      <c r="AG103" s="17">
        <v>1</v>
      </c>
      <c r="AH103" s="17">
        <v>1</v>
      </c>
      <c r="AI103" s="17">
        <v>0.94</v>
      </c>
      <c r="AJ103" s="14"/>
      <c r="AK103" s="8" t="s">
        <v>79</v>
      </c>
      <c r="AL103" s="8"/>
      <c r="AM103" s="8"/>
    </row>
    <row r="104" spans="2:39" x14ac:dyDescent="0.25">
      <c r="B104" s="25">
        <v>57</v>
      </c>
      <c r="C104" s="9">
        <v>20200414</v>
      </c>
      <c r="D104" s="8" t="s">
        <v>2</v>
      </c>
      <c r="E104" s="8"/>
      <c r="F104" s="10"/>
      <c r="G104" s="10">
        <v>1416608</v>
      </c>
      <c r="H104" s="38" t="s">
        <v>33</v>
      </c>
      <c r="I104" s="8"/>
      <c r="J104" s="38" t="s">
        <v>33</v>
      </c>
      <c r="K104" s="8"/>
      <c r="L104" s="10"/>
      <c r="M104" s="8"/>
      <c r="N104" s="8"/>
      <c r="O104" s="10"/>
      <c r="P104" s="10"/>
      <c r="Q104" s="11"/>
      <c r="R104" s="38" t="s">
        <v>33</v>
      </c>
      <c r="S104" s="8" t="s">
        <v>36</v>
      </c>
      <c r="T104" s="8"/>
      <c r="U104" s="8"/>
      <c r="V104" s="8">
        <v>140</v>
      </c>
      <c r="W104" s="8">
        <f t="shared" si="7"/>
        <v>140</v>
      </c>
      <c r="X104" s="8">
        <f t="shared" si="12"/>
        <v>140</v>
      </c>
      <c r="Y104" s="8" t="e">
        <f>ROUNDDOWN(W104/HLOOKUP(D104,#REF!,2,0)*8,2)</f>
        <v>#REF!</v>
      </c>
      <c r="Z104" s="8">
        <v>1</v>
      </c>
      <c r="AA104" s="8" t="s">
        <v>12</v>
      </c>
      <c r="AB104" s="12">
        <v>43935</v>
      </c>
      <c r="AC104" s="12">
        <v>43938</v>
      </c>
      <c r="AD104" s="12">
        <v>43937</v>
      </c>
      <c r="AE104" s="12">
        <v>43937</v>
      </c>
      <c r="AF104" s="14" t="s">
        <v>54</v>
      </c>
      <c r="AG104" s="17">
        <v>1</v>
      </c>
      <c r="AH104" s="17">
        <v>1</v>
      </c>
      <c r="AI104" s="17">
        <v>1</v>
      </c>
      <c r="AJ104" s="14"/>
      <c r="AK104" s="8"/>
      <c r="AL104" s="8"/>
      <c r="AM104" s="8"/>
    </row>
    <row r="105" spans="2:39" x14ac:dyDescent="0.25">
      <c r="B105" s="25">
        <v>58</v>
      </c>
      <c r="C105" s="9">
        <v>20200414</v>
      </c>
      <c r="D105" s="8" t="s">
        <v>2</v>
      </c>
      <c r="E105" s="8"/>
      <c r="F105" s="10"/>
      <c r="G105" s="10">
        <v>1416608</v>
      </c>
      <c r="H105" s="38" t="s">
        <v>33</v>
      </c>
      <c r="I105" s="8"/>
      <c r="J105" s="38" t="s">
        <v>33</v>
      </c>
      <c r="K105" s="8"/>
      <c r="L105" s="10"/>
      <c r="M105" s="8"/>
      <c r="N105" s="8"/>
      <c r="O105" s="10"/>
      <c r="P105" s="10"/>
      <c r="Q105" s="11"/>
      <c r="R105" s="38" t="s">
        <v>33</v>
      </c>
      <c r="S105" s="8" t="s">
        <v>36</v>
      </c>
      <c r="T105" s="8"/>
      <c r="U105" s="8"/>
      <c r="V105" s="8">
        <v>77</v>
      </c>
      <c r="W105" s="8">
        <f t="shared" si="7"/>
        <v>77</v>
      </c>
      <c r="X105" s="8">
        <f t="shared" si="12"/>
        <v>77</v>
      </c>
      <c r="Y105" s="8" t="e">
        <f>ROUNDDOWN(W105/HLOOKUP(D105,#REF!,2,0)*8,2)</f>
        <v>#REF!</v>
      </c>
      <c r="Z105" s="8">
        <v>1</v>
      </c>
      <c r="AA105" s="8" t="s">
        <v>12</v>
      </c>
      <c r="AB105" s="12">
        <v>43935</v>
      </c>
      <c r="AC105" s="12">
        <v>43938</v>
      </c>
      <c r="AD105" s="12">
        <v>43937</v>
      </c>
      <c r="AE105" s="12">
        <v>43937</v>
      </c>
      <c r="AF105" s="14" t="s">
        <v>54</v>
      </c>
      <c r="AG105" s="17">
        <v>1</v>
      </c>
      <c r="AH105" s="17">
        <v>1</v>
      </c>
      <c r="AI105" s="17">
        <v>1</v>
      </c>
      <c r="AJ105" s="14"/>
      <c r="AK105" s="8"/>
      <c r="AL105" s="8"/>
      <c r="AM105" s="8"/>
    </row>
    <row r="106" spans="2:39" x14ac:dyDescent="0.25">
      <c r="B106" s="25">
        <v>59</v>
      </c>
      <c r="C106" s="9">
        <v>20200414</v>
      </c>
      <c r="D106" s="8" t="s">
        <v>2</v>
      </c>
      <c r="E106" s="8"/>
      <c r="F106" s="10"/>
      <c r="G106" s="10">
        <v>1416608</v>
      </c>
      <c r="H106" s="38" t="s">
        <v>33</v>
      </c>
      <c r="I106" s="8"/>
      <c r="J106" s="38" t="s">
        <v>33</v>
      </c>
      <c r="K106" s="8"/>
      <c r="L106" s="10"/>
      <c r="M106" s="8"/>
      <c r="N106" s="8"/>
      <c r="O106" s="10"/>
      <c r="P106" s="10"/>
      <c r="Q106" s="11"/>
      <c r="R106" s="38" t="s">
        <v>33</v>
      </c>
      <c r="S106" s="8" t="s">
        <v>36</v>
      </c>
      <c r="T106" s="8"/>
      <c r="U106" s="8"/>
      <c r="V106" s="8">
        <v>53</v>
      </c>
      <c r="W106" s="8">
        <f t="shared" si="7"/>
        <v>53</v>
      </c>
      <c r="X106" s="8">
        <f t="shared" si="12"/>
        <v>53</v>
      </c>
      <c r="Y106" s="8" t="e">
        <f>ROUNDDOWN(W106/HLOOKUP(D106,#REF!,2,0)*8,2)</f>
        <v>#REF!</v>
      </c>
      <c r="Z106" s="8">
        <v>1</v>
      </c>
      <c r="AA106" s="8" t="s">
        <v>12</v>
      </c>
      <c r="AB106" s="12">
        <v>43935</v>
      </c>
      <c r="AC106" s="12">
        <v>43938</v>
      </c>
      <c r="AD106" s="12">
        <v>43937</v>
      </c>
      <c r="AE106" s="12">
        <v>43937</v>
      </c>
      <c r="AF106" s="14" t="s">
        <v>55</v>
      </c>
      <c r="AG106" s="17">
        <v>1</v>
      </c>
      <c r="AH106" s="17">
        <v>1</v>
      </c>
      <c r="AI106" s="17">
        <v>1</v>
      </c>
      <c r="AJ106" s="14" t="s">
        <v>68</v>
      </c>
      <c r="AK106" s="8"/>
      <c r="AL106" s="8"/>
      <c r="AM106" s="8" t="s">
        <v>80</v>
      </c>
    </row>
    <row r="107" spans="2:39" x14ac:dyDescent="0.25">
      <c r="B107" s="25">
        <v>60</v>
      </c>
      <c r="C107" s="9">
        <v>20200414</v>
      </c>
      <c r="D107" s="8" t="s">
        <v>2</v>
      </c>
      <c r="E107" s="8"/>
      <c r="F107" s="10"/>
      <c r="G107" s="10">
        <v>1416608</v>
      </c>
      <c r="H107" s="38" t="s">
        <v>33</v>
      </c>
      <c r="I107" s="8"/>
      <c r="J107" s="38" t="s">
        <v>33</v>
      </c>
      <c r="K107" s="8"/>
      <c r="L107" s="10"/>
      <c r="M107" s="8"/>
      <c r="N107" s="8"/>
      <c r="O107" s="10"/>
      <c r="P107" s="10"/>
      <c r="Q107" s="11"/>
      <c r="R107" s="38" t="s">
        <v>33</v>
      </c>
      <c r="S107" s="8" t="s">
        <v>36</v>
      </c>
      <c r="T107" s="8"/>
      <c r="U107" s="8"/>
      <c r="V107" s="8">
        <v>160</v>
      </c>
      <c r="W107" s="8">
        <f t="shared" si="7"/>
        <v>160</v>
      </c>
      <c r="X107" s="8">
        <f t="shared" si="12"/>
        <v>160</v>
      </c>
      <c r="Y107" s="8" t="e">
        <f>ROUNDDOWN(W107/HLOOKUP(D107,#REF!,2,0)*8,2)</f>
        <v>#REF!</v>
      </c>
      <c r="Z107" s="8">
        <v>1</v>
      </c>
      <c r="AA107" s="8" t="s">
        <v>12</v>
      </c>
      <c r="AB107" s="12">
        <v>43935</v>
      </c>
      <c r="AC107" s="12">
        <v>43938</v>
      </c>
      <c r="AD107" s="12">
        <v>43937</v>
      </c>
      <c r="AE107" s="12">
        <v>43937</v>
      </c>
      <c r="AF107" s="14" t="s">
        <v>54</v>
      </c>
      <c r="AG107" s="17">
        <v>1</v>
      </c>
      <c r="AH107" s="17">
        <v>1</v>
      </c>
      <c r="AI107" s="17">
        <v>1</v>
      </c>
      <c r="AJ107" s="14"/>
      <c r="AK107" s="8"/>
      <c r="AL107" s="8"/>
      <c r="AM107" s="8"/>
    </row>
    <row r="108" spans="2:39" x14ac:dyDescent="0.25">
      <c r="B108" s="25">
        <v>61</v>
      </c>
      <c r="C108" s="9">
        <v>20200414</v>
      </c>
      <c r="D108" s="8" t="s">
        <v>2</v>
      </c>
      <c r="E108" s="8"/>
      <c r="F108" s="10"/>
      <c r="G108" s="10">
        <v>1416608</v>
      </c>
      <c r="H108" s="38" t="s">
        <v>33</v>
      </c>
      <c r="I108" s="8"/>
      <c r="J108" s="38" t="s">
        <v>33</v>
      </c>
      <c r="K108" s="8"/>
      <c r="L108" s="10"/>
      <c r="M108" s="8"/>
      <c r="N108" s="8"/>
      <c r="O108" s="10"/>
      <c r="P108" s="10"/>
      <c r="Q108" s="11"/>
      <c r="R108" s="38" t="s">
        <v>33</v>
      </c>
      <c r="S108" s="8" t="s">
        <v>3</v>
      </c>
      <c r="T108" s="8"/>
      <c r="U108" s="8"/>
      <c r="V108" s="8">
        <v>436</v>
      </c>
      <c r="W108" s="8">
        <f t="shared" si="7"/>
        <v>436</v>
      </c>
      <c r="X108" s="8">
        <f t="shared" si="12"/>
        <v>436</v>
      </c>
      <c r="Y108" s="8" t="e">
        <f>ROUNDDOWN(W108/HLOOKUP(D108,#REF!,2,0)*8,2)</f>
        <v>#REF!</v>
      </c>
      <c r="Z108" s="8">
        <v>1</v>
      </c>
      <c r="AA108" s="8" t="s">
        <v>12</v>
      </c>
      <c r="AB108" s="12">
        <v>43935</v>
      </c>
      <c r="AC108" s="12">
        <v>43938</v>
      </c>
      <c r="AD108" s="12">
        <v>43937</v>
      </c>
      <c r="AE108" s="12">
        <v>43937</v>
      </c>
      <c r="AF108" s="14" t="s">
        <v>54</v>
      </c>
      <c r="AG108" s="17">
        <v>1</v>
      </c>
      <c r="AH108" s="17">
        <v>1</v>
      </c>
      <c r="AI108" s="17">
        <v>1</v>
      </c>
      <c r="AJ108" s="14"/>
      <c r="AK108" s="8"/>
      <c r="AL108" s="8"/>
      <c r="AM108" s="8"/>
    </row>
    <row r="109" spans="2:39" x14ac:dyDescent="0.25">
      <c r="B109" s="25">
        <v>62</v>
      </c>
      <c r="C109" s="9">
        <v>20200414</v>
      </c>
      <c r="D109" s="8" t="s">
        <v>2</v>
      </c>
      <c r="E109" s="8"/>
      <c r="F109" s="10"/>
      <c r="G109" s="10">
        <v>1416608</v>
      </c>
      <c r="H109" s="38" t="s">
        <v>33</v>
      </c>
      <c r="I109" s="8"/>
      <c r="J109" s="38" t="s">
        <v>33</v>
      </c>
      <c r="K109" s="8"/>
      <c r="L109" s="10"/>
      <c r="M109" s="8"/>
      <c r="N109" s="8"/>
      <c r="O109" s="10"/>
      <c r="P109" s="10"/>
      <c r="Q109" s="11"/>
      <c r="R109" s="38" t="s">
        <v>33</v>
      </c>
      <c r="S109" s="8" t="s">
        <v>3</v>
      </c>
      <c r="T109" s="8"/>
      <c r="U109" s="8"/>
      <c r="V109" s="8">
        <v>55</v>
      </c>
      <c r="W109" s="8">
        <f t="shared" si="7"/>
        <v>55</v>
      </c>
      <c r="X109" s="8">
        <f t="shared" si="12"/>
        <v>55</v>
      </c>
      <c r="Y109" s="8" t="e">
        <f>ROUNDDOWN(W109/HLOOKUP(D109,#REF!,2,0)*8,2)</f>
        <v>#REF!</v>
      </c>
      <c r="Z109" s="8">
        <v>1</v>
      </c>
      <c r="AA109" s="8" t="s">
        <v>12</v>
      </c>
      <c r="AB109" s="12">
        <v>43935</v>
      </c>
      <c r="AC109" s="12">
        <v>43938</v>
      </c>
      <c r="AD109" s="12">
        <v>43937</v>
      </c>
      <c r="AE109" s="12">
        <v>43937</v>
      </c>
      <c r="AF109" s="14" t="s">
        <v>54</v>
      </c>
      <c r="AG109" s="17">
        <v>1</v>
      </c>
      <c r="AH109" s="17">
        <v>1</v>
      </c>
      <c r="AI109" s="17">
        <v>1</v>
      </c>
      <c r="AJ109" s="14"/>
      <c r="AK109" s="8"/>
      <c r="AL109" s="8"/>
      <c r="AM109" s="8"/>
    </row>
    <row r="110" spans="2:39" x14ac:dyDescent="0.25">
      <c r="B110" s="25">
        <v>63</v>
      </c>
      <c r="C110" s="9">
        <v>20200414</v>
      </c>
      <c r="D110" s="8" t="s">
        <v>2</v>
      </c>
      <c r="E110" s="8"/>
      <c r="F110" s="10"/>
      <c r="G110" s="10">
        <v>1416608</v>
      </c>
      <c r="H110" s="38" t="s">
        <v>33</v>
      </c>
      <c r="I110" s="8"/>
      <c r="J110" s="38" t="s">
        <v>33</v>
      </c>
      <c r="K110" s="8"/>
      <c r="L110" s="10"/>
      <c r="M110" s="8"/>
      <c r="N110" s="8"/>
      <c r="O110" s="10"/>
      <c r="P110" s="10"/>
      <c r="Q110" s="11"/>
      <c r="R110" s="38" t="s">
        <v>33</v>
      </c>
      <c r="S110" s="8" t="s">
        <v>3</v>
      </c>
      <c r="T110" s="8"/>
      <c r="U110" s="8"/>
      <c r="V110" s="8">
        <v>200</v>
      </c>
      <c r="W110" s="8">
        <f t="shared" si="7"/>
        <v>200</v>
      </c>
      <c r="X110" s="8">
        <f t="shared" si="12"/>
        <v>200</v>
      </c>
      <c r="Y110" s="8" t="e">
        <f>ROUNDDOWN(W110/HLOOKUP(D110,#REF!,2,0)*8,2)</f>
        <v>#REF!</v>
      </c>
      <c r="Z110" s="8">
        <v>1</v>
      </c>
      <c r="AA110" s="8" t="s">
        <v>12</v>
      </c>
      <c r="AB110" s="12">
        <v>43935</v>
      </c>
      <c r="AC110" s="12">
        <v>43938</v>
      </c>
      <c r="AD110" s="12">
        <v>43937</v>
      </c>
      <c r="AE110" s="12">
        <v>43937</v>
      </c>
      <c r="AF110" s="14" t="s">
        <v>54</v>
      </c>
      <c r="AG110" s="17">
        <v>1</v>
      </c>
      <c r="AH110" s="17">
        <v>1</v>
      </c>
      <c r="AI110" s="17">
        <v>1</v>
      </c>
      <c r="AJ110" s="14"/>
      <c r="AK110" s="8"/>
      <c r="AL110" s="8"/>
      <c r="AM110" s="8"/>
    </row>
    <row r="111" spans="2:39" x14ac:dyDescent="0.25">
      <c r="B111" s="25">
        <v>64</v>
      </c>
      <c r="C111" s="9">
        <v>20200414</v>
      </c>
      <c r="D111" s="8" t="s">
        <v>2</v>
      </c>
      <c r="E111" s="8"/>
      <c r="F111" s="10"/>
      <c r="G111" s="10">
        <v>1416608</v>
      </c>
      <c r="H111" s="38" t="s">
        <v>33</v>
      </c>
      <c r="I111" s="8"/>
      <c r="J111" s="38" t="s">
        <v>33</v>
      </c>
      <c r="K111" s="8"/>
      <c r="L111" s="10"/>
      <c r="M111" s="8"/>
      <c r="N111" s="8"/>
      <c r="O111" s="10"/>
      <c r="P111" s="10"/>
      <c r="Q111" s="11"/>
      <c r="R111" s="38" t="s">
        <v>33</v>
      </c>
      <c r="S111" s="8" t="s">
        <v>3</v>
      </c>
      <c r="T111" s="8"/>
      <c r="U111" s="8"/>
      <c r="V111" s="8">
        <v>130</v>
      </c>
      <c r="W111" s="8">
        <f t="shared" si="7"/>
        <v>130</v>
      </c>
      <c r="X111" s="8">
        <f t="shared" si="12"/>
        <v>130</v>
      </c>
      <c r="Y111" s="8" t="e">
        <f>ROUNDDOWN(W111/HLOOKUP(D111,#REF!,2,0)*8,2)</f>
        <v>#REF!</v>
      </c>
      <c r="Z111" s="8">
        <v>1</v>
      </c>
      <c r="AA111" s="8" t="s">
        <v>12</v>
      </c>
      <c r="AB111" s="12">
        <v>43935</v>
      </c>
      <c r="AC111" s="12">
        <v>43938</v>
      </c>
      <c r="AD111" s="12">
        <v>43937</v>
      </c>
      <c r="AE111" s="12">
        <v>43937</v>
      </c>
      <c r="AF111" s="14" t="s">
        <v>54</v>
      </c>
      <c r="AG111" s="17">
        <v>1</v>
      </c>
      <c r="AH111" s="17">
        <v>1</v>
      </c>
      <c r="AI111" s="17">
        <v>1</v>
      </c>
      <c r="AJ111" s="14"/>
      <c r="AK111" s="8"/>
      <c r="AL111" s="8"/>
      <c r="AM111" s="8"/>
    </row>
    <row r="112" spans="2:39" x14ac:dyDescent="0.25">
      <c r="B112" s="25">
        <v>65</v>
      </c>
      <c r="C112" s="9">
        <v>20200414</v>
      </c>
      <c r="D112" s="8" t="s">
        <v>2</v>
      </c>
      <c r="E112" s="8"/>
      <c r="F112" s="10"/>
      <c r="G112" s="10">
        <v>1416608</v>
      </c>
      <c r="H112" s="38" t="s">
        <v>33</v>
      </c>
      <c r="I112" s="8"/>
      <c r="J112" s="38" t="s">
        <v>33</v>
      </c>
      <c r="K112" s="8"/>
      <c r="L112" s="10"/>
      <c r="M112" s="8"/>
      <c r="N112" s="8"/>
      <c r="O112" s="10"/>
      <c r="P112" s="10"/>
      <c r="Q112" s="11"/>
      <c r="R112" s="38" t="s">
        <v>33</v>
      </c>
      <c r="S112" s="8" t="s">
        <v>3</v>
      </c>
      <c r="T112" s="8"/>
      <c r="U112" s="8"/>
      <c r="V112" s="8">
        <v>199</v>
      </c>
      <c r="W112" s="8">
        <f t="shared" si="7"/>
        <v>199</v>
      </c>
      <c r="X112" s="8">
        <f t="shared" si="12"/>
        <v>199</v>
      </c>
      <c r="Y112" s="8" t="e">
        <f>ROUNDDOWN(W112/HLOOKUP(D112,#REF!,2,0)*8,2)</f>
        <v>#REF!</v>
      </c>
      <c r="Z112" s="8">
        <v>1</v>
      </c>
      <c r="AA112" s="8" t="s">
        <v>12</v>
      </c>
      <c r="AB112" s="12">
        <v>43935</v>
      </c>
      <c r="AC112" s="12">
        <v>43938</v>
      </c>
      <c r="AD112" s="12">
        <v>43937</v>
      </c>
      <c r="AE112" s="12">
        <v>43937</v>
      </c>
      <c r="AF112" s="14" t="s">
        <v>54</v>
      </c>
      <c r="AG112" s="17">
        <v>1</v>
      </c>
      <c r="AH112" s="17">
        <v>1</v>
      </c>
      <c r="AI112" s="17">
        <v>1</v>
      </c>
      <c r="AJ112" s="14"/>
      <c r="AK112" s="8"/>
      <c r="AL112" s="8"/>
      <c r="AM112" s="8"/>
    </row>
    <row r="113" spans="2:39" x14ac:dyDescent="0.25">
      <c r="B113" s="25">
        <v>66</v>
      </c>
      <c r="C113" s="9">
        <v>20200414</v>
      </c>
      <c r="D113" s="8" t="s">
        <v>2</v>
      </c>
      <c r="E113" s="8"/>
      <c r="F113" s="10"/>
      <c r="G113" s="10">
        <v>1416608</v>
      </c>
      <c r="H113" s="38" t="s">
        <v>33</v>
      </c>
      <c r="I113" s="8"/>
      <c r="J113" s="38" t="s">
        <v>33</v>
      </c>
      <c r="K113" s="8"/>
      <c r="L113" s="10"/>
      <c r="M113" s="8"/>
      <c r="N113" s="8"/>
      <c r="O113" s="10"/>
      <c r="P113" s="10"/>
      <c r="Q113" s="11"/>
      <c r="R113" s="38" t="s">
        <v>33</v>
      </c>
      <c r="S113" s="8" t="s">
        <v>3</v>
      </c>
      <c r="T113" s="8"/>
      <c r="U113" s="8"/>
      <c r="V113" s="8">
        <v>6</v>
      </c>
      <c r="W113" s="8">
        <f t="shared" ref="W113:X122" si="13">V113</f>
        <v>6</v>
      </c>
      <c r="X113" s="8">
        <f t="shared" si="13"/>
        <v>6</v>
      </c>
      <c r="Y113" s="8" t="e">
        <f>ROUNDDOWN(W113/HLOOKUP(D113,#REF!,2,0)*8,2)</f>
        <v>#REF!</v>
      </c>
      <c r="Z113" s="8">
        <v>0</v>
      </c>
      <c r="AA113" s="8" t="s">
        <v>12</v>
      </c>
      <c r="AB113" s="12">
        <v>43935</v>
      </c>
      <c r="AC113" s="12">
        <v>43938</v>
      </c>
      <c r="AD113" s="12">
        <v>43937</v>
      </c>
      <c r="AE113" s="12">
        <v>43937</v>
      </c>
      <c r="AF113" s="14" t="s">
        <v>55</v>
      </c>
      <c r="AG113" s="17"/>
      <c r="AH113" s="17"/>
      <c r="AI113" s="17"/>
      <c r="AJ113" s="14"/>
      <c r="AK113" s="8"/>
      <c r="AL113" s="8"/>
      <c r="AM113" s="8" t="s">
        <v>82</v>
      </c>
    </row>
    <row r="114" spans="2:39" x14ac:dyDescent="0.25">
      <c r="B114" s="37">
        <v>67</v>
      </c>
      <c r="C114" s="9">
        <v>20200414</v>
      </c>
      <c r="D114" s="8" t="s">
        <v>2</v>
      </c>
      <c r="E114" s="8"/>
      <c r="F114" s="10"/>
      <c r="G114" s="10">
        <v>1390624</v>
      </c>
      <c r="H114" s="38" t="s">
        <v>33</v>
      </c>
      <c r="I114" s="8"/>
      <c r="J114" s="38" t="s">
        <v>33</v>
      </c>
      <c r="K114" s="8"/>
      <c r="L114" s="8"/>
      <c r="M114" s="8"/>
      <c r="N114" s="8"/>
      <c r="O114" s="10"/>
      <c r="P114" s="10"/>
      <c r="Q114" s="11"/>
      <c r="R114" s="38" t="s">
        <v>33</v>
      </c>
      <c r="S114" s="8" t="s">
        <v>70</v>
      </c>
      <c r="T114" s="8"/>
      <c r="U114" s="8"/>
      <c r="V114" s="8">
        <v>60</v>
      </c>
      <c r="W114" s="8">
        <f t="shared" ref="W114:X154" si="14">V114</f>
        <v>60</v>
      </c>
      <c r="X114" s="8">
        <f t="shared" si="13"/>
        <v>60</v>
      </c>
      <c r="Y114" s="8" t="e">
        <f>ROUNDDOWN(W114/HLOOKUP(D114,#REF!,2,0)*8,2)</f>
        <v>#REF!</v>
      </c>
      <c r="Z114" s="8">
        <v>0.25</v>
      </c>
      <c r="AA114" s="8" t="s">
        <v>12</v>
      </c>
      <c r="AB114" s="12">
        <v>43935</v>
      </c>
      <c r="AC114" s="12">
        <v>43938</v>
      </c>
      <c r="AD114" s="12">
        <v>43935</v>
      </c>
      <c r="AE114" s="12">
        <v>43935</v>
      </c>
      <c r="AF114" s="14"/>
      <c r="AG114" s="17">
        <v>1</v>
      </c>
      <c r="AH114" s="17">
        <v>1</v>
      </c>
      <c r="AI114" s="17">
        <v>1</v>
      </c>
      <c r="AJ114" s="14"/>
      <c r="AK114" s="8"/>
      <c r="AL114" s="8"/>
      <c r="AM114" s="8"/>
    </row>
    <row r="115" spans="2:39" x14ac:dyDescent="0.25">
      <c r="B115" s="37">
        <v>68</v>
      </c>
      <c r="C115" s="9">
        <v>20200414</v>
      </c>
      <c r="D115" s="8" t="s">
        <v>2</v>
      </c>
      <c r="E115" s="8"/>
      <c r="F115" s="10"/>
      <c r="G115" s="10">
        <v>1390624</v>
      </c>
      <c r="H115" s="38" t="s">
        <v>33</v>
      </c>
      <c r="I115" s="8"/>
      <c r="J115" s="38" t="s">
        <v>33</v>
      </c>
      <c r="K115" s="8"/>
      <c r="L115" s="8"/>
      <c r="M115" s="8"/>
      <c r="N115" s="8"/>
      <c r="O115" s="10"/>
      <c r="P115" s="10"/>
      <c r="Q115" s="11"/>
      <c r="R115" s="38" t="s">
        <v>33</v>
      </c>
      <c r="S115" s="8" t="s">
        <v>70</v>
      </c>
      <c r="T115" s="8"/>
      <c r="U115" s="8"/>
      <c r="V115" s="8">
        <v>0</v>
      </c>
      <c r="W115" s="8">
        <f t="shared" si="14"/>
        <v>0</v>
      </c>
      <c r="X115" s="8">
        <f t="shared" si="13"/>
        <v>0</v>
      </c>
      <c r="Y115" s="8" t="e">
        <f>ROUNDDOWN(W115/HLOOKUP(D115,#REF!,2,0)*8,2)</f>
        <v>#REF!</v>
      </c>
      <c r="Z115" s="8">
        <v>0</v>
      </c>
      <c r="AA115" s="8" t="s">
        <v>45</v>
      </c>
      <c r="AB115" s="12">
        <v>43935</v>
      </c>
      <c r="AC115" s="12">
        <v>43938</v>
      </c>
      <c r="AD115" s="12">
        <v>43935</v>
      </c>
      <c r="AE115" s="12">
        <v>43935</v>
      </c>
      <c r="AF115" s="14"/>
      <c r="AG115" s="17"/>
      <c r="AH115" s="17"/>
      <c r="AI115" s="17"/>
      <c r="AJ115" s="14"/>
      <c r="AK115" s="8" t="s">
        <v>81</v>
      </c>
      <c r="AL115" s="8"/>
      <c r="AM115" s="8"/>
    </row>
    <row r="116" spans="2:39" x14ac:dyDescent="0.25">
      <c r="B116" s="37">
        <v>69</v>
      </c>
      <c r="C116" s="9">
        <v>20200414</v>
      </c>
      <c r="D116" s="8" t="s">
        <v>2</v>
      </c>
      <c r="E116" s="8"/>
      <c r="F116" s="10"/>
      <c r="G116" s="10">
        <v>1390624</v>
      </c>
      <c r="H116" s="38" t="s">
        <v>33</v>
      </c>
      <c r="I116" s="8"/>
      <c r="J116" s="38" t="s">
        <v>33</v>
      </c>
      <c r="K116" s="8"/>
      <c r="L116" s="8"/>
      <c r="M116" s="8"/>
      <c r="N116" s="8"/>
      <c r="O116" s="10"/>
      <c r="P116" s="10"/>
      <c r="Q116" s="11"/>
      <c r="R116" s="38" t="s">
        <v>33</v>
      </c>
      <c r="S116" s="8" t="s">
        <v>70</v>
      </c>
      <c r="T116" s="8"/>
      <c r="U116" s="8"/>
      <c r="V116" s="8">
        <v>0</v>
      </c>
      <c r="W116" s="8">
        <f t="shared" si="14"/>
        <v>0</v>
      </c>
      <c r="X116" s="8">
        <f t="shared" si="13"/>
        <v>0</v>
      </c>
      <c r="Y116" s="8" t="e">
        <f>ROUNDDOWN(W116/HLOOKUP(D116,#REF!,2,0)*8,2)</f>
        <v>#REF!</v>
      </c>
      <c r="Z116" s="8">
        <v>0</v>
      </c>
      <c r="AA116" s="8" t="s">
        <v>45</v>
      </c>
      <c r="AB116" s="12">
        <v>43936</v>
      </c>
      <c r="AC116" s="12">
        <v>43938</v>
      </c>
      <c r="AD116" s="12">
        <v>43935</v>
      </c>
      <c r="AE116" s="12">
        <v>43935</v>
      </c>
      <c r="AF116" s="14"/>
      <c r="AG116" s="17"/>
      <c r="AH116" s="17"/>
      <c r="AI116" s="17"/>
      <c r="AJ116" s="14"/>
      <c r="AK116" s="8" t="s">
        <v>81</v>
      </c>
      <c r="AL116" s="8"/>
      <c r="AM116" s="8"/>
    </row>
    <row r="117" spans="2:39" x14ac:dyDescent="0.25">
      <c r="B117" s="37">
        <v>70</v>
      </c>
      <c r="C117" s="9">
        <v>20200414</v>
      </c>
      <c r="D117" s="8" t="s">
        <v>2</v>
      </c>
      <c r="E117" s="8"/>
      <c r="F117" s="10"/>
      <c r="G117" s="10">
        <v>1390624</v>
      </c>
      <c r="H117" s="38" t="s">
        <v>33</v>
      </c>
      <c r="I117" s="8"/>
      <c r="J117" s="38" t="s">
        <v>33</v>
      </c>
      <c r="K117" s="8"/>
      <c r="L117" s="8"/>
      <c r="M117" s="8"/>
      <c r="N117" s="8"/>
      <c r="O117" s="10"/>
      <c r="P117" s="10"/>
      <c r="Q117" s="11"/>
      <c r="R117" s="38" t="s">
        <v>33</v>
      </c>
      <c r="S117" s="8" t="s">
        <v>70</v>
      </c>
      <c r="T117" s="8"/>
      <c r="U117" s="8"/>
      <c r="V117" s="8">
        <v>0</v>
      </c>
      <c r="W117" s="8">
        <f t="shared" si="14"/>
        <v>0</v>
      </c>
      <c r="X117" s="8">
        <f t="shared" si="13"/>
        <v>0</v>
      </c>
      <c r="Y117" s="8" t="e">
        <f>ROUNDDOWN(W117/HLOOKUP(D117,#REF!,2,0)*8,2)</f>
        <v>#REF!</v>
      </c>
      <c r="Z117" s="8">
        <v>0</v>
      </c>
      <c r="AA117" s="8" t="s">
        <v>45</v>
      </c>
      <c r="AB117" s="12">
        <v>43937</v>
      </c>
      <c r="AC117" s="12">
        <v>43938</v>
      </c>
      <c r="AD117" s="12">
        <v>43935</v>
      </c>
      <c r="AE117" s="12">
        <v>43935</v>
      </c>
      <c r="AF117" s="14"/>
      <c r="AG117" s="17"/>
      <c r="AH117" s="17"/>
      <c r="AI117" s="17"/>
      <c r="AJ117" s="14"/>
      <c r="AK117" s="8" t="s">
        <v>81</v>
      </c>
      <c r="AL117" s="8"/>
      <c r="AM117" s="8"/>
    </row>
    <row r="118" spans="2:39" x14ac:dyDescent="0.25">
      <c r="B118" s="37">
        <v>71</v>
      </c>
      <c r="C118" s="9">
        <v>20200414</v>
      </c>
      <c r="D118" s="8" t="s">
        <v>2</v>
      </c>
      <c r="E118" s="8"/>
      <c r="F118" s="10"/>
      <c r="G118" s="10">
        <v>1390624</v>
      </c>
      <c r="H118" s="38" t="s">
        <v>33</v>
      </c>
      <c r="I118" s="8"/>
      <c r="J118" s="38" t="s">
        <v>33</v>
      </c>
      <c r="K118" s="8"/>
      <c r="L118" s="8"/>
      <c r="M118" s="8"/>
      <c r="N118" s="8"/>
      <c r="O118" s="10"/>
      <c r="P118" s="10"/>
      <c r="Q118" s="11"/>
      <c r="R118" s="38" t="s">
        <v>33</v>
      </c>
      <c r="S118" s="8" t="s">
        <v>70</v>
      </c>
      <c r="T118" s="8"/>
      <c r="U118" s="8"/>
      <c r="V118" s="8">
        <v>5</v>
      </c>
      <c r="W118" s="8">
        <f t="shared" si="14"/>
        <v>5</v>
      </c>
      <c r="X118" s="8">
        <f t="shared" si="13"/>
        <v>5</v>
      </c>
      <c r="Y118" s="8" t="e">
        <f>ROUNDDOWN(W118/HLOOKUP(D118,#REF!,2,0)*8,2)</f>
        <v>#REF!</v>
      </c>
      <c r="Z118" s="8">
        <v>0.25</v>
      </c>
      <c r="AA118" s="8" t="s">
        <v>12</v>
      </c>
      <c r="AB118" s="12">
        <v>43935</v>
      </c>
      <c r="AC118" s="12">
        <v>43938</v>
      </c>
      <c r="AD118" s="12">
        <v>43935</v>
      </c>
      <c r="AE118" s="12">
        <v>43935</v>
      </c>
      <c r="AF118" s="14"/>
      <c r="AG118" s="17">
        <v>1</v>
      </c>
      <c r="AH118" s="17">
        <v>1</v>
      </c>
      <c r="AI118" s="17">
        <v>1</v>
      </c>
      <c r="AJ118" s="14"/>
      <c r="AK118" s="8"/>
      <c r="AL118" s="8"/>
      <c r="AM118" s="8"/>
    </row>
    <row r="119" spans="2:39" x14ac:dyDescent="0.25">
      <c r="B119" s="37">
        <v>72</v>
      </c>
      <c r="C119" s="9">
        <v>20200414</v>
      </c>
      <c r="D119" s="8" t="s">
        <v>2</v>
      </c>
      <c r="E119" s="8"/>
      <c r="F119" s="10"/>
      <c r="G119" s="10">
        <v>1390624</v>
      </c>
      <c r="H119" s="38" t="s">
        <v>33</v>
      </c>
      <c r="I119" s="8"/>
      <c r="J119" s="38" t="s">
        <v>33</v>
      </c>
      <c r="K119" s="8"/>
      <c r="L119" s="8"/>
      <c r="M119" s="8"/>
      <c r="N119" s="8"/>
      <c r="O119" s="10"/>
      <c r="P119" s="10"/>
      <c r="Q119" s="11"/>
      <c r="R119" s="38" t="s">
        <v>33</v>
      </c>
      <c r="S119" s="8" t="s">
        <v>70</v>
      </c>
      <c r="T119" s="8"/>
      <c r="U119" s="8"/>
      <c r="V119" s="8">
        <v>13</v>
      </c>
      <c r="W119" s="8">
        <f t="shared" si="14"/>
        <v>13</v>
      </c>
      <c r="X119" s="8">
        <f t="shared" si="13"/>
        <v>13</v>
      </c>
      <c r="Y119" s="8" t="e">
        <f>ROUNDDOWN(W119/HLOOKUP(D119,#REF!,2,0)*8,2)</f>
        <v>#REF!</v>
      </c>
      <c r="Z119" s="8">
        <v>0.25</v>
      </c>
      <c r="AA119" s="8" t="s">
        <v>12</v>
      </c>
      <c r="AB119" s="12">
        <v>43935</v>
      </c>
      <c r="AC119" s="12">
        <v>43938</v>
      </c>
      <c r="AD119" s="12">
        <v>43935</v>
      </c>
      <c r="AE119" s="12">
        <v>43935</v>
      </c>
      <c r="AF119" s="14"/>
      <c r="AG119" s="17">
        <v>1</v>
      </c>
      <c r="AH119" s="17">
        <v>1</v>
      </c>
      <c r="AI119" s="17">
        <v>1</v>
      </c>
      <c r="AJ119" s="14"/>
      <c r="AK119" s="8"/>
      <c r="AL119" s="8"/>
      <c r="AM119" s="8"/>
    </row>
    <row r="120" spans="2:39" x14ac:dyDescent="0.25">
      <c r="B120" s="37">
        <v>73</v>
      </c>
      <c r="C120" s="9">
        <v>20200414</v>
      </c>
      <c r="D120" s="8" t="s">
        <v>2</v>
      </c>
      <c r="E120" s="8"/>
      <c r="F120" s="10"/>
      <c r="G120" s="10">
        <v>1390624</v>
      </c>
      <c r="H120" s="38" t="s">
        <v>33</v>
      </c>
      <c r="I120" s="8"/>
      <c r="J120" s="38" t="s">
        <v>33</v>
      </c>
      <c r="K120" s="8"/>
      <c r="L120" s="8"/>
      <c r="M120" s="8"/>
      <c r="N120" s="8"/>
      <c r="O120" s="10"/>
      <c r="P120" s="10"/>
      <c r="Q120" s="11"/>
      <c r="R120" s="38" t="s">
        <v>33</v>
      </c>
      <c r="S120" s="8" t="s">
        <v>70</v>
      </c>
      <c r="T120" s="8"/>
      <c r="U120" s="8"/>
      <c r="V120" s="8">
        <v>4</v>
      </c>
      <c r="W120" s="8">
        <f t="shared" si="14"/>
        <v>4</v>
      </c>
      <c r="X120" s="8">
        <f t="shared" si="13"/>
        <v>4</v>
      </c>
      <c r="Y120" s="8" t="e">
        <f>ROUNDDOWN(W120/HLOOKUP(D120,#REF!,2,0)*8,2)</f>
        <v>#REF!</v>
      </c>
      <c r="Z120" s="8">
        <v>0.25</v>
      </c>
      <c r="AA120" s="8" t="s">
        <v>12</v>
      </c>
      <c r="AB120" s="12">
        <v>43935</v>
      </c>
      <c r="AC120" s="12">
        <v>43938</v>
      </c>
      <c r="AD120" s="12">
        <v>43935</v>
      </c>
      <c r="AE120" s="12">
        <v>43935</v>
      </c>
      <c r="AF120" s="14"/>
      <c r="AG120" s="17">
        <v>1</v>
      </c>
      <c r="AH120" s="17">
        <v>1</v>
      </c>
      <c r="AI120" s="17">
        <v>1</v>
      </c>
      <c r="AJ120" s="14"/>
      <c r="AK120" s="8"/>
      <c r="AL120" s="8"/>
      <c r="AM120" s="8"/>
    </row>
    <row r="121" spans="2:39" x14ac:dyDescent="0.25">
      <c r="B121" s="37">
        <v>74</v>
      </c>
      <c r="C121" s="9">
        <v>20200414</v>
      </c>
      <c r="D121" s="8" t="s">
        <v>2</v>
      </c>
      <c r="E121" s="8"/>
      <c r="F121" s="10"/>
      <c r="G121" s="10">
        <v>1390624</v>
      </c>
      <c r="H121" s="38" t="s">
        <v>33</v>
      </c>
      <c r="I121" s="8"/>
      <c r="J121" s="38" t="s">
        <v>33</v>
      </c>
      <c r="K121" s="8"/>
      <c r="L121" s="8"/>
      <c r="M121" s="8"/>
      <c r="N121" s="8"/>
      <c r="O121" s="10"/>
      <c r="P121" s="10"/>
      <c r="Q121" s="11"/>
      <c r="R121" s="38" t="s">
        <v>33</v>
      </c>
      <c r="S121" s="8" t="s">
        <v>70</v>
      </c>
      <c r="T121" s="8"/>
      <c r="U121" s="8"/>
      <c r="V121" s="8">
        <v>329</v>
      </c>
      <c r="W121" s="8">
        <f t="shared" si="14"/>
        <v>329</v>
      </c>
      <c r="X121" s="8">
        <f t="shared" si="13"/>
        <v>329</v>
      </c>
      <c r="Y121" s="8" t="e">
        <f>ROUNDDOWN(W121/HLOOKUP(D121,#REF!,2,0)*8,2)</f>
        <v>#REF!</v>
      </c>
      <c r="Z121" s="8">
        <v>0.25</v>
      </c>
      <c r="AA121" s="8" t="s">
        <v>12</v>
      </c>
      <c r="AB121" s="12">
        <v>43935</v>
      </c>
      <c r="AC121" s="12">
        <v>43938</v>
      </c>
      <c r="AD121" s="12">
        <v>43935</v>
      </c>
      <c r="AE121" s="12">
        <v>43935</v>
      </c>
      <c r="AF121" s="14"/>
      <c r="AG121" s="17">
        <v>1</v>
      </c>
      <c r="AH121" s="17">
        <v>1</v>
      </c>
      <c r="AI121" s="17">
        <v>1</v>
      </c>
      <c r="AJ121" s="14"/>
      <c r="AK121" s="8"/>
      <c r="AL121" s="8"/>
      <c r="AM121" s="8"/>
    </row>
    <row r="122" spans="2:39" x14ac:dyDescent="0.25">
      <c r="B122" s="37">
        <v>75</v>
      </c>
      <c r="C122" s="9">
        <v>20200414</v>
      </c>
      <c r="D122" s="8" t="s">
        <v>2</v>
      </c>
      <c r="E122" s="8"/>
      <c r="F122" s="10"/>
      <c r="G122" s="10">
        <v>1390624</v>
      </c>
      <c r="H122" s="38" t="s">
        <v>33</v>
      </c>
      <c r="I122" s="8"/>
      <c r="J122" s="38" t="s">
        <v>33</v>
      </c>
      <c r="K122" s="8"/>
      <c r="L122" s="8"/>
      <c r="M122" s="8"/>
      <c r="N122" s="8"/>
      <c r="O122" s="10"/>
      <c r="P122" s="10"/>
      <c r="Q122" s="11"/>
      <c r="R122" s="38" t="s">
        <v>33</v>
      </c>
      <c r="S122" s="8" t="s">
        <v>70</v>
      </c>
      <c r="T122" s="8"/>
      <c r="U122" s="8"/>
      <c r="V122" s="8">
        <v>96</v>
      </c>
      <c r="W122" s="8">
        <f t="shared" si="14"/>
        <v>96</v>
      </c>
      <c r="X122" s="8">
        <f t="shared" si="13"/>
        <v>96</v>
      </c>
      <c r="Y122" s="8" t="e">
        <f>ROUNDDOWN(W122/HLOOKUP(D122,#REF!,2,0)*8,2)</f>
        <v>#REF!</v>
      </c>
      <c r="Z122" s="8">
        <v>0.25</v>
      </c>
      <c r="AA122" s="8" t="s">
        <v>12</v>
      </c>
      <c r="AB122" s="12">
        <v>43935</v>
      </c>
      <c r="AC122" s="12">
        <v>43938</v>
      </c>
      <c r="AD122" s="12">
        <v>43935</v>
      </c>
      <c r="AE122" s="12">
        <v>43935</v>
      </c>
      <c r="AF122" s="14"/>
      <c r="AG122" s="17">
        <v>1</v>
      </c>
      <c r="AH122" s="17">
        <v>1</v>
      </c>
      <c r="AI122" s="17">
        <v>1</v>
      </c>
      <c r="AJ122" s="14"/>
      <c r="AK122" s="8"/>
      <c r="AL122" s="8"/>
      <c r="AM122" s="8"/>
    </row>
    <row r="123" spans="2:39" x14ac:dyDescent="0.25">
      <c r="B123" s="37">
        <v>76</v>
      </c>
      <c r="C123" s="9">
        <v>20200414</v>
      </c>
      <c r="D123" s="8" t="s">
        <v>2</v>
      </c>
      <c r="E123" s="8"/>
      <c r="F123" s="10"/>
      <c r="G123" s="10">
        <v>1390624</v>
      </c>
      <c r="H123" s="38" t="s">
        <v>33</v>
      </c>
      <c r="I123" s="8"/>
      <c r="J123" s="38" t="s">
        <v>33</v>
      </c>
      <c r="K123" s="8"/>
      <c r="L123" s="8"/>
      <c r="M123" s="8"/>
      <c r="N123" s="8"/>
      <c r="O123" s="10"/>
      <c r="P123" s="10"/>
      <c r="Q123" s="11"/>
      <c r="R123" s="38" t="s">
        <v>33</v>
      </c>
      <c r="S123" s="8" t="s">
        <v>70</v>
      </c>
      <c r="T123" s="8"/>
      <c r="U123" s="8"/>
      <c r="V123" s="8">
        <v>518</v>
      </c>
      <c r="W123" s="8">
        <f t="shared" si="14"/>
        <v>518</v>
      </c>
      <c r="X123" s="8">
        <v>518</v>
      </c>
      <c r="Y123" s="8" t="e">
        <f>ROUNDDOWN(W123/HLOOKUP(D123,#REF!,2,0)*8,2)</f>
        <v>#REF!</v>
      </c>
      <c r="Z123" s="8"/>
      <c r="AA123" s="8"/>
      <c r="AB123" s="12">
        <v>43935</v>
      </c>
      <c r="AC123" s="12">
        <v>43938</v>
      </c>
      <c r="AD123" s="12">
        <v>43935</v>
      </c>
      <c r="AE123" s="12"/>
      <c r="AF123" s="14"/>
      <c r="AG123" s="17"/>
      <c r="AH123" s="17"/>
      <c r="AI123" s="17"/>
      <c r="AJ123" s="14"/>
      <c r="AK123" s="8"/>
      <c r="AL123" s="8"/>
      <c r="AM123" s="8"/>
    </row>
    <row r="124" spans="2:39" x14ac:dyDescent="0.25">
      <c r="B124" s="37">
        <v>77</v>
      </c>
      <c r="C124" s="9">
        <v>20200414</v>
      </c>
      <c r="D124" s="8" t="s">
        <v>2</v>
      </c>
      <c r="E124" s="8"/>
      <c r="F124" s="10"/>
      <c r="G124" s="10">
        <v>1390624</v>
      </c>
      <c r="H124" s="38" t="s">
        <v>33</v>
      </c>
      <c r="I124" s="8"/>
      <c r="J124" s="38" t="s">
        <v>33</v>
      </c>
      <c r="K124" s="8"/>
      <c r="L124" s="8"/>
      <c r="M124" s="8"/>
      <c r="N124" s="8"/>
      <c r="O124" s="10"/>
      <c r="P124" s="10"/>
      <c r="Q124" s="11"/>
      <c r="R124" s="38" t="s">
        <v>33</v>
      </c>
      <c r="S124" s="8" t="s">
        <v>70</v>
      </c>
      <c r="T124" s="8"/>
      <c r="U124" s="8"/>
      <c r="V124" s="8">
        <v>51</v>
      </c>
      <c r="W124" s="8">
        <f t="shared" si="14"/>
        <v>51</v>
      </c>
      <c r="X124" s="8">
        <f t="shared" si="14"/>
        <v>51</v>
      </c>
      <c r="Y124" s="8" t="e">
        <f>ROUNDDOWN(W124/HLOOKUP(D124,#REF!,2,0)*8,2)</f>
        <v>#REF!</v>
      </c>
      <c r="Z124" s="8">
        <v>0.25</v>
      </c>
      <c r="AA124" s="8" t="s">
        <v>12</v>
      </c>
      <c r="AB124" s="12">
        <v>43935</v>
      </c>
      <c r="AC124" s="12">
        <v>43938</v>
      </c>
      <c r="AD124" s="12">
        <v>43935</v>
      </c>
      <c r="AE124" s="12">
        <v>43935</v>
      </c>
      <c r="AF124" s="14"/>
      <c r="AG124" s="17">
        <v>1</v>
      </c>
      <c r="AH124" s="17">
        <v>1</v>
      </c>
      <c r="AI124" s="17">
        <v>1</v>
      </c>
      <c r="AJ124" s="14"/>
      <c r="AK124" s="8"/>
      <c r="AL124" s="8"/>
      <c r="AM124" s="8"/>
    </row>
    <row r="125" spans="2:39" x14ac:dyDescent="0.25">
      <c r="B125" s="37">
        <v>78</v>
      </c>
      <c r="C125" s="9">
        <v>20200414</v>
      </c>
      <c r="D125" s="8" t="s">
        <v>2</v>
      </c>
      <c r="E125" s="8"/>
      <c r="F125" s="10"/>
      <c r="G125" s="10">
        <v>1390624</v>
      </c>
      <c r="H125" s="38" t="s">
        <v>33</v>
      </c>
      <c r="I125" s="8"/>
      <c r="J125" s="38" t="s">
        <v>33</v>
      </c>
      <c r="K125" s="8"/>
      <c r="L125" s="8"/>
      <c r="M125" s="8"/>
      <c r="N125" s="8"/>
      <c r="O125" s="10"/>
      <c r="P125" s="10"/>
      <c r="Q125" s="11"/>
      <c r="R125" s="38" t="s">
        <v>33</v>
      </c>
      <c r="S125" s="8" t="s">
        <v>70</v>
      </c>
      <c r="T125" s="8"/>
      <c r="U125" s="8"/>
      <c r="V125" s="8">
        <v>0</v>
      </c>
      <c r="W125" s="8">
        <f t="shared" si="14"/>
        <v>0</v>
      </c>
      <c r="X125" s="8">
        <f>W125</f>
        <v>0</v>
      </c>
      <c r="Y125" s="8" t="e">
        <f>ROUNDDOWN(W125/HLOOKUP(D125,#REF!,2,0)*8,2)</f>
        <v>#REF!</v>
      </c>
      <c r="Z125" s="8">
        <v>0</v>
      </c>
      <c r="AA125" s="8" t="s">
        <v>45</v>
      </c>
      <c r="AB125" s="12">
        <v>43935</v>
      </c>
      <c r="AC125" s="12">
        <v>43938</v>
      </c>
      <c r="AD125" s="12">
        <v>43935</v>
      </c>
      <c r="AE125" s="12">
        <v>43935</v>
      </c>
      <c r="AF125" s="14"/>
      <c r="AG125" s="17"/>
      <c r="AH125" s="17"/>
      <c r="AI125" s="17"/>
      <c r="AJ125" s="14"/>
      <c r="AK125" s="24" t="s">
        <v>81</v>
      </c>
      <c r="AL125" s="8"/>
      <c r="AM125" s="8"/>
    </row>
    <row r="126" spans="2:39" x14ac:dyDescent="0.25">
      <c r="B126" s="37">
        <v>79</v>
      </c>
      <c r="C126" s="9">
        <v>20200414</v>
      </c>
      <c r="D126" s="8" t="s">
        <v>2</v>
      </c>
      <c r="E126" s="8"/>
      <c r="F126" s="10"/>
      <c r="G126" s="10">
        <v>1390624</v>
      </c>
      <c r="H126" s="38" t="s">
        <v>33</v>
      </c>
      <c r="I126" s="8"/>
      <c r="J126" s="38" t="s">
        <v>33</v>
      </c>
      <c r="K126" s="8"/>
      <c r="L126" s="8"/>
      <c r="M126" s="8"/>
      <c r="N126" s="8"/>
      <c r="O126" s="10"/>
      <c r="P126" s="10"/>
      <c r="Q126" s="11"/>
      <c r="R126" s="38" t="s">
        <v>33</v>
      </c>
      <c r="S126" s="8" t="s">
        <v>71</v>
      </c>
      <c r="T126" s="8"/>
      <c r="U126" s="8"/>
      <c r="V126" s="8">
        <v>7</v>
      </c>
      <c r="W126" s="8">
        <f t="shared" si="14"/>
        <v>7</v>
      </c>
      <c r="X126" s="8">
        <f t="shared" ref="X126:X143" si="15">W126</f>
        <v>7</v>
      </c>
      <c r="Y126" s="8" t="e">
        <f>ROUNDDOWN(W126/HLOOKUP(D126,#REF!,2,0)*8,2)</f>
        <v>#REF!</v>
      </c>
      <c r="Z126" s="8">
        <v>0.1</v>
      </c>
      <c r="AA126" s="8" t="s">
        <v>12</v>
      </c>
      <c r="AB126" s="12">
        <v>43935</v>
      </c>
      <c r="AC126" s="12">
        <v>43938</v>
      </c>
      <c r="AD126" s="12"/>
      <c r="AE126" s="12"/>
      <c r="AF126" s="14"/>
      <c r="AG126" s="17"/>
      <c r="AH126" s="17"/>
      <c r="AI126" s="17"/>
      <c r="AJ126" s="14"/>
      <c r="AK126" s="8"/>
      <c r="AL126" s="8"/>
      <c r="AM126" s="8"/>
    </row>
    <row r="127" spans="2:39" x14ac:dyDescent="0.25">
      <c r="B127" s="37">
        <v>80</v>
      </c>
      <c r="C127" s="9">
        <v>20200414</v>
      </c>
      <c r="D127" s="8" t="s">
        <v>2</v>
      </c>
      <c r="E127" s="8"/>
      <c r="F127" s="10"/>
      <c r="G127" s="10">
        <v>1390624</v>
      </c>
      <c r="H127" s="38" t="s">
        <v>33</v>
      </c>
      <c r="I127" s="8"/>
      <c r="J127" s="38" t="s">
        <v>33</v>
      </c>
      <c r="K127" s="8"/>
      <c r="L127" s="8"/>
      <c r="M127" s="8"/>
      <c r="N127" s="8"/>
      <c r="O127" s="10"/>
      <c r="P127" s="10"/>
      <c r="Q127" s="11"/>
      <c r="R127" s="38" t="s">
        <v>33</v>
      </c>
      <c r="S127" s="8" t="s">
        <v>71</v>
      </c>
      <c r="T127" s="8"/>
      <c r="U127" s="8"/>
      <c r="V127" s="8">
        <v>78</v>
      </c>
      <c r="W127" s="8">
        <f t="shared" si="14"/>
        <v>78</v>
      </c>
      <c r="X127" s="8">
        <f t="shared" si="15"/>
        <v>78</v>
      </c>
      <c r="Y127" s="8" t="e">
        <f>ROUNDDOWN(W127/HLOOKUP(D127,#REF!,2,0)*8,2)</f>
        <v>#REF!</v>
      </c>
      <c r="Z127" s="8">
        <v>1</v>
      </c>
      <c r="AA127" s="8" t="s">
        <v>12</v>
      </c>
      <c r="AB127" s="12">
        <v>43935</v>
      </c>
      <c r="AC127" s="12">
        <v>43938</v>
      </c>
      <c r="AD127" s="12"/>
      <c r="AE127" s="12"/>
      <c r="AF127" s="14"/>
      <c r="AG127" s="17"/>
      <c r="AH127" s="17"/>
      <c r="AI127" s="17"/>
      <c r="AJ127" s="14"/>
      <c r="AK127" s="8"/>
      <c r="AL127" s="8"/>
      <c r="AM127" s="8"/>
    </row>
    <row r="128" spans="2:39" x14ac:dyDescent="0.25">
      <c r="B128" s="37">
        <v>81</v>
      </c>
      <c r="C128" s="9">
        <v>20200414</v>
      </c>
      <c r="D128" s="8" t="s">
        <v>2</v>
      </c>
      <c r="E128" s="8"/>
      <c r="F128" s="10"/>
      <c r="G128" s="10">
        <v>1390624</v>
      </c>
      <c r="H128" s="38" t="s">
        <v>33</v>
      </c>
      <c r="I128" s="8"/>
      <c r="J128" s="38" t="s">
        <v>33</v>
      </c>
      <c r="K128" s="8"/>
      <c r="L128" s="8"/>
      <c r="M128" s="8"/>
      <c r="N128" s="8"/>
      <c r="O128" s="10"/>
      <c r="P128" s="10"/>
      <c r="Q128" s="11"/>
      <c r="R128" s="38" t="s">
        <v>33</v>
      </c>
      <c r="S128" s="8" t="s">
        <v>71</v>
      </c>
      <c r="T128" s="8"/>
      <c r="U128" s="8"/>
      <c r="V128" s="8">
        <v>24</v>
      </c>
      <c r="W128" s="8">
        <f t="shared" si="14"/>
        <v>24</v>
      </c>
      <c r="X128" s="8">
        <f t="shared" si="15"/>
        <v>24</v>
      </c>
      <c r="Y128" s="8" t="e">
        <f>ROUNDDOWN(W128/HLOOKUP(D128,#REF!,2,0)*8,2)</f>
        <v>#REF!</v>
      </c>
      <c r="Z128" s="8">
        <v>0.5</v>
      </c>
      <c r="AA128" s="8" t="s">
        <v>12</v>
      </c>
      <c r="AB128" s="12">
        <v>43935</v>
      </c>
      <c r="AC128" s="12">
        <v>43938</v>
      </c>
      <c r="AD128" s="12"/>
      <c r="AE128" s="12"/>
      <c r="AF128" s="14"/>
      <c r="AG128" s="17"/>
      <c r="AH128" s="17"/>
      <c r="AI128" s="17"/>
      <c r="AJ128" s="14"/>
      <c r="AK128" s="8"/>
      <c r="AL128" s="8"/>
      <c r="AM128" s="8"/>
    </row>
    <row r="129" spans="2:39" x14ac:dyDescent="0.25">
      <c r="B129" s="37">
        <v>82</v>
      </c>
      <c r="C129" s="9">
        <v>20200414</v>
      </c>
      <c r="D129" s="8" t="s">
        <v>2</v>
      </c>
      <c r="E129" s="8"/>
      <c r="F129" s="10"/>
      <c r="G129" s="10">
        <v>1390624</v>
      </c>
      <c r="H129" s="38" t="s">
        <v>33</v>
      </c>
      <c r="I129" s="8"/>
      <c r="J129" s="38" t="s">
        <v>33</v>
      </c>
      <c r="K129" s="8"/>
      <c r="L129" s="8"/>
      <c r="M129" s="8"/>
      <c r="N129" s="8"/>
      <c r="O129" s="10"/>
      <c r="P129" s="10"/>
      <c r="Q129" s="11"/>
      <c r="R129" s="38" t="s">
        <v>33</v>
      </c>
      <c r="S129" s="8" t="s">
        <v>71</v>
      </c>
      <c r="T129" s="8"/>
      <c r="U129" s="8"/>
      <c r="V129" s="8">
        <v>12</v>
      </c>
      <c r="W129" s="8">
        <f t="shared" si="14"/>
        <v>12</v>
      </c>
      <c r="X129" s="8">
        <f t="shared" si="15"/>
        <v>12</v>
      </c>
      <c r="Y129" s="8" t="e">
        <f>ROUNDDOWN(W129/HLOOKUP(D129,#REF!,2,0)*8,2)</f>
        <v>#REF!</v>
      </c>
      <c r="Z129" s="8">
        <v>0.25</v>
      </c>
      <c r="AA129" s="8" t="s">
        <v>12</v>
      </c>
      <c r="AB129" s="12">
        <v>43935</v>
      </c>
      <c r="AC129" s="12">
        <v>43938</v>
      </c>
      <c r="AD129" s="12"/>
      <c r="AE129" s="12"/>
      <c r="AF129" s="14"/>
      <c r="AG129" s="17"/>
      <c r="AH129" s="17"/>
      <c r="AI129" s="17"/>
      <c r="AJ129" s="14"/>
      <c r="AK129" s="8"/>
      <c r="AL129" s="8"/>
      <c r="AM129" s="8"/>
    </row>
    <row r="130" spans="2:39" x14ac:dyDescent="0.25">
      <c r="B130" s="37">
        <v>83</v>
      </c>
      <c r="C130" s="9">
        <v>20200414</v>
      </c>
      <c r="D130" s="8" t="s">
        <v>2</v>
      </c>
      <c r="E130" s="8"/>
      <c r="F130" s="10"/>
      <c r="G130" s="10">
        <v>1390624</v>
      </c>
      <c r="H130" s="38" t="s">
        <v>33</v>
      </c>
      <c r="I130" s="8"/>
      <c r="J130" s="38" t="s">
        <v>33</v>
      </c>
      <c r="K130" s="8"/>
      <c r="L130" s="8"/>
      <c r="M130" s="8"/>
      <c r="N130" s="8"/>
      <c r="O130" s="10"/>
      <c r="P130" s="10"/>
      <c r="Q130" s="11"/>
      <c r="R130" s="38" t="s">
        <v>33</v>
      </c>
      <c r="S130" s="8" t="s">
        <v>71</v>
      </c>
      <c r="T130" s="8"/>
      <c r="U130" s="8"/>
      <c r="V130" s="8">
        <v>0</v>
      </c>
      <c r="W130" s="8">
        <f t="shared" si="14"/>
        <v>0</v>
      </c>
      <c r="X130" s="8">
        <f t="shared" si="15"/>
        <v>0</v>
      </c>
      <c r="Y130" s="8" t="e">
        <f>ROUNDDOWN(W130/HLOOKUP(D130,#REF!,2,0)*8,2)</f>
        <v>#REF!</v>
      </c>
      <c r="Z130" s="8">
        <v>0</v>
      </c>
      <c r="AA130" s="8" t="s">
        <v>12</v>
      </c>
      <c r="AB130" s="12">
        <v>43935</v>
      </c>
      <c r="AC130" s="12">
        <v>43938</v>
      </c>
      <c r="AD130" s="12"/>
      <c r="AE130" s="12"/>
      <c r="AF130" s="14"/>
      <c r="AG130" s="17"/>
      <c r="AH130" s="17"/>
      <c r="AI130" s="17"/>
      <c r="AJ130" s="14"/>
      <c r="AK130" s="8"/>
      <c r="AL130" s="8"/>
      <c r="AM130" s="8"/>
    </row>
    <row r="131" spans="2:39" x14ac:dyDescent="0.25">
      <c r="B131" s="37">
        <v>84</v>
      </c>
      <c r="C131" s="9">
        <v>20200414</v>
      </c>
      <c r="D131" s="8" t="s">
        <v>2</v>
      </c>
      <c r="E131" s="8"/>
      <c r="F131" s="10"/>
      <c r="G131" s="10">
        <v>1390624</v>
      </c>
      <c r="H131" s="38" t="s">
        <v>33</v>
      </c>
      <c r="I131" s="8"/>
      <c r="J131" s="38" t="s">
        <v>33</v>
      </c>
      <c r="K131" s="8"/>
      <c r="L131" s="8"/>
      <c r="M131" s="8"/>
      <c r="N131" s="8"/>
      <c r="O131" s="10"/>
      <c r="P131" s="10"/>
      <c r="Q131" s="11"/>
      <c r="R131" s="38" t="s">
        <v>33</v>
      </c>
      <c r="S131" s="8" t="s">
        <v>71</v>
      </c>
      <c r="T131" s="8"/>
      <c r="U131" s="8"/>
      <c r="V131" s="8">
        <v>5</v>
      </c>
      <c r="W131" s="8">
        <f t="shared" si="14"/>
        <v>5</v>
      </c>
      <c r="X131" s="8">
        <f t="shared" si="15"/>
        <v>5</v>
      </c>
      <c r="Y131" s="8" t="e">
        <f>ROUNDDOWN(W131/HLOOKUP(D131,#REF!,2,0)*8,2)</f>
        <v>#REF!</v>
      </c>
      <c r="Z131" s="8">
        <v>0.08</v>
      </c>
      <c r="AA131" s="8" t="s">
        <v>12</v>
      </c>
      <c r="AB131" s="12">
        <v>43935</v>
      </c>
      <c r="AC131" s="12">
        <v>43938</v>
      </c>
      <c r="AD131" s="12"/>
      <c r="AE131" s="12"/>
      <c r="AF131" s="14"/>
      <c r="AG131" s="17"/>
      <c r="AH131" s="17"/>
      <c r="AI131" s="17"/>
      <c r="AJ131" s="14"/>
      <c r="AK131" s="8"/>
      <c r="AL131" s="8"/>
      <c r="AM131" s="8"/>
    </row>
    <row r="132" spans="2:39" x14ac:dyDescent="0.25">
      <c r="B132" s="37">
        <v>85</v>
      </c>
      <c r="C132" s="9">
        <v>20200414</v>
      </c>
      <c r="D132" s="8" t="s">
        <v>2</v>
      </c>
      <c r="E132" s="8"/>
      <c r="F132" s="10"/>
      <c r="G132" s="10">
        <v>1390624</v>
      </c>
      <c r="H132" s="38" t="s">
        <v>33</v>
      </c>
      <c r="I132" s="8"/>
      <c r="J132" s="38" t="s">
        <v>33</v>
      </c>
      <c r="K132" s="8"/>
      <c r="L132" s="8"/>
      <c r="M132" s="8"/>
      <c r="N132" s="8"/>
      <c r="O132" s="10"/>
      <c r="P132" s="10"/>
      <c r="Q132" s="11"/>
      <c r="R132" s="38" t="s">
        <v>33</v>
      </c>
      <c r="S132" s="8" t="s">
        <v>71</v>
      </c>
      <c r="T132" s="8"/>
      <c r="U132" s="8"/>
      <c r="V132" s="8">
        <v>8</v>
      </c>
      <c r="W132" s="8">
        <f t="shared" si="14"/>
        <v>8</v>
      </c>
      <c r="X132" s="8">
        <f t="shared" si="15"/>
        <v>8</v>
      </c>
      <c r="Y132" s="8" t="e">
        <f>ROUNDDOWN(W132/HLOOKUP(D132,#REF!,2,0)*8,2)</f>
        <v>#REF!</v>
      </c>
      <c r="Z132" s="8">
        <v>0.12</v>
      </c>
      <c r="AA132" s="8" t="s">
        <v>12</v>
      </c>
      <c r="AB132" s="12">
        <v>43935</v>
      </c>
      <c r="AC132" s="12">
        <v>43938</v>
      </c>
      <c r="AD132" s="12"/>
      <c r="AE132" s="12"/>
      <c r="AF132" s="14"/>
      <c r="AG132" s="17"/>
      <c r="AH132" s="17"/>
      <c r="AI132" s="17"/>
      <c r="AJ132" s="14"/>
      <c r="AK132" s="8"/>
      <c r="AL132" s="8"/>
      <c r="AM132" s="8"/>
    </row>
    <row r="133" spans="2:39" x14ac:dyDescent="0.25">
      <c r="B133" s="37">
        <v>86</v>
      </c>
      <c r="C133" s="9">
        <v>20200414</v>
      </c>
      <c r="D133" s="8" t="s">
        <v>2</v>
      </c>
      <c r="E133" s="8"/>
      <c r="F133" s="10"/>
      <c r="G133" s="10">
        <v>1390624</v>
      </c>
      <c r="H133" s="38" t="s">
        <v>33</v>
      </c>
      <c r="I133" s="8"/>
      <c r="J133" s="38" t="s">
        <v>33</v>
      </c>
      <c r="K133" s="8"/>
      <c r="L133" s="8"/>
      <c r="M133" s="8"/>
      <c r="N133" s="8"/>
      <c r="O133" s="10"/>
      <c r="P133" s="10"/>
      <c r="Q133" s="11"/>
      <c r="R133" s="38" t="s">
        <v>33</v>
      </c>
      <c r="S133" s="8" t="s">
        <v>71</v>
      </c>
      <c r="T133" s="8"/>
      <c r="U133" s="8"/>
      <c r="V133" s="8">
        <v>5</v>
      </c>
      <c r="W133" s="8">
        <f t="shared" si="14"/>
        <v>5</v>
      </c>
      <c r="X133" s="8">
        <f t="shared" si="15"/>
        <v>5</v>
      </c>
      <c r="Y133" s="8" t="e">
        <f>ROUNDDOWN(W133/HLOOKUP(D133,#REF!,2,0)*8,2)</f>
        <v>#REF!</v>
      </c>
      <c r="Z133" s="8">
        <v>0.12</v>
      </c>
      <c r="AA133" s="8" t="s">
        <v>12</v>
      </c>
      <c r="AB133" s="12">
        <v>43935</v>
      </c>
      <c r="AC133" s="12">
        <v>43938</v>
      </c>
      <c r="AD133" s="12"/>
      <c r="AE133" s="12"/>
      <c r="AF133" s="14"/>
      <c r="AG133" s="17"/>
      <c r="AH133" s="17"/>
      <c r="AI133" s="17"/>
      <c r="AJ133" s="14"/>
      <c r="AK133" s="8"/>
      <c r="AL133" s="8"/>
      <c r="AM133" s="8"/>
    </row>
    <row r="134" spans="2:39" x14ac:dyDescent="0.25">
      <c r="B134" s="37">
        <v>87</v>
      </c>
      <c r="C134" s="9">
        <v>20200414</v>
      </c>
      <c r="D134" s="8" t="s">
        <v>2</v>
      </c>
      <c r="E134" s="8"/>
      <c r="F134" s="10"/>
      <c r="G134" s="10">
        <v>1390624</v>
      </c>
      <c r="H134" s="38" t="s">
        <v>33</v>
      </c>
      <c r="I134" s="8"/>
      <c r="J134" s="38" t="s">
        <v>33</v>
      </c>
      <c r="K134" s="8"/>
      <c r="L134" s="8"/>
      <c r="M134" s="8"/>
      <c r="N134" s="8"/>
      <c r="O134" s="10"/>
      <c r="P134" s="10"/>
      <c r="Q134" s="11"/>
      <c r="R134" s="38" t="s">
        <v>33</v>
      </c>
      <c r="S134" s="8" t="s">
        <v>71</v>
      </c>
      <c r="T134" s="8"/>
      <c r="U134" s="8"/>
      <c r="V134" s="8">
        <v>10</v>
      </c>
      <c r="W134" s="8">
        <f t="shared" si="14"/>
        <v>10</v>
      </c>
      <c r="X134" s="8">
        <f t="shared" si="15"/>
        <v>10</v>
      </c>
      <c r="Y134" s="8" t="e">
        <f>ROUNDDOWN(W134/HLOOKUP(D134,#REF!,2,0)*8,2)</f>
        <v>#REF!</v>
      </c>
      <c r="Z134" s="8">
        <v>0.12</v>
      </c>
      <c r="AA134" s="8" t="s">
        <v>12</v>
      </c>
      <c r="AB134" s="12">
        <v>43935</v>
      </c>
      <c r="AC134" s="12">
        <v>43938</v>
      </c>
      <c r="AD134" s="12"/>
      <c r="AE134" s="12"/>
      <c r="AF134" s="14"/>
      <c r="AG134" s="17"/>
      <c r="AH134" s="17"/>
      <c r="AI134" s="17"/>
      <c r="AJ134" s="14"/>
      <c r="AK134" s="8"/>
      <c r="AL134" s="8"/>
      <c r="AM134" s="8"/>
    </row>
    <row r="135" spans="2:39" x14ac:dyDescent="0.25">
      <c r="B135" s="37">
        <v>88</v>
      </c>
      <c r="C135" s="9">
        <v>20200414</v>
      </c>
      <c r="D135" s="8" t="s">
        <v>2</v>
      </c>
      <c r="E135" s="8"/>
      <c r="F135" s="10"/>
      <c r="G135" s="10">
        <v>1390624</v>
      </c>
      <c r="H135" s="38" t="s">
        <v>33</v>
      </c>
      <c r="I135" s="8"/>
      <c r="J135" s="38" t="s">
        <v>33</v>
      </c>
      <c r="K135" s="8"/>
      <c r="L135" s="8"/>
      <c r="M135" s="8"/>
      <c r="N135" s="8"/>
      <c r="O135" s="10"/>
      <c r="P135" s="10"/>
      <c r="Q135" s="11"/>
      <c r="R135" s="38" t="s">
        <v>33</v>
      </c>
      <c r="S135" s="8" t="s">
        <v>71</v>
      </c>
      <c r="T135" s="8"/>
      <c r="U135" s="8"/>
      <c r="V135" s="8">
        <v>52</v>
      </c>
      <c r="W135" s="8">
        <f t="shared" si="14"/>
        <v>52</v>
      </c>
      <c r="X135" s="8">
        <f t="shared" si="15"/>
        <v>52</v>
      </c>
      <c r="Y135" s="8" t="e">
        <f>ROUNDDOWN(W135/HLOOKUP(D135,#REF!,2,0)*8,2)</f>
        <v>#REF!</v>
      </c>
      <c r="Z135" s="8">
        <v>1</v>
      </c>
      <c r="AA135" s="8" t="s">
        <v>12</v>
      </c>
      <c r="AB135" s="12">
        <v>43935</v>
      </c>
      <c r="AC135" s="12">
        <v>43938</v>
      </c>
      <c r="AD135" s="12"/>
      <c r="AE135" s="12"/>
      <c r="AF135" s="14"/>
      <c r="AG135" s="17"/>
      <c r="AH135" s="17"/>
      <c r="AI135" s="17"/>
      <c r="AJ135" s="14"/>
      <c r="AK135" s="8"/>
      <c r="AL135" s="8"/>
      <c r="AM135" s="8"/>
    </row>
    <row r="136" spans="2:39" x14ac:dyDescent="0.25">
      <c r="B136" s="37">
        <v>89</v>
      </c>
      <c r="C136" s="9">
        <v>20200414</v>
      </c>
      <c r="D136" s="8" t="s">
        <v>2</v>
      </c>
      <c r="E136" s="8"/>
      <c r="F136" s="10"/>
      <c r="G136" s="10">
        <v>1390624</v>
      </c>
      <c r="H136" s="38" t="s">
        <v>33</v>
      </c>
      <c r="I136" s="8"/>
      <c r="J136" s="38" t="s">
        <v>33</v>
      </c>
      <c r="K136" s="8"/>
      <c r="L136" s="8"/>
      <c r="M136" s="8"/>
      <c r="N136" s="8"/>
      <c r="O136" s="10"/>
      <c r="P136" s="10"/>
      <c r="Q136" s="11"/>
      <c r="R136" s="38" t="s">
        <v>33</v>
      </c>
      <c r="S136" s="8" t="s">
        <v>71</v>
      </c>
      <c r="T136" s="8"/>
      <c r="U136" s="8"/>
      <c r="V136" s="8">
        <v>18</v>
      </c>
      <c r="W136" s="8">
        <f t="shared" si="14"/>
        <v>18</v>
      </c>
      <c r="X136" s="8">
        <f t="shared" si="15"/>
        <v>18</v>
      </c>
      <c r="Y136" s="8" t="e">
        <f>ROUNDDOWN(W136/HLOOKUP(D136,#REF!,2,0)*8,2)</f>
        <v>#REF!</v>
      </c>
      <c r="Z136" s="8">
        <v>0.25</v>
      </c>
      <c r="AA136" s="8" t="s">
        <v>12</v>
      </c>
      <c r="AB136" s="12">
        <v>43935</v>
      </c>
      <c r="AC136" s="12">
        <v>43938</v>
      </c>
      <c r="AD136" s="12"/>
      <c r="AE136" s="12"/>
      <c r="AF136" s="14"/>
      <c r="AG136" s="17"/>
      <c r="AH136" s="17"/>
      <c r="AI136" s="17"/>
      <c r="AJ136" s="14"/>
      <c r="AK136" s="8"/>
      <c r="AL136" s="8"/>
      <c r="AM136" s="8"/>
    </row>
    <row r="137" spans="2:39" x14ac:dyDescent="0.25">
      <c r="B137" s="37">
        <v>90</v>
      </c>
      <c r="C137" s="9">
        <v>20200414</v>
      </c>
      <c r="D137" s="8" t="s">
        <v>2</v>
      </c>
      <c r="E137" s="8"/>
      <c r="F137" s="10"/>
      <c r="G137" s="10">
        <v>1390624</v>
      </c>
      <c r="H137" s="38" t="s">
        <v>33</v>
      </c>
      <c r="I137" s="8"/>
      <c r="J137" s="38" t="s">
        <v>33</v>
      </c>
      <c r="K137" s="8"/>
      <c r="L137" s="8"/>
      <c r="M137" s="8"/>
      <c r="N137" s="8"/>
      <c r="O137" s="10"/>
      <c r="P137" s="10"/>
      <c r="Q137" s="11"/>
      <c r="R137" s="38" t="s">
        <v>33</v>
      </c>
      <c r="S137" s="8" t="s">
        <v>71</v>
      </c>
      <c r="T137" s="8"/>
      <c r="U137" s="8"/>
      <c r="V137" s="8">
        <v>0</v>
      </c>
      <c r="W137" s="8">
        <f t="shared" si="14"/>
        <v>0</v>
      </c>
      <c r="X137" s="8">
        <f t="shared" si="15"/>
        <v>0</v>
      </c>
      <c r="Y137" s="8" t="e">
        <f>ROUNDDOWN(W137/HLOOKUP(D137,#REF!,2,0)*8,2)</f>
        <v>#REF!</v>
      </c>
      <c r="Z137" s="8">
        <v>0</v>
      </c>
      <c r="AA137" s="8" t="s">
        <v>12</v>
      </c>
      <c r="AB137" s="12">
        <v>43935</v>
      </c>
      <c r="AC137" s="12">
        <v>43938</v>
      </c>
      <c r="AD137" s="12"/>
      <c r="AE137" s="12"/>
      <c r="AF137" s="14"/>
      <c r="AG137" s="17"/>
      <c r="AH137" s="17"/>
      <c r="AI137" s="17"/>
      <c r="AJ137" s="14"/>
      <c r="AK137" s="8"/>
      <c r="AL137" s="8"/>
      <c r="AM137" s="8"/>
    </row>
    <row r="138" spans="2:39" x14ac:dyDescent="0.25">
      <c r="B138" s="37">
        <v>91</v>
      </c>
      <c r="C138" s="9">
        <v>20200414</v>
      </c>
      <c r="D138" s="8" t="s">
        <v>2</v>
      </c>
      <c r="E138" s="8"/>
      <c r="F138" s="10"/>
      <c r="G138" s="10">
        <v>1390624</v>
      </c>
      <c r="H138" s="38" t="s">
        <v>33</v>
      </c>
      <c r="I138" s="8"/>
      <c r="J138" s="38" t="s">
        <v>33</v>
      </c>
      <c r="K138" s="8"/>
      <c r="L138" s="8"/>
      <c r="M138" s="8"/>
      <c r="N138" s="8"/>
      <c r="O138" s="10"/>
      <c r="P138" s="10"/>
      <c r="Q138" s="11"/>
      <c r="R138" s="38" t="s">
        <v>33</v>
      </c>
      <c r="S138" s="8" t="s">
        <v>71</v>
      </c>
      <c r="T138" s="8"/>
      <c r="U138" s="8"/>
      <c r="V138" s="8">
        <v>47</v>
      </c>
      <c r="W138" s="8">
        <f t="shared" si="14"/>
        <v>47</v>
      </c>
      <c r="X138" s="8">
        <f t="shared" si="15"/>
        <v>47</v>
      </c>
      <c r="Y138" s="8" t="e">
        <f>ROUNDDOWN(W138/HLOOKUP(D138,#REF!,2,0)*8,2)</f>
        <v>#REF!</v>
      </c>
      <c r="Z138" s="8">
        <v>0.5</v>
      </c>
      <c r="AA138" s="8" t="s">
        <v>12</v>
      </c>
      <c r="AB138" s="12">
        <v>43935</v>
      </c>
      <c r="AC138" s="12">
        <v>43938</v>
      </c>
      <c r="AD138" s="12"/>
      <c r="AE138" s="12"/>
      <c r="AF138" s="14"/>
      <c r="AG138" s="17"/>
      <c r="AH138" s="17"/>
      <c r="AI138" s="17"/>
      <c r="AJ138" s="14"/>
      <c r="AK138" s="8"/>
      <c r="AL138" s="8"/>
      <c r="AM138" s="8"/>
    </row>
    <row r="139" spans="2:39" x14ac:dyDescent="0.25">
      <c r="B139" s="37">
        <v>92</v>
      </c>
      <c r="C139" s="9">
        <v>20200414</v>
      </c>
      <c r="D139" s="8" t="s">
        <v>2</v>
      </c>
      <c r="E139" s="8"/>
      <c r="F139" s="10"/>
      <c r="G139" s="10">
        <v>1390624</v>
      </c>
      <c r="H139" s="38" t="s">
        <v>33</v>
      </c>
      <c r="I139" s="8"/>
      <c r="J139" s="38" t="s">
        <v>33</v>
      </c>
      <c r="K139" s="8"/>
      <c r="L139" s="8"/>
      <c r="M139" s="8"/>
      <c r="N139" s="8"/>
      <c r="O139" s="10"/>
      <c r="P139" s="10"/>
      <c r="Q139" s="11"/>
      <c r="R139" s="38" t="s">
        <v>33</v>
      </c>
      <c r="S139" s="8" t="s">
        <v>71</v>
      </c>
      <c r="T139" s="8"/>
      <c r="U139" s="8"/>
      <c r="V139" s="8">
        <v>101</v>
      </c>
      <c r="W139" s="8">
        <f t="shared" si="14"/>
        <v>101</v>
      </c>
      <c r="X139" s="8">
        <f t="shared" si="15"/>
        <v>101</v>
      </c>
      <c r="Y139" s="8" t="e">
        <f>ROUNDDOWN(W139/HLOOKUP(D139,#REF!,2,0)*8,2)</f>
        <v>#REF!</v>
      </c>
      <c r="Z139" s="8">
        <v>2</v>
      </c>
      <c r="AA139" s="8" t="s">
        <v>12</v>
      </c>
      <c r="AB139" s="12">
        <v>43935</v>
      </c>
      <c r="AC139" s="12">
        <v>43938</v>
      </c>
      <c r="AD139" s="12"/>
      <c r="AE139" s="12"/>
      <c r="AF139" s="14"/>
      <c r="AG139" s="17"/>
      <c r="AH139" s="17"/>
      <c r="AI139" s="17"/>
      <c r="AJ139" s="14"/>
      <c r="AK139" s="8"/>
      <c r="AL139" s="8"/>
      <c r="AM139" s="8"/>
    </row>
    <row r="140" spans="2:39" x14ac:dyDescent="0.25">
      <c r="B140" s="37">
        <v>93</v>
      </c>
      <c r="C140" s="9">
        <v>20200414</v>
      </c>
      <c r="D140" s="8" t="s">
        <v>2</v>
      </c>
      <c r="E140" s="8"/>
      <c r="F140" s="10"/>
      <c r="G140" s="10">
        <v>1390624</v>
      </c>
      <c r="H140" s="38" t="s">
        <v>33</v>
      </c>
      <c r="I140" s="8"/>
      <c r="J140" s="38" t="s">
        <v>33</v>
      </c>
      <c r="K140" s="8"/>
      <c r="L140" s="8"/>
      <c r="M140" s="8"/>
      <c r="N140" s="8"/>
      <c r="O140" s="10"/>
      <c r="P140" s="10"/>
      <c r="Q140" s="11"/>
      <c r="R140" s="38" t="s">
        <v>33</v>
      </c>
      <c r="S140" s="8" t="s">
        <v>71</v>
      </c>
      <c r="T140" s="8"/>
      <c r="U140" s="8"/>
      <c r="V140" s="8">
        <v>7</v>
      </c>
      <c r="W140" s="8">
        <f t="shared" si="14"/>
        <v>7</v>
      </c>
      <c r="X140" s="8">
        <f t="shared" si="15"/>
        <v>7</v>
      </c>
      <c r="Y140" s="8" t="e">
        <f>ROUNDDOWN(W140/HLOOKUP(D140,#REF!,2,0)*8,2)</f>
        <v>#REF!</v>
      </c>
      <c r="Z140" s="8">
        <v>0.08</v>
      </c>
      <c r="AA140" s="8" t="s">
        <v>12</v>
      </c>
      <c r="AB140" s="12">
        <v>43935</v>
      </c>
      <c r="AC140" s="12">
        <v>43938</v>
      </c>
      <c r="AD140" s="12"/>
      <c r="AE140" s="12"/>
      <c r="AF140" s="14"/>
      <c r="AG140" s="17"/>
      <c r="AH140" s="17"/>
      <c r="AI140" s="17"/>
      <c r="AJ140" s="14"/>
      <c r="AK140" s="8"/>
      <c r="AL140" s="8"/>
      <c r="AM140" s="8"/>
    </row>
    <row r="141" spans="2:39" x14ac:dyDescent="0.25">
      <c r="B141" s="37">
        <v>94</v>
      </c>
      <c r="C141" s="9">
        <v>20200414</v>
      </c>
      <c r="D141" s="8" t="s">
        <v>2</v>
      </c>
      <c r="E141" s="8"/>
      <c r="F141" s="10"/>
      <c r="G141" s="10">
        <v>1390624</v>
      </c>
      <c r="H141" s="38" t="s">
        <v>33</v>
      </c>
      <c r="I141" s="8"/>
      <c r="J141" s="38" t="s">
        <v>33</v>
      </c>
      <c r="K141" s="8"/>
      <c r="L141" s="8"/>
      <c r="M141" s="8"/>
      <c r="N141" s="8"/>
      <c r="O141" s="10"/>
      <c r="P141" s="10"/>
      <c r="Q141" s="11"/>
      <c r="R141" s="38" t="s">
        <v>33</v>
      </c>
      <c r="S141" s="8" t="s">
        <v>71</v>
      </c>
      <c r="T141" s="8"/>
      <c r="U141" s="8"/>
      <c r="V141" s="8">
        <v>5</v>
      </c>
      <c r="W141" s="8">
        <f t="shared" si="14"/>
        <v>5</v>
      </c>
      <c r="X141" s="8">
        <f t="shared" si="15"/>
        <v>5</v>
      </c>
      <c r="Y141" s="8" t="e">
        <f>ROUNDDOWN(W141/HLOOKUP(D141,#REF!,2,0)*8,2)</f>
        <v>#REF!</v>
      </c>
      <c r="Z141" s="8">
        <v>0.08</v>
      </c>
      <c r="AA141" s="8" t="s">
        <v>12</v>
      </c>
      <c r="AB141" s="12">
        <v>43935</v>
      </c>
      <c r="AC141" s="12">
        <v>43938</v>
      </c>
      <c r="AD141" s="12"/>
      <c r="AE141" s="12"/>
      <c r="AF141" s="14"/>
      <c r="AG141" s="17"/>
      <c r="AH141" s="17"/>
      <c r="AI141" s="17"/>
      <c r="AJ141" s="14"/>
      <c r="AK141" s="8"/>
      <c r="AL141" s="8"/>
      <c r="AM141" s="8"/>
    </row>
    <row r="142" spans="2:39" x14ac:dyDescent="0.25">
      <c r="B142" s="37">
        <v>95</v>
      </c>
      <c r="C142" s="9">
        <v>20200414</v>
      </c>
      <c r="D142" s="8" t="s">
        <v>2</v>
      </c>
      <c r="E142" s="8"/>
      <c r="F142" s="10"/>
      <c r="G142" s="10">
        <v>1390624</v>
      </c>
      <c r="H142" s="38" t="s">
        <v>33</v>
      </c>
      <c r="I142" s="8"/>
      <c r="J142" s="38" t="s">
        <v>33</v>
      </c>
      <c r="K142" s="8"/>
      <c r="L142" s="8"/>
      <c r="M142" s="8"/>
      <c r="N142" s="8"/>
      <c r="O142" s="10"/>
      <c r="P142" s="10"/>
      <c r="Q142" s="11"/>
      <c r="R142" s="38" t="s">
        <v>33</v>
      </c>
      <c r="S142" s="8" t="s">
        <v>71</v>
      </c>
      <c r="T142" s="8"/>
      <c r="U142" s="8"/>
      <c r="V142" s="8">
        <v>58</v>
      </c>
      <c r="W142" s="8">
        <f t="shared" si="14"/>
        <v>58</v>
      </c>
      <c r="X142" s="8">
        <f t="shared" si="15"/>
        <v>58</v>
      </c>
      <c r="Y142" s="8" t="e">
        <f>ROUNDDOWN(W142/HLOOKUP(D142,#REF!,2,0)*8,2)</f>
        <v>#REF!</v>
      </c>
      <c r="Z142" s="8">
        <v>1</v>
      </c>
      <c r="AA142" s="8" t="s">
        <v>12</v>
      </c>
      <c r="AB142" s="12">
        <v>43935</v>
      </c>
      <c r="AC142" s="12">
        <v>43938</v>
      </c>
      <c r="AD142" s="12"/>
      <c r="AE142" s="12"/>
      <c r="AF142" s="14"/>
      <c r="AG142" s="17"/>
      <c r="AH142" s="17"/>
      <c r="AI142" s="17"/>
      <c r="AJ142" s="14"/>
      <c r="AK142" s="8"/>
      <c r="AL142" s="8"/>
      <c r="AM142" s="8"/>
    </row>
    <row r="143" spans="2:39" x14ac:dyDescent="0.25">
      <c r="B143" s="37">
        <v>96</v>
      </c>
      <c r="C143" s="9">
        <v>20200414</v>
      </c>
      <c r="D143" s="8" t="s">
        <v>2</v>
      </c>
      <c r="E143" s="8"/>
      <c r="F143" s="10"/>
      <c r="G143" s="10">
        <v>1390624</v>
      </c>
      <c r="H143" s="38" t="s">
        <v>33</v>
      </c>
      <c r="I143" s="8"/>
      <c r="J143" s="38" t="s">
        <v>33</v>
      </c>
      <c r="K143" s="8"/>
      <c r="L143" s="8"/>
      <c r="M143" s="8"/>
      <c r="N143" s="8"/>
      <c r="O143" s="10"/>
      <c r="P143" s="10"/>
      <c r="Q143" s="11"/>
      <c r="R143" s="38" t="s">
        <v>33</v>
      </c>
      <c r="S143" s="8" t="s">
        <v>71</v>
      </c>
      <c r="T143" s="8"/>
      <c r="U143" s="8"/>
      <c r="V143" s="8">
        <v>13</v>
      </c>
      <c r="W143" s="8">
        <f t="shared" si="14"/>
        <v>13</v>
      </c>
      <c r="X143" s="8">
        <f t="shared" si="15"/>
        <v>13</v>
      </c>
      <c r="Y143" s="8" t="e">
        <f>ROUNDDOWN(W143/HLOOKUP(D143,#REF!,2,0)*8,2)</f>
        <v>#REF!</v>
      </c>
      <c r="Z143" s="8">
        <v>0.25</v>
      </c>
      <c r="AA143" s="8" t="s">
        <v>12</v>
      </c>
      <c r="AB143" s="12">
        <v>43935</v>
      </c>
      <c r="AC143" s="12">
        <v>43938</v>
      </c>
      <c r="AD143" s="12"/>
      <c r="AE143" s="12"/>
      <c r="AF143" s="14"/>
      <c r="AG143" s="17"/>
      <c r="AH143" s="17"/>
      <c r="AI143" s="17"/>
      <c r="AJ143" s="14"/>
      <c r="AK143" s="8"/>
      <c r="AL143" s="8"/>
      <c r="AM143" s="8"/>
    </row>
    <row r="144" spans="2:39" x14ac:dyDescent="0.25">
      <c r="B144" s="39">
        <v>97</v>
      </c>
      <c r="C144" s="9">
        <v>20200415</v>
      </c>
      <c r="D144" s="8" t="s">
        <v>2</v>
      </c>
      <c r="E144" s="8"/>
      <c r="F144" s="10"/>
      <c r="G144" s="10">
        <v>1420664</v>
      </c>
      <c r="H144" s="38" t="s">
        <v>33</v>
      </c>
      <c r="I144" s="8"/>
      <c r="J144" s="38" t="s">
        <v>33</v>
      </c>
      <c r="K144" s="8"/>
      <c r="L144" s="8"/>
      <c r="M144" s="8"/>
      <c r="N144" s="8"/>
      <c r="O144" s="10"/>
      <c r="P144" s="10"/>
      <c r="Q144" s="11"/>
      <c r="R144" s="38" t="s">
        <v>33</v>
      </c>
      <c r="S144" s="8" t="s">
        <v>71</v>
      </c>
      <c r="T144" s="8"/>
      <c r="U144" s="8"/>
      <c r="V144" s="8">
        <v>74</v>
      </c>
      <c r="W144" s="8">
        <f t="shared" si="14"/>
        <v>74</v>
      </c>
      <c r="X144" s="8"/>
      <c r="Y144" s="8" t="e">
        <f>ROUNDDOWN(W144/HLOOKUP(D144,#REF!,2,0)*8,2)</f>
        <v>#REF!</v>
      </c>
      <c r="Z144" s="8"/>
      <c r="AA144" s="8"/>
      <c r="AB144" s="12">
        <v>43936</v>
      </c>
      <c r="AC144" s="12">
        <v>43938</v>
      </c>
      <c r="AD144" s="12"/>
      <c r="AE144" s="12"/>
      <c r="AF144" s="14"/>
      <c r="AG144" s="17"/>
      <c r="AH144" s="17"/>
      <c r="AI144" s="17"/>
      <c r="AJ144" s="14"/>
      <c r="AK144" s="8"/>
      <c r="AL144" s="8"/>
      <c r="AM144" s="8"/>
    </row>
    <row r="145" spans="2:39" x14ac:dyDescent="0.25">
      <c r="B145" s="40">
        <v>98</v>
      </c>
      <c r="C145" s="9">
        <v>20200416</v>
      </c>
      <c r="D145" s="8" t="s">
        <v>2</v>
      </c>
      <c r="E145" s="8"/>
      <c r="F145" s="10"/>
      <c r="G145" s="10">
        <v>1414211</v>
      </c>
      <c r="H145" s="38" t="s">
        <v>33</v>
      </c>
      <c r="I145" s="8"/>
      <c r="J145" s="38" t="s">
        <v>33</v>
      </c>
      <c r="K145" s="8"/>
      <c r="L145" s="10"/>
      <c r="M145" s="8"/>
      <c r="N145" s="8"/>
      <c r="O145" s="10"/>
      <c r="P145" s="10"/>
      <c r="Q145" s="11"/>
      <c r="R145" s="38" t="s">
        <v>33</v>
      </c>
      <c r="S145" s="8" t="s">
        <v>71</v>
      </c>
      <c r="T145" s="8"/>
      <c r="U145" s="8"/>
      <c r="V145" s="8">
        <v>14</v>
      </c>
      <c r="W145" s="8">
        <f t="shared" si="14"/>
        <v>14</v>
      </c>
      <c r="X145" s="8"/>
      <c r="Y145" s="8" t="e">
        <f>ROUNDDOWN(W145/HLOOKUP(D145,#REF!,2,0)*8,2)</f>
        <v>#REF!</v>
      </c>
      <c r="Z145" s="8"/>
      <c r="AA145" s="8"/>
      <c r="AB145" s="12">
        <v>43937</v>
      </c>
      <c r="AC145" s="12">
        <v>43938</v>
      </c>
      <c r="AD145" s="12"/>
      <c r="AE145" s="12"/>
      <c r="AF145" s="14"/>
      <c r="AG145" s="17"/>
      <c r="AH145" s="17"/>
      <c r="AI145" s="17"/>
      <c r="AJ145" s="14"/>
      <c r="AK145" s="8"/>
      <c r="AL145" s="8"/>
      <c r="AM145" s="8"/>
    </row>
    <row r="146" spans="2:39" x14ac:dyDescent="0.25">
      <c r="B146" s="40">
        <v>99</v>
      </c>
      <c r="C146" s="9">
        <v>20200416</v>
      </c>
      <c r="D146" s="8" t="s">
        <v>2</v>
      </c>
      <c r="E146" s="8"/>
      <c r="F146" s="10"/>
      <c r="G146" s="10">
        <v>1414211</v>
      </c>
      <c r="H146" s="38" t="s">
        <v>33</v>
      </c>
      <c r="I146" s="8"/>
      <c r="J146" s="38" t="s">
        <v>33</v>
      </c>
      <c r="K146" s="8"/>
      <c r="L146" s="10"/>
      <c r="M146" s="8"/>
      <c r="N146" s="8"/>
      <c r="O146" s="10"/>
      <c r="P146" s="10"/>
      <c r="Q146" s="11"/>
      <c r="R146" s="38" t="s">
        <v>33</v>
      </c>
      <c r="S146" s="8" t="s">
        <v>71</v>
      </c>
      <c r="T146" s="8"/>
      <c r="U146" s="8"/>
      <c r="V146" s="8">
        <v>14</v>
      </c>
      <c r="W146" s="8">
        <f t="shared" si="14"/>
        <v>14</v>
      </c>
      <c r="X146" s="8"/>
      <c r="Y146" s="8" t="e">
        <f>ROUNDDOWN(W146/HLOOKUP(D146,#REF!,2,0)*8,2)</f>
        <v>#REF!</v>
      </c>
      <c r="Z146" s="8"/>
      <c r="AA146" s="8"/>
      <c r="AB146" s="12">
        <v>43937</v>
      </c>
      <c r="AC146" s="12">
        <v>43938</v>
      </c>
      <c r="AD146" s="12"/>
      <c r="AE146" s="12"/>
      <c r="AF146" s="14"/>
      <c r="AG146" s="17"/>
      <c r="AH146" s="17"/>
      <c r="AI146" s="17"/>
      <c r="AJ146" s="14"/>
      <c r="AK146" s="8"/>
      <c r="AL146" s="8"/>
      <c r="AM146" s="8"/>
    </row>
    <row r="147" spans="2:39" x14ac:dyDescent="0.25">
      <c r="B147" s="40">
        <v>100</v>
      </c>
      <c r="C147" s="9">
        <v>20200416</v>
      </c>
      <c r="D147" s="8" t="s">
        <v>2</v>
      </c>
      <c r="E147" s="8"/>
      <c r="F147" s="10"/>
      <c r="G147" s="10">
        <v>1414211</v>
      </c>
      <c r="H147" s="38" t="s">
        <v>33</v>
      </c>
      <c r="I147" s="8"/>
      <c r="J147" s="38" t="s">
        <v>33</v>
      </c>
      <c r="K147" s="8"/>
      <c r="L147" s="10"/>
      <c r="M147" s="8"/>
      <c r="N147" s="8"/>
      <c r="O147" s="10"/>
      <c r="P147" s="10"/>
      <c r="Q147" s="11"/>
      <c r="R147" s="38" t="s">
        <v>33</v>
      </c>
      <c r="S147" s="8" t="s">
        <v>71</v>
      </c>
      <c r="T147" s="8"/>
      <c r="U147" s="8"/>
      <c r="V147" s="8">
        <v>13</v>
      </c>
      <c r="W147" s="8">
        <f t="shared" si="14"/>
        <v>13</v>
      </c>
      <c r="X147" s="8"/>
      <c r="Y147" s="8" t="e">
        <f>ROUNDDOWN(W147/HLOOKUP(D147,#REF!,2,0)*8,2)</f>
        <v>#REF!</v>
      </c>
      <c r="Z147" s="8"/>
      <c r="AA147" s="8"/>
      <c r="AB147" s="12">
        <v>43937</v>
      </c>
      <c r="AC147" s="12">
        <v>43938</v>
      </c>
      <c r="AD147" s="12"/>
      <c r="AE147" s="12"/>
      <c r="AF147" s="14"/>
      <c r="AG147" s="17"/>
      <c r="AH147" s="17"/>
      <c r="AI147" s="17"/>
      <c r="AJ147" s="14"/>
      <c r="AK147" s="8"/>
      <c r="AL147" s="8"/>
      <c r="AM147" s="8"/>
    </row>
    <row r="148" spans="2:39" x14ac:dyDescent="0.25">
      <c r="B148" s="40">
        <v>101</v>
      </c>
      <c r="C148" s="9">
        <v>20200416</v>
      </c>
      <c r="D148" s="8" t="s">
        <v>2</v>
      </c>
      <c r="E148" s="8"/>
      <c r="F148" s="10"/>
      <c r="G148" s="10">
        <v>1414211</v>
      </c>
      <c r="H148" s="38" t="s">
        <v>33</v>
      </c>
      <c r="I148" s="8"/>
      <c r="J148" s="38" t="s">
        <v>33</v>
      </c>
      <c r="K148" s="8"/>
      <c r="L148" s="10"/>
      <c r="M148" s="8"/>
      <c r="N148" s="8"/>
      <c r="O148" s="10"/>
      <c r="P148" s="10"/>
      <c r="Q148" s="11"/>
      <c r="R148" s="38" t="s">
        <v>33</v>
      </c>
      <c r="S148" s="8" t="s">
        <v>71</v>
      </c>
      <c r="T148" s="8"/>
      <c r="U148" s="8"/>
      <c r="V148" s="8">
        <v>13</v>
      </c>
      <c r="W148" s="8">
        <f t="shared" si="14"/>
        <v>13</v>
      </c>
      <c r="X148" s="8"/>
      <c r="Y148" s="8" t="e">
        <f>ROUNDDOWN(W148/HLOOKUP(D148,#REF!,2,0)*8,2)</f>
        <v>#REF!</v>
      </c>
      <c r="Z148" s="8"/>
      <c r="AA148" s="8"/>
      <c r="AB148" s="12">
        <v>43937</v>
      </c>
      <c r="AC148" s="12">
        <v>43938</v>
      </c>
      <c r="AD148" s="12"/>
      <c r="AE148" s="12"/>
      <c r="AF148" s="14"/>
      <c r="AG148" s="17"/>
      <c r="AH148" s="17"/>
      <c r="AI148" s="17"/>
      <c r="AJ148" s="14"/>
      <c r="AK148" s="8"/>
      <c r="AL148" s="8"/>
      <c r="AM148" s="8"/>
    </row>
    <row r="149" spans="2:39" x14ac:dyDescent="0.25">
      <c r="B149" s="41">
        <v>102</v>
      </c>
      <c r="C149" s="9">
        <v>20200416</v>
      </c>
      <c r="D149" s="8" t="s">
        <v>2</v>
      </c>
      <c r="E149" s="8"/>
      <c r="F149" s="10"/>
      <c r="G149" s="10">
        <v>1414361</v>
      </c>
      <c r="H149" s="38" t="s">
        <v>33</v>
      </c>
      <c r="I149" s="8"/>
      <c r="J149" s="38" t="s">
        <v>33</v>
      </c>
      <c r="K149" s="42"/>
      <c r="L149" s="10"/>
      <c r="M149" s="8"/>
      <c r="N149" s="8"/>
      <c r="O149" s="10"/>
      <c r="P149" s="10"/>
      <c r="Q149" s="11"/>
      <c r="R149" s="38" t="s">
        <v>33</v>
      </c>
      <c r="S149" s="8" t="s">
        <v>71</v>
      </c>
      <c r="T149" s="8"/>
      <c r="U149" s="8"/>
      <c r="V149" s="8">
        <v>28</v>
      </c>
      <c r="W149" s="8">
        <f t="shared" si="14"/>
        <v>28</v>
      </c>
      <c r="X149" s="8"/>
      <c r="Y149" s="8" t="e">
        <f>ROUNDDOWN(W149/HLOOKUP(D149,#REF!,2,0)*8,2)</f>
        <v>#REF!</v>
      </c>
      <c r="Z149" s="8"/>
      <c r="AA149" s="8"/>
      <c r="AB149" s="12">
        <v>43937</v>
      </c>
      <c r="AC149" s="12">
        <v>43938</v>
      </c>
      <c r="AD149" s="12"/>
      <c r="AE149" s="12"/>
      <c r="AF149" s="14"/>
      <c r="AG149" s="17"/>
      <c r="AH149" s="17"/>
      <c r="AI149" s="17"/>
      <c r="AJ149" s="14"/>
      <c r="AK149" s="8"/>
      <c r="AL149" s="8"/>
      <c r="AM149" s="8"/>
    </row>
    <row r="150" spans="2:39" x14ac:dyDescent="0.25">
      <c r="B150" s="41">
        <v>103</v>
      </c>
      <c r="C150" s="9">
        <v>20200416</v>
      </c>
      <c r="D150" s="8" t="s">
        <v>2</v>
      </c>
      <c r="E150" s="8"/>
      <c r="F150" s="10"/>
      <c r="G150" s="10">
        <v>1414361</v>
      </c>
      <c r="H150" s="38" t="s">
        <v>33</v>
      </c>
      <c r="I150" s="8"/>
      <c r="J150" s="38" t="s">
        <v>33</v>
      </c>
      <c r="K150" s="42"/>
      <c r="L150" s="10"/>
      <c r="M150" s="8"/>
      <c r="N150" s="8"/>
      <c r="O150" s="10"/>
      <c r="P150" s="10"/>
      <c r="Q150" s="11"/>
      <c r="R150" s="38" t="s">
        <v>33</v>
      </c>
      <c r="S150" s="8" t="s">
        <v>71</v>
      </c>
      <c r="T150" s="8"/>
      <c r="U150" s="8"/>
      <c r="V150" s="8">
        <v>50</v>
      </c>
      <c r="W150" s="8">
        <f t="shared" si="14"/>
        <v>50</v>
      </c>
      <c r="X150" s="8"/>
      <c r="Y150" s="8" t="e">
        <f>ROUNDDOWN(W150/HLOOKUP(D150,#REF!,2,0)*8,2)</f>
        <v>#REF!</v>
      </c>
      <c r="Z150" s="8"/>
      <c r="AA150" s="8"/>
      <c r="AB150" s="12">
        <v>43937</v>
      </c>
      <c r="AC150" s="12">
        <v>43938</v>
      </c>
      <c r="AD150" s="12"/>
      <c r="AE150" s="12"/>
      <c r="AF150" s="14"/>
      <c r="AG150" s="17"/>
      <c r="AH150" s="17"/>
      <c r="AI150" s="17"/>
      <c r="AJ150" s="14"/>
      <c r="AK150" s="8"/>
      <c r="AL150" s="8"/>
      <c r="AM150" s="8"/>
    </row>
    <row r="151" spans="2:39" x14ac:dyDescent="0.25">
      <c r="B151" s="43">
        <v>104</v>
      </c>
      <c r="C151" s="9">
        <v>20200416</v>
      </c>
      <c r="D151" s="8" t="s">
        <v>2</v>
      </c>
      <c r="E151" s="8"/>
      <c r="F151" s="10"/>
      <c r="G151" s="10">
        <v>1416225</v>
      </c>
      <c r="H151" s="38" t="s">
        <v>33</v>
      </c>
      <c r="I151" s="8"/>
      <c r="J151" s="38" t="s">
        <v>33</v>
      </c>
      <c r="K151" s="8"/>
      <c r="L151" s="8"/>
      <c r="M151" s="8"/>
      <c r="N151" s="8"/>
      <c r="O151" s="10"/>
      <c r="P151" s="10"/>
      <c r="Q151" s="11"/>
      <c r="R151" s="38" t="s">
        <v>33</v>
      </c>
      <c r="S151" s="8" t="s">
        <v>36</v>
      </c>
      <c r="T151" s="8"/>
      <c r="U151" s="8"/>
      <c r="V151" s="8">
        <v>116</v>
      </c>
      <c r="W151" s="8">
        <f t="shared" si="14"/>
        <v>116</v>
      </c>
      <c r="X151" s="8"/>
      <c r="Y151" s="8" t="e">
        <f>ROUNDDOWN(W151/HLOOKUP(D151,#REF!,2,0)*8,2)</f>
        <v>#REF!</v>
      </c>
      <c r="Z151" s="8"/>
      <c r="AA151" s="8"/>
      <c r="AB151" s="12">
        <v>43937</v>
      </c>
      <c r="AC151" s="12">
        <v>43938</v>
      </c>
      <c r="AD151" s="12"/>
      <c r="AE151" s="12"/>
      <c r="AF151" s="14"/>
      <c r="AG151" s="17"/>
      <c r="AH151" s="17"/>
      <c r="AI151" s="17"/>
      <c r="AJ151" s="14"/>
      <c r="AK151" s="8"/>
      <c r="AL151" s="8"/>
      <c r="AM151" s="8"/>
    </row>
    <row r="152" spans="2:39" x14ac:dyDescent="0.25">
      <c r="B152" s="43">
        <v>105</v>
      </c>
      <c r="C152" s="9">
        <v>20200416</v>
      </c>
      <c r="D152" s="8" t="s">
        <v>2</v>
      </c>
      <c r="E152" s="8"/>
      <c r="F152" s="10"/>
      <c r="G152" s="10">
        <v>1416225</v>
      </c>
      <c r="H152" s="38" t="s">
        <v>33</v>
      </c>
      <c r="I152" s="8"/>
      <c r="J152" s="38" t="s">
        <v>33</v>
      </c>
      <c r="K152" s="8"/>
      <c r="L152" s="8"/>
      <c r="M152" s="8"/>
      <c r="N152" s="8"/>
      <c r="O152" s="10"/>
      <c r="P152" s="10"/>
      <c r="Q152" s="11"/>
      <c r="R152" s="38" t="s">
        <v>33</v>
      </c>
      <c r="S152" s="8" t="s">
        <v>36</v>
      </c>
      <c r="T152" s="8"/>
      <c r="U152" s="8"/>
      <c r="V152" s="8">
        <v>119</v>
      </c>
      <c r="W152" s="8">
        <f t="shared" si="14"/>
        <v>119</v>
      </c>
      <c r="X152" s="8"/>
      <c r="Y152" s="8" t="e">
        <f>ROUNDDOWN(W152/HLOOKUP(D152,#REF!,2,0)*8,2)</f>
        <v>#REF!</v>
      </c>
      <c r="Z152" s="8"/>
      <c r="AA152" s="8"/>
      <c r="AB152" s="12">
        <v>43937</v>
      </c>
      <c r="AC152" s="12">
        <v>43938</v>
      </c>
      <c r="AD152" s="12"/>
      <c r="AE152" s="12"/>
      <c r="AF152" s="14"/>
      <c r="AG152" s="17"/>
      <c r="AH152" s="17"/>
      <c r="AI152" s="17"/>
      <c r="AJ152" s="14"/>
      <c r="AK152" s="8"/>
      <c r="AL152" s="8"/>
      <c r="AM152" s="8"/>
    </row>
    <row r="153" spans="2:39" x14ac:dyDescent="0.25">
      <c r="B153" s="43">
        <v>106</v>
      </c>
      <c r="C153" s="9">
        <v>20200416</v>
      </c>
      <c r="D153" s="8" t="s">
        <v>2</v>
      </c>
      <c r="E153" s="8"/>
      <c r="F153" s="10"/>
      <c r="G153" s="10">
        <v>1417633</v>
      </c>
      <c r="H153" s="38" t="s">
        <v>33</v>
      </c>
      <c r="I153" s="8"/>
      <c r="J153" s="38" t="s">
        <v>33</v>
      </c>
      <c r="K153" s="8"/>
      <c r="L153" s="10"/>
      <c r="M153" s="8"/>
      <c r="N153" s="8"/>
      <c r="O153" s="10"/>
      <c r="P153" s="10"/>
      <c r="Q153" s="11"/>
      <c r="R153" s="38" t="s">
        <v>33</v>
      </c>
      <c r="S153" s="8" t="s">
        <v>36</v>
      </c>
      <c r="T153" s="8"/>
      <c r="U153" s="8"/>
      <c r="V153" s="8">
        <v>34</v>
      </c>
      <c r="W153" s="8">
        <f t="shared" si="14"/>
        <v>34</v>
      </c>
      <c r="X153" s="8"/>
      <c r="Y153" s="8" t="e">
        <f>ROUNDDOWN(W153/HLOOKUP(D153,#REF!,2,0)*8,2)</f>
        <v>#REF!</v>
      </c>
      <c r="Z153" s="8"/>
      <c r="AA153" s="8"/>
      <c r="AB153" s="12">
        <v>43937</v>
      </c>
      <c r="AC153" s="12">
        <v>43938</v>
      </c>
      <c r="AD153" s="12"/>
      <c r="AE153" s="12"/>
      <c r="AF153" s="14"/>
      <c r="AG153" s="17"/>
      <c r="AH153" s="17"/>
      <c r="AI153" s="17"/>
      <c r="AJ153" s="14"/>
      <c r="AK153" s="8"/>
      <c r="AL153" s="8"/>
      <c r="AM153" s="8"/>
    </row>
    <row r="154" spans="2:39" x14ac:dyDescent="0.25">
      <c r="B154" s="43">
        <v>107</v>
      </c>
      <c r="C154" s="9">
        <v>20200416</v>
      </c>
      <c r="D154" s="8" t="s">
        <v>2</v>
      </c>
      <c r="E154" s="8"/>
      <c r="F154" s="10"/>
      <c r="G154" s="10">
        <v>1417633</v>
      </c>
      <c r="H154" s="38" t="s">
        <v>33</v>
      </c>
      <c r="I154" s="8"/>
      <c r="J154" s="38" t="s">
        <v>33</v>
      </c>
      <c r="K154" s="8"/>
      <c r="L154" s="10"/>
      <c r="M154" s="8"/>
      <c r="N154" s="8"/>
      <c r="O154" s="10"/>
      <c r="P154" s="10"/>
      <c r="Q154" s="11"/>
      <c r="R154" s="38" t="s">
        <v>33</v>
      </c>
      <c r="S154" s="8" t="s">
        <v>36</v>
      </c>
      <c r="T154" s="8"/>
      <c r="U154" s="8"/>
      <c r="V154" s="8">
        <v>21</v>
      </c>
      <c r="W154" s="8">
        <f t="shared" si="14"/>
        <v>21</v>
      </c>
      <c r="X154" s="8"/>
      <c r="Y154" s="8" t="e">
        <f>ROUNDDOWN(W154/HLOOKUP(D154,#REF!,2,0)*8,2)</f>
        <v>#REF!</v>
      </c>
      <c r="Z154" s="8"/>
      <c r="AA154" s="8"/>
      <c r="AB154" s="12">
        <v>43937</v>
      </c>
      <c r="AC154" s="12">
        <v>43938</v>
      </c>
      <c r="AD154" s="12"/>
      <c r="AE154" s="12"/>
      <c r="AF154" s="14"/>
      <c r="AG154" s="17"/>
      <c r="AH154" s="17"/>
      <c r="AI154" s="17"/>
      <c r="AJ154" s="14"/>
      <c r="AK154" s="8"/>
      <c r="AL154" s="8"/>
      <c r="AM154" s="8"/>
    </row>
    <row r="155" spans="2:39" x14ac:dyDescent="0.25">
      <c r="B155" s="44">
        <v>108</v>
      </c>
      <c r="C155" s="9" t="s">
        <v>83</v>
      </c>
      <c r="D155" s="8" t="s">
        <v>2</v>
      </c>
      <c r="E155" s="8"/>
      <c r="F155" s="10"/>
      <c r="G155" s="10">
        <v>1411690</v>
      </c>
      <c r="H155" s="38" t="s">
        <v>33</v>
      </c>
      <c r="I155" s="8"/>
      <c r="J155" s="38" t="s">
        <v>33</v>
      </c>
      <c r="K155" s="8"/>
      <c r="L155" s="8"/>
      <c r="M155" s="8"/>
      <c r="N155" s="8"/>
      <c r="O155" s="10"/>
      <c r="P155" s="10"/>
      <c r="Q155" s="11"/>
      <c r="R155" s="38" t="s">
        <v>33</v>
      </c>
      <c r="S155" s="8"/>
      <c r="T155" s="8"/>
      <c r="U155" s="8"/>
      <c r="V155" s="8">
        <v>1434</v>
      </c>
      <c r="W155" s="8">
        <f t="shared" ref="W155:W218" si="16">V155</f>
        <v>1434</v>
      </c>
      <c r="X155" s="8"/>
      <c r="Y155" s="8" t="e">
        <f>ROUNDDOWN(W155/HLOOKUP(D155,#REF!,2,0)*8,2)</f>
        <v>#REF!</v>
      </c>
      <c r="Z155" s="8"/>
      <c r="AA155" s="8"/>
      <c r="AB155" s="12"/>
      <c r="AC155" s="12">
        <v>43945</v>
      </c>
      <c r="AD155" s="12"/>
      <c r="AE155" s="12"/>
      <c r="AF155" s="14"/>
      <c r="AG155" s="17"/>
      <c r="AH155" s="17"/>
      <c r="AI155" s="17"/>
      <c r="AJ155" s="14"/>
      <c r="AK155" s="8"/>
      <c r="AL155" s="8"/>
      <c r="AM155" s="8"/>
    </row>
    <row r="156" spans="2:39" x14ac:dyDescent="0.25">
      <c r="B156" s="44">
        <v>109</v>
      </c>
      <c r="C156" s="9" t="s">
        <v>83</v>
      </c>
      <c r="D156" s="8" t="s">
        <v>2</v>
      </c>
      <c r="E156" s="8"/>
      <c r="F156" s="10"/>
      <c r="G156" s="10">
        <v>1411690</v>
      </c>
      <c r="H156" s="38" t="s">
        <v>33</v>
      </c>
      <c r="I156" s="8"/>
      <c r="J156" s="38" t="s">
        <v>33</v>
      </c>
      <c r="K156" s="8"/>
      <c r="L156" s="8"/>
      <c r="M156" s="8"/>
      <c r="N156" s="8"/>
      <c r="O156" s="10"/>
      <c r="P156" s="10"/>
      <c r="Q156" s="11"/>
      <c r="R156" s="38" t="s">
        <v>33</v>
      </c>
      <c r="S156" s="8"/>
      <c r="T156" s="8"/>
      <c r="U156" s="8"/>
      <c r="V156" s="8">
        <v>75</v>
      </c>
      <c r="W156" s="8">
        <f t="shared" si="16"/>
        <v>75</v>
      </c>
      <c r="X156" s="8"/>
      <c r="Y156" s="8" t="e">
        <f>ROUNDDOWN(W156/HLOOKUP(D156,#REF!,2,0)*8,2)</f>
        <v>#REF!</v>
      </c>
      <c r="Z156" s="8"/>
      <c r="AA156" s="8"/>
      <c r="AB156" s="12"/>
      <c r="AC156" s="12">
        <v>43945</v>
      </c>
      <c r="AD156" s="12"/>
      <c r="AE156" s="12"/>
      <c r="AF156" s="14"/>
      <c r="AG156" s="17"/>
      <c r="AH156" s="17"/>
      <c r="AI156" s="17"/>
      <c r="AJ156" s="14"/>
      <c r="AK156" s="8"/>
      <c r="AL156" s="8"/>
      <c r="AM156" s="8"/>
    </row>
    <row r="157" spans="2:39" x14ac:dyDescent="0.25">
      <c r="B157" s="44">
        <v>110</v>
      </c>
      <c r="C157" s="9" t="s">
        <v>83</v>
      </c>
      <c r="D157" s="8" t="s">
        <v>2</v>
      </c>
      <c r="E157" s="8"/>
      <c r="F157" s="10"/>
      <c r="G157" s="10">
        <v>1411690</v>
      </c>
      <c r="H157" s="38" t="s">
        <v>33</v>
      </c>
      <c r="I157" s="8"/>
      <c r="J157" s="38" t="s">
        <v>33</v>
      </c>
      <c r="K157" s="8"/>
      <c r="L157" s="8"/>
      <c r="M157" s="8"/>
      <c r="N157" s="8"/>
      <c r="O157" s="10"/>
      <c r="P157" s="10"/>
      <c r="Q157" s="11"/>
      <c r="R157" s="38" t="s">
        <v>33</v>
      </c>
      <c r="S157" s="8"/>
      <c r="T157" s="8"/>
      <c r="U157" s="8"/>
      <c r="V157" s="8">
        <v>166</v>
      </c>
      <c r="W157" s="8">
        <f t="shared" si="16"/>
        <v>166</v>
      </c>
      <c r="X157" s="8"/>
      <c r="Y157" s="8" t="e">
        <f>ROUNDDOWN(W157/HLOOKUP(D157,#REF!,2,0)*8,2)</f>
        <v>#REF!</v>
      </c>
      <c r="Z157" s="8"/>
      <c r="AA157" s="8"/>
      <c r="AB157" s="12"/>
      <c r="AC157" s="12">
        <v>43945</v>
      </c>
      <c r="AD157" s="12"/>
      <c r="AE157" s="12"/>
      <c r="AF157" s="14"/>
      <c r="AG157" s="17"/>
      <c r="AH157" s="17"/>
      <c r="AI157" s="17"/>
      <c r="AJ157" s="14"/>
      <c r="AK157" s="8"/>
      <c r="AL157" s="8"/>
      <c r="AM157" s="8"/>
    </row>
    <row r="158" spans="2:39" x14ac:dyDescent="0.25">
      <c r="B158" s="44">
        <v>111</v>
      </c>
      <c r="C158" s="9" t="s">
        <v>83</v>
      </c>
      <c r="D158" s="8" t="s">
        <v>2</v>
      </c>
      <c r="E158" s="8"/>
      <c r="F158" s="10"/>
      <c r="G158" s="10">
        <v>1411690</v>
      </c>
      <c r="H158" s="38" t="s">
        <v>33</v>
      </c>
      <c r="I158" s="8"/>
      <c r="J158" s="38" t="s">
        <v>33</v>
      </c>
      <c r="K158" s="8"/>
      <c r="L158" s="8"/>
      <c r="M158" s="8"/>
      <c r="N158" s="8"/>
      <c r="O158" s="10"/>
      <c r="P158" s="10"/>
      <c r="Q158" s="11"/>
      <c r="R158" s="38" t="s">
        <v>33</v>
      </c>
      <c r="S158" s="8"/>
      <c r="T158" s="8"/>
      <c r="U158" s="8"/>
      <c r="V158" s="8">
        <v>46</v>
      </c>
      <c r="W158" s="8">
        <f t="shared" si="16"/>
        <v>46</v>
      </c>
      <c r="X158" s="8"/>
      <c r="Y158" s="8" t="e">
        <f>ROUNDDOWN(W158/HLOOKUP(D158,#REF!,2,0)*8,2)</f>
        <v>#REF!</v>
      </c>
      <c r="Z158" s="8"/>
      <c r="AA158" s="8"/>
      <c r="AB158" s="12"/>
      <c r="AC158" s="12">
        <v>43945</v>
      </c>
      <c r="AD158" s="12"/>
      <c r="AE158" s="12"/>
      <c r="AF158" s="14"/>
      <c r="AG158" s="17"/>
      <c r="AH158" s="17"/>
      <c r="AI158" s="17"/>
      <c r="AJ158" s="14"/>
      <c r="AK158" s="8"/>
      <c r="AL158" s="8"/>
      <c r="AM158" s="8"/>
    </row>
    <row r="159" spans="2:39" x14ac:dyDescent="0.25">
      <c r="B159" s="44">
        <v>112</v>
      </c>
      <c r="C159" s="9" t="s">
        <v>83</v>
      </c>
      <c r="D159" s="8" t="s">
        <v>2</v>
      </c>
      <c r="E159" s="8"/>
      <c r="F159" s="10"/>
      <c r="G159" s="10">
        <v>1411700</v>
      </c>
      <c r="H159" s="38" t="s">
        <v>33</v>
      </c>
      <c r="I159" s="8"/>
      <c r="J159" s="38" t="s">
        <v>33</v>
      </c>
      <c r="K159" s="8"/>
      <c r="L159" s="8"/>
      <c r="M159" s="8"/>
      <c r="N159" s="8"/>
      <c r="O159" s="10"/>
      <c r="P159" s="10"/>
      <c r="Q159" s="11"/>
      <c r="R159" s="38" t="s">
        <v>33</v>
      </c>
      <c r="S159" s="8"/>
      <c r="T159" s="8"/>
      <c r="U159" s="8"/>
      <c r="V159" s="8">
        <v>9</v>
      </c>
      <c r="W159" s="8">
        <f t="shared" si="16"/>
        <v>9</v>
      </c>
      <c r="X159" s="8"/>
      <c r="Y159" s="8" t="e">
        <f>ROUNDDOWN(W159/HLOOKUP(D159,#REF!,2,0)*8,2)</f>
        <v>#REF!</v>
      </c>
      <c r="Z159" s="8"/>
      <c r="AA159" s="8"/>
      <c r="AB159" s="12"/>
      <c r="AC159" s="12">
        <v>43945</v>
      </c>
      <c r="AD159" s="12"/>
      <c r="AE159" s="12"/>
      <c r="AF159" s="14"/>
      <c r="AG159" s="17"/>
      <c r="AH159" s="17"/>
      <c r="AI159" s="17"/>
      <c r="AJ159" s="14"/>
      <c r="AK159" s="8"/>
      <c r="AL159" s="8"/>
      <c r="AM159" s="8"/>
    </row>
    <row r="160" spans="2:39" x14ac:dyDescent="0.25">
      <c r="B160" s="44">
        <v>113</v>
      </c>
      <c r="C160" s="9" t="s">
        <v>83</v>
      </c>
      <c r="D160" s="8" t="s">
        <v>2</v>
      </c>
      <c r="E160" s="8"/>
      <c r="F160" s="10"/>
      <c r="G160" s="10">
        <v>1392220</v>
      </c>
      <c r="H160" s="38" t="s">
        <v>33</v>
      </c>
      <c r="I160" s="8"/>
      <c r="J160" s="38" t="s">
        <v>33</v>
      </c>
      <c r="K160" s="8"/>
      <c r="L160" s="8"/>
      <c r="M160" s="8"/>
      <c r="N160" s="8"/>
      <c r="O160" s="10"/>
      <c r="P160" s="10"/>
      <c r="Q160" s="11"/>
      <c r="R160" s="38" t="s">
        <v>33</v>
      </c>
      <c r="S160" s="8"/>
      <c r="T160" s="8"/>
      <c r="U160" s="8"/>
      <c r="V160" s="8">
        <v>221</v>
      </c>
      <c r="W160" s="8">
        <f t="shared" si="16"/>
        <v>221</v>
      </c>
      <c r="X160" s="8"/>
      <c r="Y160" s="8" t="e">
        <f>ROUNDDOWN(W160/HLOOKUP(D160,#REF!,2,0)*8,2)</f>
        <v>#REF!</v>
      </c>
      <c r="Z160" s="8"/>
      <c r="AA160" s="8"/>
      <c r="AB160" s="12"/>
      <c r="AC160" s="12">
        <v>43942</v>
      </c>
      <c r="AD160" s="12"/>
      <c r="AE160" s="12"/>
      <c r="AF160" s="14"/>
      <c r="AG160" s="17"/>
      <c r="AH160" s="17"/>
      <c r="AI160" s="17"/>
      <c r="AJ160" s="14"/>
      <c r="AK160" s="8"/>
      <c r="AL160" s="8"/>
      <c r="AM160" s="8"/>
    </row>
    <row r="161" spans="2:39" x14ac:dyDescent="0.25">
      <c r="B161" s="44">
        <v>114</v>
      </c>
      <c r="C161" s="9" t="s">
        <v>83</v>
      </c>
      <c r="D161" s="8" t="s">
        <v>2</v>
      </c>
      <c r="E161" s="8"/>
      <c r="F161" s="10"/>
      <c r="G161" s="10">
        <v>1392220</v>
      </c>
      <c r="H161" s="38" t="s">
        <v>33</v>
      </c>
      <c r="I161" s="8"/>
      <c r="J161" s="38" t="s">
        <v>33</v>
      </c>
      <c r="K161" s="8"/>
      <c r="L161" s="8"/>
      <c r="M161" s="8"/>
      <c r="N161" s="8"/>
      <c r="O161" s="10"/>
      <c r="P161" s="10"/>
      <c r="Q161" s="11"/>
      <c r="R161" s="38" t="s">
        <v>33</v>
      </c>
      <c r="S161" s="8"/>
      <c r="T161" s="8"/>
      <c r="U161" s="8"/>
      <c r="V161" s="8">
        <v>919</v>
      </c>
      <c r="W161" s="8">
        <f t="shared" si="16"/>
        <v>919</v>
      </c>
      <c r="X161" s="8"/>
      <c r="Y161" s="8" t="e">
        <f>ROUNDDOWN(W161/HLOOKUP(D161,#REF!,2,0)*8,2)</f>
        <v>#REF!</v>
      </c>
      <c r="Z161" s="8"/>
      <c r="AA161" s="8"/>
      <c r="AB161" s="12"/>
      <c r="AC161" s="12">
        <v>43942</v>
      </c>
      <c r="AD161" s="12"/>
      <c r="AE161" s="12"/>
      <c r="AF161" s="14"/>
      <c r="AG161" s="17"/>
      <c r="AH161" s="17"/>
      <c r="AI161" s="17"/>
      <c r="AJ161" s="14"/>
      <c r="AK161" s="8"/>
      <c r="AL161" s="8"/>
      <c r="AM161" s="8"/>
    </row>
    <row r="162" spans="2:39" x14ac:dyDescent="0.25">
      <c r="B162" s="44">
        <v>115</v>
      </c>
      <c r="C162" s="9" t="s">
        <v>83</v>
      </c>
      <c r="D162" s="8" t="s">
        <v>2</v>
      </c>
      <c r="E162" s="8"/>
      <c r="F162" s="10"/>
      <c r="G162" s="10">
        <v>1409871</v>
      </c>
      <c r="H162" s="38" t="s">
        <v>33</v>
      </c>
      <c r="I162" s="8"/>
      <c r="J162" s="38" t="s">
        <v>33</v>
      </c>
      <c r="K162" s="8"/>
      <c r="L162" s="8"/>
      <c r="M162" s="8"/>
      <c r="N162" s="8"/>
      <c r="O162" s="10"/>
      <c r="P162" s="10"/>
      <c r="Q162" s="11"/>
      <c r="R162" s="38" t="s">
        <v>33</v>
      </c>
      <c r="S162" s="8"/>
      <c r="T162" s="8"/>
      <c r="U162" s="8"/>
      <c r="V162" s="8">
        <v>101</v>
      </c>
      <c r="W162" s="8">
        <f t="shared" si="16"/>
        <v>101</v>
      </c>
      <c r="X162" s="8"/>
      <c r="Y162" s="8" t="e">
        <f>ROUNDDOWN(W162/HLOOKUP(D162,#REF!,2,0)*8,2)</f>
        <v>#REF!</v>
      </c>
      <c r="Z162" s="8"/>
      <c r="AA162" s="8"/>
      <c r="AB162" s="12"/>
      <c r="AC162" s="12">
        <v>43942</v>
      </c>
      <c r="AD162" s="12"/>
      <c r="AE162" s="12"/>
      <c r="AF162" s="14"/>
      <c r="AG162" s="17"/>
      <c r="AH162" s="17"/>
      <c r="AI162" s="17"/>
      <c r="AJ162" s="14"/>
      <c r="AK162" s="8"/>
      <c r="AL162" s="8"/>
      <c r="AM162" s="8"/>
    </row>
    <row r="163" spans="2:39" x14ac:dyDescent="0.25">
      <c r="B163" s="44">
        <v>116</v>
      </c>
      <c r="C163" s="9" t="s">
        <v>83</v>
      </c>
      <c r="D163" s="8" t="s">
        <v>2</v>
      </c>
      <c r="E163" s="8"/>
      <c r="F163" s="10"/>
      <c r="G163" s="10">
        <v>1409871</v>
      </c>
      <c r="H163" s="38" t="s">
        <v>33</v>
      </c>
      <c r="I163" s="8"/>
      <c r="J163" s="38" t="s">
        <v>33</v>
      </c>
      <c r="K163" s="8"/>
      <c r="L163" s="8"/>
      <c r="M163" s="8"/>
      <c r="N163" s="8"/>
      <c r="O163" s="10"/>
      <c r="P163" s="10"/>
      <c r="Q163" s="11"/>
      <c r="R163" s="38" t="s">
        <v>33</v>
      </c>
      <c r="S163" s="8"/>
      <c r="T163" s="8"/>
      <c r="U163" s="8"/>
      <c r="V163" s="8">
        <v>51</v>
      </c>
      <c r="W163" s="8">
        <f t="shared" si="16"/>
        <v>51</v>
      </c>
      <c r="X163" s="8"/>
      <c r="Y163" s="8" t="e">
        <f>ROUNDDOWN(W163/HLOOKUP(D163,#REF!,2,0)*8,2)</f>
        <v>#REF!</v>
      </c>
      <c r="Z163" s="8"/>
      <c r="AA163" s="8"/>
      <c r="AB163" s="12"/>
      <c r="AC163" s="12">
        <v>43942</v>
      </c>
      <c r="AD163" s="12"/>
      <c r="AE163" s="12"/>
      <c r="AF163" s="14"/>
      <c r="AG163" s="17"/>
      <c r="AH163" s="17"/>
      <c r="AI163" s="17"/>
      <c r="AJ163" s="14"/>
      <c r="AK163" s="8"/>
      <c r="AL163" s="8"/>
      <c r="AM163" s="8"/>
    </row>
    <row r="164" spans="2:39" x14ac:dyDescent="0.25">
      <c r="B164" s="44">
        <v>117</v>
      </c>
      <c r="C164" s="9" t="s">
        <v>83</v>
      </c>
      <c r="D164" s="8" t="s">
        <v>2</v>
      </c>
      <c r="E164" s="8"/>
      <c r="F164" s="10"/>
      <c r="G164" s="10">
        <v>1416607</v>
      </c>
      <c r="H164" s="38" t="s">
        <v>33</v>
      </c>
      <c r="I164" s="8"/>
      <c r="J164" s="38" t="s">
        <v>33</v>
      </c>
      <c r="K164" s="8"/>
      <c r="L164" s="8"/>
      <c r="M164" s="8"/>
      <c r="N164" s="8"/>
      <c r="O164" s="10"/>
      <c r="P164" s="10"/>
      <c r="Q164" s="11"/>
      <c r="R164" s="38" t="s">
        <v>33</v>
      </c>
      <c r="S164" s="8"/>
      <c r="T164" s="8"/>
      <c r="U164" s="8"/>
      <c r="V164" s="8">
        <v>84</v>
      </c>
      <c r="W164" s="8">
        <f t="shared" si="16"/>
        <v>84</v>
      </c>
      <c r="X164" s="8"/>
      <c r="Y164" s="8" t="e">
        <f>ROUNDDOWN(W164/HLOOKUP(D164,#REF!,2,0)*8,2)</f>
        <v>#REF!</v>
      </c>
      <c r="Z164" s="8"/>
      <c r="AA164" s="8"/>
      <c r="AB164" s="12"/>
      <c r="AC164" s="12">
        <v>43951</v>
      </c>
      <c r="AD164" s="12"/>
      <c r="AE164" s="12"/>
      <c r="AF164" s="14"/>
      <c r="AG164" s="17"/>
      <c r="AH164" s="17"/>
      <c r="AI164" s="17"/>
      <c r="AJ164" s="14"/>
      <c r="AK164" s="8"/>
      <c r="AL164" s="8"/>
      <c r="AM164" s="8"/>
    </row>
    <row r="165" spans="2:39" x14ac:dyDescent="0.25">
      <c r="B165" s="44">
        <v>118</v>
      </c>
      <c r="C165" s="9" t="s">
        <v>83</v>
      </c>
      <c r="D165" s="8" t="s">
        <v>2</v>
      </c>
      <c r="E165" s="8"/>
      <c r="F165" s="10"/>
      <c r="G165" s="10">
        <v>1416607</v>
      </c>
      <c r="H165" s="38" t="s">
        <v>33</v>
      </c>
      <c r="I165" s="8"/>
      <c r="J165" s="38" t="s">
        <v>33</v>
      </c>
      <c r="K165" s="8"/>
      <c r="L165" s="8"/>
      <c r="M165" s="8"/>
      <c r="N165" s="8"/>
      <c r="O165" s="10"/>
      <c r="P165" s="10"/>
      <c r="Q165" s="11"/>
      <c r="R165" s="38" t="s">
        <v>33</v>
      </c>
      <c r="S165" s="8"/>
      <c r="T165" s="8"/>
      <c r="U165" s="8"/>
      <c r="V165" s="8">
        <v>7</v>
      </c>
      <c r="W165" s="8">
        <f t="shared" si="16"/>
        <v>7</v>
      </c>
      <c r="X165" s="8"/>
      <c r="Y165" s="8" t="e">
        <f>ROUNDDOWN(W165/HLOOKUP(D165,#REF!,2,0)*8,2)</f>
        <v>#REF!</v>
      </c>
      <c r="Z165" s="8"/>
      <c r="AA165" s="8"/>
      <c r="AB165" s="12"/>
      <c r="AC165" s="12">
        <v>43951</v>
      </c>
      <c r="AD165" s="12"/>
      <c r="AE165" s="12"/>
      <c r="AF165" s="14"/>
      <c r="AG165" s="17"/>
      <c r="AH165" s="17"/>
      <c r="AI165" s="17"/>
      <c r="AJ165" s="14"/>
      <c r="AK165" s="8"/>
      <c r="AL165" s="8"/>
      <c r="AM165" s="8"/>
    </row>
    <row r="166" spans="2:39" x14ac:dyDescent="0.25">
      <c r="B166" s="44">
        <v>119</v>
      </c>
      <c r="C166" s="9" t="s">
        <v>83</v>
      </c>
      <c r="D166" s="8" t="s">
        <v>2</v>
      </c>
      <c r="E166" s="8"/>
      <c r="F166" s="10"/>
      <c r="G166" s="10">
        <v>1416607</v>
      </c>
      <c r="H166" s="38" t="s">
        <v>33</v>
      </c>
      <c r="I166" s="8"/>
      <c r="J166" s="38" t="s">
        <v>33</v>
      </c>
      <c r="K166" s="8"/>
      <c r="L166" s="8"/>
      <c r="M166" s="8"/>
      <c r="N166" s="8"/>
      <c r="O166" s="10"/>
      <c r="P166" s="10"/>
      <c r="Q166" s="11"/>
      <c r="R166" s="38" t="s">
        <v>33</v>
      </c>
      <c r="S166" s="8"/>
      <c r="T166" s="8"/>
      <c r="U166" s="8"/>
      <c r="V166" s="8">
        <v>259</v>
      </c>
      <c r="W166" s="8">
        <f t="shared" si="16"/>
        <v>259</v>
      </c>
      <c r="X166" s="8"/>
      <c r="Y166" s="8" t="e">
        <f>ROUNDDOWN(W166/HLOOKUP(D166,#REF!,2,0)*8,2)</f>
        <v>#REF!</v>
      </c>
      <c r="Z166" s="8"/>
      <c r="AA166" s="8"/>
      <c r="AB166" s="12"/>
      <c r="AC166" s="12">
        <v>43951</v>
      </c>
      <c r="AD166" s="12"/>
      <c r="AE166" s="12"/>
      <c r="AF166" s="14"/>
      <c r="AG166" s="17"/>
      <c r="AH166" s="17"/>
      <c r="AI166" s="17"/>
      <c r="AJ166" s="14"/>
      <c r="AK166" s="8"/>
      <c r="AL166" s="8"/>
      <c r="AM166" s="8"/>
    </row>
    <row r="167" spans="2:39" x14ac:dyDescent="0.25">
      <c r="B167" s="44">
        <v>120</v>
      </c>
      <c r="C167" s="9" t="s">
        <v>83</v>
      </c>
      <c r="D167" s="8" t="s">
        <v>2</v>
      </c>
      <c r="E167" s="8"/>
      <c r="F167" s="10"/>
      <c r="G167" s="10">
        <v>1416607</v>
      </c>
      <c r="H167" s="38" t="s">
        <v>33</v>
      </c>
      <c r="I167" s="8"/>
      <c r="J167" s="38" t="s">
        <v>33</v>
      </c>
      <c r="K167" s="8"/>
      <c r="L167" s="8"/>
      <c r="M167" s="8"/>
      <c r="N167" s="8"/>
      <c r="O167" s="10"/>
      <c r="P167" s="10"/>
      <c r="Q167" s="11"/>
      <c r="R167" s="38" t="s">
        <v>33</v>
      </c>
      <c r="S167" s="8"/>
      <c r="T167" s="8"/>
      <c r="U167" s="8"/>
      <c r="V167" s="8">
        <v>135</v>
      </c>
      <c r="W167" s="8">
        <f t="shared" si="16"/>
        <v>135</v>
      </c>
      <c r="X167" s="8"/>
      <c r="Y167" s="8" t="e">
        <f>ROUNDDOWN(W167/HLOOKUP(D167,#REF!,2,0)*8,2)</f>
        <v>#REF!</v>
      </c>
      <c r="Z167" s="8"/>
      <c r="AA167" s="8"/>
      <c r="AB167" s="12"/>
      <c r="AC167" s="12">
        <v>43951</v>
      </c>
      <c r="AD167" s="12"/>
      <c r="AE167" s="12"/>
      <c r="AF167" s="14"/>
      <c r="AG167" s="17"/>
      <c r="AH167" s="17"/>
      <c r="AI167" s="17"/>
      <c r="AJ167" s="14"/>
      <c r="AK167" s="8"/>
      <c r="AL167" s="8"/>
      <c r="AM167" s="8"/>
    </row>
    <row r="168" spans="2:39" x14ac:dyDescent="0.25">
      <c r="B168" s="44">
        <v>121</v>
      </c>
      <c r="C168" s="9" t="s">
        <v>83</v>
      </c>
      <c r="D168" s="8" t="s">
        <v>2</v>
      </c>
      <c r="E168" s="8"/>
      <c r="F168" s="10"/>
      <c r="G168" s="10">
        <v>1416607</v>
      </c>
      <c r="H168" s="38" t="s">
        <v>33</v>
      </c>
      <c r="I168" s="8"/>
      <c r="J168" s="38" t="s">
        <v>33</v>
      </c>
      <c r="K168" s="8"/>
      <c r="L168" s="8"/>
      <c r="M168" s="8"/>
      <c r="N168" s="8"/>
      <c r="O168" s="10"/>
      <c r="P168" s="10"/>
      <c r="Q168" s="11"/>
      <c r="R168" s="38" t="s">
        <v>33</v>
      </c>
      <c r="S168" s="8"/>
      <c r="T168" s="8"/>
      <c r="U168" s="8"/>
      <c r="V168" s="8">
        <v>82</v>
      </c>
      <c r="W168" s="8">
        <f t="shared" si="16"/>
        <v>82</v>
      </c>
      <c r="X168" s="8"/>
      <c r="Y168" s="8" t="e">
        <f>ROUNDDOWN(W168/HLOOKUP(D168,#REF!,2,0)*8,2)</f>
        <v>#REF!</v>
      </c>
      <c r="Z168" s="8"/>
      <c r="AA168" s="8"/>
      <c r="AB168" s="12"/>
      <c r="AC168" s="12">
        <v>43951</v>
      </c>
      <c r="AD168" s="12"/>
      <c r="AE168" s="12"/>
      <c r="AF168" s="14"/>
      <c r="AG168" s="17"/>
      <c r="AH168" s="17"/>
      <c r="AI168" s="17"/>
      <c r="AJ168" s="14"/>
      <c r="AK168" s="8"/>
      <c r="AL168" s="8"/>
      <c r="AM168" s="8"/>
    </row>
    <row r="169" spans="2:39" x14ac:dyDescent="0.25">
      <c r="B169" s="44">
        <v>122</v>
      </c>
      <c r="C169" s="9" t="s">
        <v>83</v>
      </c>
      <c r="D169" s="8" t="s">
        <v>2</v>
      </c>
      <c r="E169" s="8"/>
      <c r="F169" s="10"/>
      <c r="G169" s="10">
        <v>1416607</v>
      </c>
      <c r="H169" s="38" t="s">
        <v>33</v>
      </c>
      <c r="I169" s="8"/>
      <c r="J169" s="38" t="s">
        <v>33</v>
      </c>
      <c r="K169" s="8"/>
      <c r="L169" s="8"/>
      <c r="M169" s="8"/>
      <c r="N169" s="8"/>
      <c r="O169" s="10"/>
      <c r="P169" s="10"/>
      <c r="Q169" s="11"/>
      <c r="R169" s="38" t="s">
        <v>33</v>
      </c>
      <c r="S169" s="8"/>
      <c r="T169" s="8"/>
      <c r="U169" s="8"/>
      <c r="V169" s="8">
        <v>313</v>
      </c>
      <c r="W169" s="8">
        <f t="shared" si="16"/>
        <v>313</v>
      </c>
      <c r="X169" s="8"/>
      <c r="Y169" s="8" t="e">
        <f>ROUNDDOWN(W169/HLOOKUP(D169,#REF!,2,0)*8,2)</f>
        <v>#REF!</v>
      </c>
      <c r="Z169" s="8"/>
      <c r="AA169" s="8"/>
      <c r="AB169" s="12"/>
      <c r="AC169" s="12">
        <v>43951</v>
      </c>
      <c r="AD169" s="12"/>
      <c r="AE169" s="12"/>
      <c r="AF169" s="14"/>
      <c r="AG169" s="17"/>
      <c r="AH169" s="17"/>
      <c r="AI169" s="17"/>
      <c r="AJ169" s="14"/>
      <c r="AK169" s="8"/>
      <c r="AL169" s="8"/>
      <c r="AM169" s="8"/>
    </row>
    <row r="170" spans="2:39" x14ac:dyDescent="0.25">
      <c r="B170" s="44">
        <v>123</v>
      </c>
      <c r="C170" s="9" t="s">
        <v>83</v>
      </c>
      <c r="D170" s="8" t="s">
        <v>2</v>
      </c>
      <c r="E170" s="8"/>
      <c r="F170" s="10"/>
      <c r="G170" s="10">
        <v>1416607</v>
      </c>
      <c r="H170" s="38" t="s">
        <v>33</v>
      </c>
      <c r="I170" s="8"/>
      <c r="J170" s="38" t="s">
        <v>33</v>
      </c>
      <c r="K170" s="8"/>
      <c r="L170" s="8"/>
      <c r="M170" s="8"/>
      <c r="N170" s="8"/>
      <c r="O170" s="10"/>
      <c r="P170" s="10"/>
      <c r="Q170" s="11"/>
      <c r="R170" s="38" t="s">
        <v>33</v>
      </c>
      <c r="S170" s="8"/>
      <c r="T170" s="8"/>
      <c r="U170" s="8"/>
      <c r="V170" s="8">
        <v>54</v>
      </c>
      <c r="W170" s="8">
        <f t="shared" si="16"/>
        <v>54</v>
      </c>
      <c r="X170" s="8"/>
      <c r="Y170" s="8" t="e">
        <f>ROUNDDOWN(W170/HLOOKUP(D170,#REF!,2,0)*8,2)</f>
        <v>#REF!</v>
      </c>
      <c r="Z170" s="8"/>
      <c r="AA170" s="8"/>
      <c r="AB170" s="12"/>
      <c r="AC170" s="12">
        <v>43951</v>
      </c>
      <c r="AD170" s="12"/>
      <c r="AE170" s="12"/>
      <c r="AF170" s="14"/>
      <c r="AG170" s="17"/>
      <c r="AH170" s="17"/>
      <c r="AI170" s="17"/>
      <c r="AJ170" s="14"/>
      <c r="AK170" s="8"/>
      <c r="AL170" s="8"/>
      <c r="AM170" s="8"/>
    </row>
    <row r="171" spans="2:39" x14ac:dyDescent="0.25">
      <c r="B171" s="44">
        <v>124</v>
      </c>
      <c r="C171" s="9" t="s">
        <v>83</v>
      </c>
      <c r="D171" s="8" t="s">
        <v>2</v>
      </c>
      <c r="E171" s="8"/>
      <c r="F171" s="10"/>
      <c r="G171" s="10">
        <v>1416607</v>
      </c>
      <c r="H171" s="38" t="s">
        <v>33</v>
      </c>
      <c r="I171" s="8"/>
      <c r="J171" s="38" t="s">
        <v>33</v>
      </c>
      <c r="K171" s="8"/>
      <c r="L171" s="8"/>
      <c r="M171" s="8"/>
      <c r="N171" s="8"/>
      <c r="O171" s="10"/>
      <c r="P171" s="10"/>
      <c r="Q171" s="11"/>
      <c r="R171" s="38" t="s">
        <v>33</v>
      </c>
      <c r="S171" s="8"/>
      <c r="T171" s="8"/>
      <c r="U171" s="8"/>
      <c r="V171" s="8">
        <v>144</v>
      </c>
      <c r="W171" s="8">
        <f t="shared" si="16"/>
        <v>144</v>
      </c>
      <c r="X171" s="8"/>
      <c r="Y171" s="8" t="e">
        <f>ROUNDDOWN(W171/HLOOKUP(D171,#REF!,2,0)*8,2)</f>
        <v>#REF!</v>
      </c>
      <c r="Z171" s="8"/>
      <c r="AA171" s="8"/>
      <c r="AB171" s="12"/>
      <c r="AC171" s="12">
        <v>43951</v>
      </c>
      <c r="AD171" s="12"/>
      <c r="AE171" s="12"/>
      <c r="AF171" s="14"/>
      <c r="AG171" s="17"/>
      <c r="AH171" s="17"/>
      <c r="AI171" s="17"/>
      <c r="AJ171" s="14"/>
      <c r="AK171" s="8"/>
      <c r="AL171" s="8"/>
      <c r="AM171" s="8"/>
    </row>
    <row r="172" spans="2:39" x14ac:dyDescent="0.25">
      <c r="B172" s="44">
        <v>125</v>
      </c>
      <c r="C172" s="9" t="s">
        <v>83</v>
      </c>
      <c r="D172" s="8" t="s">
        <v>2</v>
      </c>
      <c r="E172" s="8"/>
      <c r="F172" s="10"/>
      <c r="G172" s="10">
        <v>1416607</v>
      </c>
      <c r="H172" s="38" t="s">
        <v>33</v>
      </c>
      <c r="I172" s="8"/>
      <c r="J172" s="38" t="s">
        <v>33</v>
      </c>
      <c r="K172" s="8"/>
      <c r="L172" s="8"/>
      <c r="M172" s="8"/>
      <c r="N172" s="8"/>
      <c r="O172" s="10"/>
      <c r="P172" s="10"/>
      <c r="Q172" s="11"/>
      <c r="R172" s="38" t="s">
        <v>33</v>
      </c>
      <c r="S172" s="8"/>
      <c r="T172" s="8"/>
      <c r="U172" s="8"/>
      <c r="V172" s="8">
        <v>59</v>
      </c>
      <c r="W172" s="8">
        <f t="shared" si="16"/>
        <v>59</v>
      </c>
      <c r="X172" s="8"/>
      <c r="Y172" s="8" t="e">
        <f>ROUNDDOWN(W172/HLOOKUP(D172,#REF!,2,0)*8,2)</f>
        <v>#REF!</v>
      </c>
      <c r="Z172" s="8"/>
      <c r="AA172" s="8"/>
      <c r="AB172" s="12"/>
      <c r="AC172" s="12">
        <v>43951</v>
      </c>
      <c r="AD172" s="12"/>
      <c r="AE172" s="12"/>
      <c r="AF172" s="14"/>
      <c r="AG172" s="17"/>
      <c r="AH172" s="17"/>
      <c r="AI172" s="17"/>
      <c r="AJ172" s="14"/>
      <c r="AK172" s="8"/>
      <c r="AL172" s="8"/>
      <c r="AM172" s="8"/>
    </row>
    <row r="173" spans="2:39" x14ac:dyDescent="0.25">
      <c r="B173" s="44">
        <v>126</v>
      </c>
      <c r="C173" s="9" t="s">
        <v>83</v>
      </c>
      <c r="D173" s="8" t="s">
        <v>2</v>
      </c>
      <c r="E173" s="8"/>
      <c r="F173" s="10"/>
      <c r="G173" s="10">
        <v>1416607</v>
      </c>
      <c r="H173" s="38" t="s">
        <v>33</v>
      </c>
      <c r="I173" s="8"/>
      <c r="J173" s="38" t="s">
        <v>33</v>
      </c>
      <c r="K173" s="8"/>
      <c r="L173" s="8"/>
      <c r="M173" s="8"/>
      <c r="N173" s="8"/>
      <c r="O173" s="10"/>
      <c r="P173" s="10"/>
      <c r="Q173" s="11"/>
      <c r="R173" s="38" t="s">
        <v>33</v>
      </c>
      <c r="S173" s="8"/>
      <c r="T173" s="8"/>
      <c r="U173" s="8"/>
      <c r="V173" s="8">
        <v>354</v>
      </c>
      <c r="W173" s="8">
        <f t="shared" si="16"/>
        <v>354</v>
      </c>
      <c r="X173" s="8"/>
      <c r="Y173" s="8" t="e">
        <f>ROUNDDOWN(W173/HLOOKUP(D173,#REF!,2,0)*8,2)</f>
        <v>#REF!</v>
      </c>
      <c r="Z173" s="8"/>
      <c r="AA173" s="8"/>
      <c r="AB173" s="12"/>
      <c r="AC173" s="12">
        <v>43951</v>
      </c>
      <c r="AD173" s="12"/>
      <c r="AE173" s="12"/>
      <c r="AF173" s="14"/>
      <c r="AG173" s="17"/>
      <c r="AH173" s="17"/>
      <c r="AI173" s="17"/>
      <c r="AJ173" s="14"/>
      <c r="AK173" s="8"/>
      <c r="AL173" s="8"/>
      <c r="AM173" s="8"/>
    </row>
    <row r="174" spans="2:39" x14ac:dyDescent="0.25">
      <c r="B174" s="44">
        <v>127</v>
      </c>
      <c r="C174" s="9" t="s">
        <v>83</v>
      </c>
      <c r="D174" s="8" t="s">
        <v>2</v>
      </c>
      <c r="E174" s="8"/>
      <c r="F174" s="10"/>
      <c r="G174" s="10">
        <v>1416607</v>
      </c>
      <c r="H174" s="38" t="s">
        <v>33</v>
      </c>
      <c r="I174" s="8"/>
      <c r="J174" s="38" t="s">
        <v>33</v>
      </c>
      <c r="K174" s="8"/>
      <c r="L174" s="8"/>
      <c r="M174" s="8"/>
      <c r="N174" s="8"/>
      <c r="O174" s="10"/>
      <c r="P174" s="10"/>
      <c r="Q174" s="11"/>
      <c r="R174" s="38" t="s">
        <v>33</v>
      </c>
      <c r="S174" s="8"/>
      <c r="T174" s="8"/>
      <c r="U174" s="8"/>
      <c r="V174" s="8">
        <v>186</v>
      </c>
      <c r="W174" s="8">
        <f t="shared" si="16"/>
        <v>186</v>
      </c>
      <c r="X174" s="8"/>
      <c r="Y174" s="8" t="e">
        <f>ROUNDDOWN(W174/HLOOKUP(D174,#REF!,2,0)*8,2)</f>
        <v>#REF!</v>
      </c>
      <c r="Z174" s="8"/>
      <c r="AA174" s="8"/>
      <c r="AB174" s="12"/>
      <c r="AC174" s="12">
        <v>43951</v>
      </c>
      <c r="AD174" s="12"/>
      <c r="AE174" s="12"/>
      <c r="AF174" s="14"/>
      <c r="AG174" s="17"/>
      <c r="AH174" s="17"/>
      <c r="AI174" s="17"/>
      <c r="AJ174" s="14"/>
      <c r="AK174" s="8"/>
      <c r="AL174" s="8"/>
      <c r="AM174" s="8"/>
    </row>
    <row r="175" spans="2:39" x14ac:dyDescent="0.25">
      <c r="B175" s="44">
        <v>128</v>
      </c>
      <c r="C175" s="9" t="s">
        <v>83</v>
      </c>
      <c r="D175" s="8" t="s">
        <v>2</v>
      </c>
      <c r="E175" s="8"/>
      <c r="F175" s="10"/>
      <c r="G175" s="10">
        <v>1416607</v>
      </c>
      <c r="H175" s="38" t="s">
        <v>33</v>
      </c>
      <c r="I175" s="8"/>
      <c r="J175" s="38" t="s">
        <v>33</v>
      </c>
      <c r="K175" s="8"/>
      <c r="L175" s="8"/>
      <c r="M175" s="8"/>
      <c r="N175" s="8"/>
      <c r="O175" s="10"/>
      <c r="P175" s="10"/>
      <c r="Q175" s="11"/>
      <c r="R175" s="38" t="s">
        <v>33</v>
      </c>
      <c r="S175" s="8"/>
      <c r="T175" s="8"/>
      <c r="U175" s="8"/>
      <c r="V175" s="8">
        <v>159</v>
      </c>
      <c r="W175" s="8">
        <f t="shared" si="16"/>
        <v>159</v>
      </c>
      <c r="X175" s="8"/>
      <c r="Y175" s="8" t="e">
        <f>ROUNDDOWN(W175/HLOOKUP(D175,#REF!,2,0)*8,2)</f>
        <v>#REF!</v>
      </c>
      <c r="Z175" s="8"/>
      <c r="AA175" s="8"/>
      <c r="AB175" s="12"/>
      <c r="AC175" s="12">
        <v>43951</v>
      </c>
      <c r="AD175" s="12"/>
      <c r="AE175" s="12"/>
      <c r="AF175" s="14"/>
      <c r="AG175" s="17"/>
      <c r="AH175" s="17"/>
      <c r="AI175" s="17"/>
      <c r="AJ175" s="14"/>
      <c r="AK175" s="8"/>
      <c r="AL175" s="8"/>
      <c r="AM175" s="8"/>
    </row>
    <row r="176" spans="2:39" x14ac:dyDescent="0.25">
      <c r="B176" s="44">
        <v>129</v>
      </c>
      <c r="C176" s="9" t="s">
        <v>83</v>
      </c>
      <c r="D176" s="8" t="s">
        <v>2</v>
      </c>
      <c r="E176" s="8"/>
      <c r="F176" s="10"/>
      <c r="G176" s="10">
        <v>1416607</v>
      </c>
      <c r="H176" s="38" t="s">
        <v>33</v>
      </c>
      <c r="I176" s="8"/>
      <c r="J176" s="38" t="s">
        <v>33</v>
      </c>
      <c r="K176" s="8"/>
      <c r="L176" s="8"/>
      <c r="M176" s="8"/>
      <c r="N176" s="8"/>
      <c r="O176" s="10"/>
      <c r="P176" s="10"/>
      <c r="Q176" s="11"/>
      <c r="R176" s="38" t="s">
        <v>33</v>
      </c>
      <c r="S176" s="8"/>
      <c r="T176" s="8"/>
      <c r="U176" s="8"/>
      <c r="V176" s="8">
        <v>199</v>
      </c>
      <c r="W176" s="8">
        <f t="shared" si="16"/>
        <v>199</v>
      </c>
      <c r="X176" s="8"/>
      <c r="Y176" s="8" t="e">
        <f>ROUNDDOWN(W176/HLOOKUP(D176,#REF!,2,0)*8,2)</f>
        <v>#REF!</v>
      </c>
      <c r="Z176" s="8"/>
      <c r="AA176" s="8"/>
      <c r="AB176" s="12"/>
      <c r="AC176" s="12">
        <v>43951</v>
      </c>
      <c r="AD176" s="12"/>
      <c r="AE176" s="12"/>
      <c r="AF176" s="14"/>
      <c r="AG176" s="17"/>
      <c r="AH176" s="17"/>
      <c r="AI176" s="17"/>
      <c r="AJ176" s="14"/>
      <c r="AK176" s="8"/>
      <c r="AL176" s="8"/>
      <c r="AM176" s="8"/>
    </row>
    <row r="177" spans="2:39" x14ac:dyDescent="0.25">
      <c r="B177" s="44">
        <v>130</v>
      </c>
      <c r="C177" s="9" t="s">
        <v>83</v>
      </c>
      <c r="D177" s="8" t="s">
        <v>2</v>
      </c>
      <c r="E177" s="8"/>
      <c r="F177" s="10"/>
      <c r="G177" s="10">
        <v>1416607</v>
      </c>
      <c r="H177" s="38" t="s">
        <v>33</v>
      </c>
      <c r="I177" s="8"/>
      <c r="J177" s="38" t="s">
        <v>33</v>
      </c>
      <c r="K177" s="8"/>
      <c r="L177" s="8"/>
      <c r="M177" s="8"/>
      <c r="N177" s="8"/>
      <c r="O177" s="10"/>
      <c r="P177" s="10"/>
      <c r="Q177" s="11"/>
      <c r="R177" s="38" t="s">
        <v>33</v>
      </c>
      <c r="S177" s="8"/>
      <c r="T177" s="8"/>
      <c r="U177" s="8"/>
      <c r="V177" s="8">
        <v>6</v>
      </c>
      <c r="W177" s="8">
        <f t="shared" si="16"/>
        <v>6</v>
      </c>
      <c r="X177" s="8"/>
      <c r="Y177" s="8" t="e">
        <f>ROUNDDOWN(W177/HLOOKUP(D177,#REF!,2,0)*8,2)</f>
        <v>#REF!</v>
      </c>
      <c r="Z177" s="8"/>
      <c r="AA177" s="8"/>
      <c r="AB177" s="12"/>
      <c r="AC177" s="12">
        <v>43951</v>
      </c>
      <c r="AD177" s="12"/>
      <c r="AE177" s="12"/>
      <c r="AF177" s="14"/>
      <c r="AG177" s="17"/>
      <c r="AH177" s="17"/>
      <c r="AI177" s="17"/>
      <c r="AJ177" s="14"/>
      <c r="AK177" s="8"/>
      <c r="AL177" s="8"/>
      <c r="AM177" s="8"/>
    </row>
    <row r="178" spans="2:39" x14ac:dyDescent="0.25">
      <c r="B178" s="44">
        <v>131</v>
      </c>
      <c r="C178" s="9" t="s">
        <v>83</v>
      </c>
      <c r="D178" s="8" t="s">
        <v>2</v>
      </c>
      <c r="E178" s="8"/>
      <c r="F178" s="10"/>
      <c r="G178" s="10">
        <v>1416606</v>
      </c>
      <c r="H178" s="38" t="s">
        <v>33</v>
      </c>
      <c r="I178" s="8"/>
      <c r="J178" s="38" t="s">
        <v>33</v>
      </c>
      <c r="K178" s="8"/>
      <c r="L178" s="8"/>
      <c r="M178" s="8"/>
      <c r="N178" s="8"/>
      <c r="O178" s="10"/>
      <c r="P178" s="10"/>
      <c r="Q178" s="11"/>
      <c r="R178" s="38" t="s">
        <v>33</v>
      </c>
      <c r="S178" s="8"/>
      <c r="T178" s="8"/>
      <c r="U178" s="8"/>
      <c r="V178" s="8">
        <v>84</v>
      </c>
      <c r="W178" s="8">
        <f t="shared" si="16"/>
        <v>84</v>
      </c>
      <c r="X178" s="8"/>
      <c r="Y178" s="8" t="e">
        <f>ROUNDDOWN(W178/HLOOKUP(D178,#REF!,2,0)*8,2)</f>
        <v>#REF!</v>
      </c>
      <c r="Z178" s="8"/>
      <c r="AA178" s="8"/>
      <c r="AB178" s="12"/>
      <c r="AC178" s="12">
        <v>43951</v>
      </c>
      <c r="AD178" s="12"/>
      <c r="AE178" s="12"/>
      <c r="AF178" s="14"/>
      <c r="AG178" s="17"/>
      <c r="AH178" s="17"/>
      <c r="AI178" s="17"/>
      <c r="AJ178" s="14"/>
      <c r="AK178" s="8"/>
      <c r="AL178" s="8"/>
      <c r="AM178" s="8"/>
    </row>
    <row r="179" spans="2:39" x14ac:dyDescent="0.25">
      <c r="B179" s="44">
        <v>132</v>
      </c>
      <c r="C179" s="9" t="s">
        <v>83</v>
      </c>
      <c r="D179" s="8" t="s">
        <v>2</v>
      </c>
      <c r="E179" s="8"/>
      <c r="F179" s="10"/>
      <c r="G179" s="10">
        <v>1416606</v>
      </c>
      <c r="H179" s="38" t="s">
        <v>33</v>
      </c>
      <c r="I179" s="8"/>
      <c r="J179" s="38" t="s">
        <v>33</v>
      </c>
      <c r="K179" s="8"/>
      <c r="L179" s="8"/>
      <c r="M179" s="8"/>
      <c r="N179" s="8"/>
      <c r="O179" s="10"/>
      <c r="P179" s="10"/>
      <c r="Q179" s="11"/>
      <c r="R179" s="38" t="s">
        <v>33</v>
      </c>
      <c r="S179" s="8"/>
      <c r="T179" s="8"/>
      <c r="U179" s="8"/>
      <c r="V179" s="8">
        <v>7</v>
      </c>
      <c r="W179" s="8">
        <f t="shared" si="16"/>
        <v>7</v>
      </c>
      <c r="X179" s="8"/>
      <c r="Y179" s="8" t="e">
        <f>ROUNDDOWN(W179/HLOOKUP(D179,#REF!,2,0)*8,2)</f>
        <v>#REF!</v>
      </c>
      <c r="Z179" s="8"/>
      <c r="AA179" s="8"/>
      <c r="AB179" s="12"/>
      <c r="AC179" s="12">
        <v>43951</v>
      </c>
      <c r="AD179" s="12"/>
      <c r="AE179" s="12"/>
      <c r="AF179" s="14"/>
      <c r="AG179" s="17"/>
      <c r="AH179" s="17"/>
      <c r="AI179" s="17"/>
      <c r="AJ179" s="14"/>
      <c r="AK179" s="8"/>
      <c r="AL179" s="8"/>
      <c r="AM179" s="8"/>
    </row>
    <row r="180" spans="2:39" x14ac:dyDescent="0.25">
      <c r="B180" s="44">
        <v>133</v>
      </c>
      <c r="C180" s="9" t="s">
        <v>83</v>
      </c>
      <c r="D180" s="8" t="s">
        <v>2</v>
      </c>
      <c r="E180" s="8"/>
      <c r="F180" s="10"/>
      <c r="G180" s="10">
        <v>1416606</v>
      </c>
      <c r="H180" s="38" t="s">
        <v>33</v>
      </c>
      <c r="I180" s="8"/>
      <c r="J180" s="38" t="s">
        <v>33</v>
      </c>
      <c r="K180" s="8"/>
      <c r="L180" s="8"/>
      <c r="M180" s="8"/>
      <c r="N180" s="8"/>
      <c r="O180" s="10"/>
      <c r="P180" s="10"/>
      <c r="Q180" s="11"/>
      <c r="R180" s="38" t="s">
        <v>33</v>
      </c>
      <c r="S180" s="8"/>
      <c r="T180" s="8"/>
      <c r="U180" s="8"/>
      <c r="V180" s="8">
        <v>259</v>
      </c>
      <c r="W180" s="8">
        <f t="shared" si="16"/>
        <v>259</v>
      </c>
      <c r="X180" s="8"/>
      <c r="Y180" s="8" t="e">
        <f>ROUNDDOWN(W180/HLOOKUP(D180,#REF!,2,0)*8,2)</f>
        <v>#REF!</v>
      </c>
      <c r="Z180" s="8"/>
      <c r="AA180" s="8"/>
      <c r="AB180" s="12"/>
      <c r="AC180" s="12">
        <v>43951</v>
      </c>
      <c r="AD180" s="12"/>
      <c r="AE180" s="12"/>
      <c r="AF180" s="14"/>
      <c r="AG180" s="17"/>
      <c r="AH180" s="17"/>
      <c r="AI180" s="17"/>
      <c r="AJ180" s="14"/>
      <c r="AK180" s="8"/>
      <c r="AL180" s="8"/>
      <c r="AM180" s="8"/>
    </row>
    <row r="181" spans="2:39" x14ac:dyDescent="0.25">
      <c r="B181" s="44">
        <v>134</v>
      </c>
      <c r="C181" s="9" t="s">
        <v>83</v>
      </c>
      <c r="D181" s="8" t="s">
        <v>2</v>
      </c>
      <c r="E181" s="8"/>
      <c r="F181" s="10"/>
      <c r="G181" s="10">
        <v>1416606</v>
      </c>
      <c r="H181" s="38" t="s">
        <v>33</v>
      </c>
      <c r="I181" s="8"/>
      <c r="J181" s="38" t="s">
        <v>33</v>
      </c>
      <c r="K181" s="8"/>
      <c r="L181" s="8"/>
      <c r="M181" s="8"/>
      <c r="N181" s="8"/>
      <c r="O181" s="10"/>
      <c r="P181" s="10"/>
      <c r="Q181" s="11"/>
      <c r="R181" s="38" t="s">
        <v>33</v>
      </c>
      <c r="S181" s="8"/>
      <c r="T181" s="8"/>
      <c r="U181" s="8"/>
      <c r="V181" s="8">
        <v>140</v>
      </c>
      <c r="W181" s="8">
        <f t="shared" si="16"/>
        <v>140</v>
      </c>
      <c r="X181" s="8"/>
      <c r="Y181" s="8" t="e">
        <f>ROUNDDOWN(W181/HLOOKUP(D181,#REF!,2,0)*8,2)</f>
        <v>#REF!</v>
      </c>
      <c r="Z181" s="8"/>
      <c r="AA181" s="8"/>
      <c r="AB181" s="12"/>
      <c r="AC181" s="12">
        <v>43951</v>
      </c>
      <c r="AD181" s="12"/>
      <c r="AE181" s="12"/>
      <c r="AF181" s="14"/>
      <c r="AG181" s="17"/>
      <c r="AH181" s="17"/>
      <c r="AI181" s="17"/>
      <c r="AJ181" s="14"/>
      <c r="AK181" s="8"/>
      <c r="AL181" s="8"/>
      <c r="AM181" s="8"/>
    </row>
    <row r="182" spans="2:39" x14ac:dyDescent="0.25">
      <c r="B182" s="44">
        <v>135</v>
      </c>
      <c r="C182" s="9" t="s">
        <v>83</v>
      </c>
      <c r="D182" s="8" t="s">
        <v>2</v>
      </c>
      <c r="E182" s="8"/>
      <c r="F182" s="10"/>
      <c r="G182" s="10">
        <v>1416606</v>
      </c>
      <c r="H182" s="38" t="s">
        <v>33</v>
      </c>
      <c r="I182" s="8"/>
      <c r="J182" s="38" t="s">
        <v>33</v>
      </c>
      <c r="K182" s="8"/>
      <c r="L182" s="8"/>
      <c r="M182" s="8"/>
      <c r="N182" s="8"/>
      <c r="O182" s="10"/>
      <c r="P182" s="10"/>
      <c r="Q182" s="11"/>
      <c r="R182" s="38" t="s">
        <v>33</v>
      </c>
      <c r="S182" s="8"/>
      <c r="T182" s="8"/>
      <c r="U182" s="8"/>
      <c r="V182" s="8">
        <v>313</v>
      </c>
      <c r="W182" s="8">
        <f t="shared" si="16"/>
        <v>313</v>
      </c>
      <c r="X182" s="8"/>
      <c r="Y182" s="8" t="e">
        <f>ROUNDDOWN(W182/HLOOKUP(D182,#REF!,2,0)*8,2)</f>
        <v>#REF!</v>
      </c>
      <c r="Z182" s="8"/>
      <c r="AA182" s="8"/>
      <c r="AB182" s="12"/>
      <c r="AC182" s="12">
        <v>43951</v>
      </c>
      <c r="AD182" s="12"/>
      <c r="AE182" s="12"/>
      <c r="AF182" s="14"/>
      <c r="AG182" s="17"/>
      <c r="AH182" s="17"/>
      <c r="AI182" s="17"/>
      <c r="AJ182" s="14"/>
      <c r="AK182" s="8"/>
      <c r="AL182" s="8"/>
      <c r="AM182" s="8"/>
    </row>
    <row r="183" spans="2:39" x14ac:dyDescent="0.25">
      <c r="B183" s="44">
        <v>136</v>
      </c>
      <c r="C183" s="9" t="s">
        <v>83</v>
      </c>
      <c r="D183" s="8" t="s">
        <v>2</v>
      </c>
      <c r="E183" s="8"/>
      <c r="F183" s="10"/>
      <c r="G183" s="10">
        <v>1416606</v>
      </c>
      <c r="H183" s="38" t="s">
        <v>33</v>
      </c>
      <c r="I183" s="8"/>
      <c r="J183" s="38" t="s">
        <v>33</v>
      </c>
      <c r="K183" s="8"/>
      <c r="L183" s="8"/>
      <c r="M183" s="8"/>
      <c r="N183" s="8"/>
      <c r="O183" s="10"/>
      <c r="P183" s="10"/>
      <c r="Q183" s="11"/>
      <c r="R183" s="38" t="s">
        <v>33</v>
      </c>
      <c r="S183" s="8"/>
      <c r="T183" s="8"/>
      <c r="U183" s="8"/>
      <c r="V183" s="8">
        <v>144</v>
      </c>
      <c r="W183" s="8">
        <f t="shared" si="16"/>
        <v>144</v>
      </c>
      <c r="X183" s="8"/>
      <c r="Y183" s="8" t="e">
        <f>ROUNDDOWN(W183/HLOOKUP(D183,#REF!,2,0)*8,2)</f>
        <v>#REF!</v>
      </c>
      <c r="Z183" s="8"/>
      <c r="AA183" s="8"/>
      <c r="AB183" s="12"/>
      <c r="AC183" s="12">
        <v>43951</v>
      </c>
      <c r="AD183" s="12"/>
      <c r="AE183" s="12"/>
      <c r="AF183" s="14"/>
      <c r="AG183" s="17"/>
      <c r="AH183" s="17"/>
      <c r="AI183" s="17"/>
      <c r="AJ183" s="14"/>
      <c r="AK183" s="8"/>
      <c r="AL183" s="8"/>
      <c r="AM183" s="8"/>
    </row>
    <row r="184" spans="2:39" x14ac:dyDescent="0.25">
      <c r="B184" s="44">
        <v>137</v>
      </c>
      <c r="C184" s="9" t="s">
        <v>83</v>
      </c>
      <c r="D184" s="8" t="s">
        <v>2</v>
      </c>
      <c r="E184" s="8"/>
      <c r="F184" s="10"/>
      <c r="G184" s="10">
        <v>1416606</v>
      </c>
      <c r="H184" s="38" t="s">
        <v>33</v>
      </c>
      <c r="I184" s="8"/>
      <c r="J184" s="38" t="s">
        <v>33</v>
      </c>
      <c r="K184" s="8"/>
      <c r="L184" s="8"/>
      <c r="M184" s="8"/>
      <c r="N184" s="8"/>
      <c r="O184" s="10"/>
      <c r="P184" s="10"/>
      <c r="Q184" s="11"/>
      <c r="R184" s="38" t="s">
        <v>33</v>
      </c>
      <c r="S184" s="8"/>
      <c r="T184" s="8"/>
      <c r="U184" s="8"/>
      <c r="V184" s="8">
        <v>59</v>
      </c>
      <c r="W184" s="8">
        <f t="shared" si="16"/>
        <v>59</v>
      </c>
      <c r="X184" s="8"/>
      <c r="Y184" s="8" t="e">
        <f>ROUNDDOWN(W184/HLOOKUP(D184,#REF!,2,0)*8,2)</f>
        <v>#REF!</v>
      </c>
      <c r="Z184" s="8"/>
      <c r="AA184" s="8"/>
      <c r="AB184" s="12"/>
      <c r="AC184" s="12">
        <v>43951</v>
      </c>
      <c r="AD184" s="12"/>
      <c r="AE184" s="12"/>
      <c r="AF184" s="14"/>
      <c r="AG184" s="17"/>
      <c r="AH184" s="17"/>
      <c r="AI184" s="17"/>
      <c r="AJ184" s="14"/>
      <c r="AK184" s="8"/>
      <c r="AL184" s="8"/>
      <c r="AM184" s="8"/>
    </row>
    <row r="185" spans="2:39" x14ac:dyDescent="0.25">
      <c r="B185" s="44">
        <v>138</v>
      </c>
      <c r="C185" s="9" t="s">
        <v>83</v>
      </c>
      <c r="D185" s="8" t="s">
        <v>2</v>
      </c>
      <c r="E185" s="8"/>
      <c r="F185" s="10"/>
      <c r="G185" s="10">
        <v>1416606</v>
      </c>
      <c r="H185" s="38" t="s">
        <v>33</v>
      </c>
      <c r="I185" s="8"/>
      <c r="J185" s="38" t="s">
        <v>33</v>
      </c>
      <c r="K185" s="8"/>
      <c r="L185" s="8"/>
      <c r="M185" s="8"/>
      <c r="N185" s="8"/>
      <c r="O185" s="10"/>
      <c r="P185" s="10"/>
      <c r="Q185" s="11"/>
      <c r="R185" s="38" t="s">
        <v>33</v>
      </c>
      <c r="S185" s="8"/>
      <c r="T185" s="8"/>
      <c r="U185" s="8"/>
      <c r="V185" s="8">
        <v>354</v>
      </c>
      <c r="W185" s="8">
        <f t="shared" si="16"/>
        <v>354</v>
      </c>
      <c r="X185" s="8"/>
      <c r="Y185" s="8" t="e">
        <f>ROUNDDOWN(W185/HLOOKUP(D185,#REF!,2,0)*8,2)</f>
        <v>#REF!</v>
      </c>
      <c r="Z185" s="8"/>
      <c r="AA185" s="8"/>
      <c r="AB185" s="12"/>
      <c r="AC185" s="12">
        <v>43951</v>
      </c>
      <c r="AD185" s="12"/>
      <c r="AE185" s="12"/>
      <c r="AF185" s="14"/>
      <c r="AG185" s="17"/>
      <c r="AH185" s="17"/>
      <c r="AI185" s="17"/>
      <c r="AJ185" s="14"/>
      <c r="AK185" s="8"/>
      <c r="AL185" s="8"/>
      <c r="AM185" s="8"/>
    </row>
    <row r="186" spans="2:39" x14ac:dyDescent="0.25">
      <c r="B186" s="44">
        <v>139</v>
      </c>
      <c r="C186" s="9" t="s">
        <v>83</v>
      </c>
      <c r="D186" s="8" t="s">
        <v>2</v>
      </c>
      <c r="E186" s="8"/>
      <c r="F186" s="10"/>
      <c r="G186" s="10">
        <v>1416606</v>
      </c>
      <c r="H186" s="38" t="s">
        <v>33</v>
      </c>
      <c r="I186" s="8"/>
      <c r="J186" s="38" t="s">
        <v>33</v>
      </c>
      <c r="K186" s="8"/>
      <c r="L186" s="8"/>
      <c r="M186" s="8"/>
      <c r="N186" s="8"/>
      <c r="O186" s="10"/>
      <c r="P186" s="10"/>
      <c r="Q186" s="11"/>
      <c r="R186" s="38" t="s">
        <v>33</v>
      </c>
      <c r="S186" s="8"/>
      <c r="T186" s="8"/>
      <c r="U186" s="8"/>
      <c r="V186" s="8">
        <v>186</v>
      </c>
      <c r="W186" s="8">
        <f t="shared" si="16"/>
        <v>186</v>
      </c>
      <c r="X186" s="8"/>
      <c r="Y186" s="8" t="e">
        <f>ROUNDDOWN(W186/HLOOKUP(D186,#REF!,2,0)*8,2)</f>
        <v>#REF!</v>
      </c>
      <c r="Z186" s="8"/>
      <c r="AA186" s="8"/>
      <c r="AB186" s="12"/>
      <c r="AC186" s="12">
        <v>43951</v>
      </c>
      <c r="AD186" s="12"/>
      <c r="AE186" s="12"/>
      <c r="AF186" s="14"/>
      <c r="AG186" s="17"/>
      <c r="AH186" s="17"/>
      <c r="AI186" s="17"/>
      <c r="AJ186" s="14"/>
      <c r="AK186" s="8"/>
      <c r="AL186" s="8"/>
      <c r="AM186" s="8"/>
    </row>
    <row r="187" spans="2:39" x14ac:dyDescent="0.25">
      <c r="B187" s="44">
        <v>140</v>
      </c>
      <c r="C187" s="9" t="s">
        <v>83</v>
      </c>
      <c r="D187" s="8" t="s">
        <v>2</v>
      </c>
      <c r="E187" s="8"/>
      <c r="F187" s="10"/>
      <c r="G187" s="10">
        <v>1416606</v>
      </c>
      <c r="H187" s="38" t="s">
        <v>33</v>
      </c>
      <c r="I187" s="8"/>
      <c r="J187" s="38" t="s">
        <v>33</v>
      </c>
      <c r="K187" s="8"/>
      <c r="L187" s="8"/>
      <c r="M187" s="8"/>
      <c r="N187" s="8"/>
      <c r="O187" s="10"/>
      <c r="P187" s="10"/>
      <c r="Q187" s="11"/>
      <c r="R187" s="38" t="s">
        <v>33</v>
      </c>
      <c r="S187" s="8"/>
      <c r="T187" s="8"/>
      <c r="U187" s="8"/>
      <c r="V187" s="8">
        <v>159</v>
      </c>
      <c r="W187" s="8">
        <f t="shared" si="16"/>
        <v>159</v>
      </c>
      <c r="X187" s="8"/>
      <c r="Y187" s="8" t="e">
        <f>ROUNDDOWN(W187/HLOOKUP(D187,#REF!,2,0)*8,2)</f>
        <v>#REF!</v>
      </c>
      <c r="Z187" s="8"/>
      <c r="AA187" s="8"/>
      <c r="AB187" s="12"/>
      <c r="AC187" s="12">
        <v>43951</v>
      </c>
      <c r="AD187" s="12"/>
      <c r="AE187" s="12"/>
      <c r="AF187" s="14"/>
      <c r="AG187" s="17"/>
      <c r="AH187" s="17"/>
      <c r="AI187" s="17"/>
      <c r="AJ187" s="14"/>
      <c r="AK187" s="8"/>
      <c r="AL187" s="8"/>
      <c r="AM187" s="8"/>
    </row>
    <row r="188" spans="2:39" x14ac:dyDescent="0.25">
      <c r="B188" s="44">
        <v>141</v>
      </c>
      <c r="C188" s="9" t="s">
        <v>83</v>
      </c>
      <c r="D188" s="8" t="s">
        <v>2</v>
      </c>
      <c r="E188" s="8"/>
      <c r="F188" s="10"/>
      <c r="G188" s="10">
        <v>1416606</v>
      </c>
      <c r="H188" s="38" t="s">
        <v>33</v>
      </c>
      <c r="I188" s="8"/>
      <c r="J188" s="38" t="s">
        <v>33</v>
      </c>
      <c r="K188" s="8"/>
      <c r="L188" s="8"/>
      <c r="M188" s="8"/>
      <c r="N188" s="8"/>
      <c r="O188" s="10"/>
      <c r="P188" s="10"/>
      <c r="Q188" s="11"/>
      <c r="R188" s="38" t="s">
        <v>33</v>
      </c>
      <c r="S188" s="8"/>
      <c r="T188" s="8"/>
      <c r="U188" s="8"/>
      <c r="V188" s="8">
        <v>199</v>
      </c>
      <c r="W188" s="8">
        <f t="shared" si="16"/>
        <v>199</v>
      </c>
      <c r="X188" s="8"/>
      <c r="Y188" s="8" t="e">
        <f>ROUNDDOWN(W188/HLOOKUP(D188,#REF!,2,0)*8,2)</f>
        <v>#REF!</v>
      </c>
      <c r="Z188" s="8"/>
      <c r="AA188" s="8"/>
      <c r="AB188" s="12"/>
      <c r="AC188" s="12">
        <v>43951</v>
      </c>
      <c r="AD188" s="12"/>
      <c r="AE188" s="12"/>
      <c r="AF188" s="14"/>
      <c r="AG188" s="17"/>
      <c r="AH188" s="17"/>
      <c r="AI188" s="17"/>
      <c r="AJ188" s="14"/>
      <c r="AK188" s="8"/>
      <c r="AL188" s="8"/>
      <c r="AM188" s="8"/>
    </row>
    <row r="189" spans="2:39" x14ac:dyDescent="0.25">
      <c r="B189" s="44">
        <v>142</v>
      </c>
      <c r="C189" s="9" t="s">
        <v>83</v>
      </c>
      <c r="D189" s="8" t="s">
        <v>2</v>
      </c>
      <c r="E189" s="8"/>
      <c r="F189" s="10"/>
      <c r="G189" s="10">
        <v>1416606</v>
      </c>
      <c r="H189" s="38" t="s">
        <v>33</v>
      </c>
      <c r="I189" s="8"/>
      <c r="J189" s="38" t="s">
        <v>33</v>
      </c>
      <c r="K189" s="8"/>
      <c r="L189" s="8"/>
      <c r="M189" s="8"/>
      <c r="N189" s="8"/>
      <c r="O189" s="10"/>
      <c r="P189" s="10"/>
      <c r="Q189" s="11"/>
      <c r="R189" s="38" t="s">
        <v>33</v>
      </c>
      <c r="S189" s="8"/>
      <c r="T189" s="8"/>
      <c r="U189" s="8"/>
      <c r="V189" s="8">
        <v>6</v>
      </c>
      <c r="W189" s="8">
        <f t="shared" si="16"/>
        <v>6</v>
      </c>
      <c r="X189" s="8"/>
      <c r="Y189" s="8" t="e">
        <f>ROUNDDOWN(W189/HLOOKUP(D189,#REF!,2,0)*8,2)</f>
        <v>#REF!</v>
      </c>
      <c r="Z189" s="8"/>
      <c r="AA189" s="8"/>
      <c r="AB189" s="12"/>
      <c r="AC189" s="12">
        <v>43951</v>
      </c>
      <c r="AD189" s="12"/>
      <c r="AE189" s="12"/>
      <c r="AF189" s="14"/>
      <c r="AG189" s="17"/>
      <c r="AH189" s="17"/>
      <c r="AI189" s="17"/>
      <c r="AJ189" s="14"/>
      <c r="AK189" s="8"/>
      <c r="AL189" s="8"/>
      <c r="AM189" s="8"/>
    </row>
    <row r="190" spans="2:39" x14ac:dyDescent="0.25">
      <c r="B190" s="44">
        <v>143</v>
      </c>
      <c r="C190" s="9" t="s">
        <v>83</v>
      </c>
      <c r="D190" s="8" t="s">
        <v>2</v>
      </c>
      <c r="E190" s="8"/>
      <c r="F190" s="10"/>
      <c r="G190" s="10">
        <v>1372148</v>
      </c>
      <c r="H190" s="38" t="s">
        <v>33</v>
      </c>
      <c r="I190" s="8"/>
      <c r="J190" s="38" t="s">
        <v>33</v>
      </c>
      <c r="K190" s="8"/>
      <c r="L190" s="8"/>
      <c r="M190" s="8"/>
      <c r="N190" s="8"/>
      <c r="O190" s="10"/>
      <c r="P190" s="10"/>
      <c r="Q190" s="11"/>
      <c r="R190" s="38" t="s">
        <v>33</v>
      </c>
      <c r="S190" s="8"/>
      <c r="T190" s="8"/>
      <c r="U190" s="8"/>
      <c r="V190" s="8">
        <v>90</v>
      </c>
      <c r="W190" s="8">
        <f t="shared" si="16"/>
        <v>90</v>
      </c>
      <c r="X190" s="8"/>
      <c r="Y190" s="8" t="e">
        <f>ROUNDDOWN(W190/HLOOKUP(D190,#REF!,2,0)*8,2)</f>
        <v>#REF!</v>
      </c>
      <c r="Z190" s="8"/>
      <c r="AA190" s="8"/>
      <c r="AB190" s="12"/>
      <c r="AC190" s="12">
        <v>43943</v>
      </c>
      <c r="AD190" s="12"/>
      <c r="AE190" s="12"/>
      <c r="AF190" s="14"/>
      <c r="AG190" s="17"/>
      <c r="AH190" s="17"/>
      <c r="AI190" s="17"/>
      <c r="AJ190" s="14"/>
      <c r="AK190" s="8"/>
      <c r="AL190" s="8"/>
      <c r="AM190" s="8"/>
    </row>
    <row r="191" spans="2:39" x14ac:dyDescent="0.25">
      <c r="B191" s="44">
        <v>144</v>
      </c>
      <c r="C191" s="9" t="s">
        <v>83</v>
      </c>
      <c r="D191" s="8" t="s">
        <v>2</v>
      </c>
      <c r="E191" s="8"/>
      <c r="F191" s="10"/>
      <c r="G191" s="10">
        <v>1372148</v>
      </c>
      <c r="H191" s="38" t="s">
        <v>33</v>
      </c>
      <c r="I191" s="8"/>
      <c r="J191" s="38" t="s">
        <v>33</v>
      </c>
      <c r="K191" s="8"/>
      <c r="L191" s="8"/>
      <c r="M191" s="8"/>
      <c r="N191" s="8"/>
      <c r="O191" s="10"/>
      <c r="P191" s="10"/>
      <c r="Q191" s="11"/>
      <c r="R191" s="38" t="s">
        <v>33</v>
      </c>
      <c r="S191" s="8"/>
      <c r="T191" s="8"/>
      <c r="U191" s="8"/>
      <c r="V191" s="8">
        <v>212</v>
      </c>
      <c r="W191" s="8">
        <f t="shared" si="16"/>
        <v>212</v>
      </c>
      <c r="X191" s="8"/>
      <c r="Y191" s="8" t="e">
        <f>ROUNDDOWN(W191/HLOOKUP(D191,#REF!,2,0)*8,2)</f>
        <v>#REF!</v>
      </c>
      <c r="Z191" s="8"/>
      <c r="AA191" s="8"/>
      <c r="AB191" s="12"/>
      <c r="AC191" s="12">
        <v>43943</v>
      </c>
      <c r="AD191" s="12"/>
      <c r="AE191" s="12"/>
      <c r="AF191" s="14"/>
      <c r="AG191" s="17"/>
      <c r="AH191" s="17"/>
      <c r="AI191" s="17"/>
      <c r="AJ191" s="14"/>
      <c r="AK191" s="8"/>
      <c r="AL191" s="8"/>
      <c r="AM191" s="8"/>
    </row>
    <row r="192" spans="2:39" x14ac:dyDescent="0.25">
      <c r="B192" s="44">
        <v>145</v>
      </c>
      <c r="C192" s="9" t="s">
        <v>83</v>
      </c>
      <c r="D192" s="8" t="s">
        <v>2</v>
      </c>
      <c r="E192" s="8"/>
      <c r="F192" s="10"/>
      <c r="G192" s="10">
        <v>1372148</v>
      </c>
      <c r="H192" s="38" t="s">
        <v>33</v>
      </c>
      <c r="I192" s="8"/>
      <c r="J192" s="38" t="s">
        <v>33</v>
      </c>
      <c r="K192" s="8"/>
      <c r="L192" s="8"/>
      <c r="M192" s="8"/>
      <c r="N192" s="8"/>
      <c r="O192" s="10"/>
      <c r="P192" s="10"/>
      <c r="Q192" s="11"/>
      <c r="R192" s="38" t="s">
        <v>33</v>
      </c>
      <c r="S192" s="8"/>
      <c r="T192" s="8"/>
      <c r="U192" s="8"/>
      <c r="V192" s="8">
        <v>361</v>
      </c>
      <c r="W192" s="8">
        <f t="shared" si="16"/>
        <v>361</v>
      </c>
      <c r="X192" s="8"/>
      <c r="Y192" s="8" t="e">
        <f>ROUNDDOWN(W192/HLOOKUP(D192,#REF!,2,0)*8,2)</f>
        <v>#REF!</v>
      </c>
      <c r="Z192" s="8"/>
      <c r="AA192" s="8"/>
      <c r="AB192" s="12"/>
      <c r="AC192" s="12">
        <v>43943</v>
      </c>
      <c r="AD192" s="12"/>
      <c r="AE192" s="12"/>
      <c r="AF192" s="14"/>
      <c r="AG192" s="17"/>
      <c r="AH192" s="17"/>
      <c r="AI192" s="17"/>
      <c r="AJ192" s="14"/>
      <c r="AK192" s="8"/>
      <c r="AL192" s="8"/>
      <c r="AM192" s="8"/>
    </row>
    <row r="193" spans="2:39" x14ac:dyDescent="0.25">
      <c r="B193" s="44">
        <v>146</v>
      </c>
      <c r="C193" s="9" t="s">
        <v>83</v>
      </c>
      <c r="D193" s="8" t="s">
        <v>2</v>
      </c>
      <c r="E193" s="8"/>
      <c r="F193" s="10"/>
      <c r="G193" s="10">
        <v>1372148</v>
      </c>
      <c r="H193" s="38" t="s">
        <v>33</v>
      </c>
      <c r="I193" s="8"/>
      <c r="J193" s="38" t="s">
        <v>33</v>
      </c>
      <c r="K193" s="8"/>
      <c r="L193" s="8"/>
      <c r="M193" s="8"/>
      <c r="N193" s="8"/>
      <c r="O193" s="10"/>
      <c r="P193" s="10"/>
      <c r="Q193" s="11"/>
      <c r="R193" s="38" t="s">
        <v>33</v>
      </c>
      <c r="S193" s="8"/>
      <c r="T193" s="8"/>
      <c r="U193" s="8"/>
      <c r="V193" s="8">
        <v>437</v>
      </c>
      <c r="W193" s="8">
        <f t="shared" si="16"/>
        <v>437</v>
      </c>
      <c r="X193" s="8"/>
      <c r="Y193" s="8" t="e">
        <f>ROUNDDOWN(W193/HLOOKUP(D193,#REF!,2,0)*8,2)</f>
        <v>#REF!</v>
      </c>
      <c r="Z193" s="8"/>
      <c r="AA193" s="8"/>
      <c r="AB193" s="12"/>
      <c r="AC193" s="12">
        <v>43943</v>
      </c>
      <c r="AD193" s="12"/>
      <c r="AE193" s="12"/>
      <c r="AF193" s="14"/>
      <c r="AG193" s="17"/>
      <c r="AH193" s="17"/>
      <c r="AI193" s="17"/>
      <c r="AJ193" s="14"/>
      <c r="AK193" s="8"/>
      <c r="AL193" s="8"/>
      <c r="AM193" s="8"/>
    </row>
    <row r="194" spans="2:39" x14ac:dyDescent="0.25">
      <c r="B194" s="44">
        <v>147</v>
      </c>
      <c r="C194" s="9" t="s">
        <v>83</v>
      </c>
      <c r="D194" s="8" t="s">
        <v>2</v>
      </c>
      <c r="E194" s="8"/>
      <c r="F194" s="10"/>
      <c r="G194" s="10">
        <v>1372148</v>
      </c>
      <c r="H194" s="38" t="s">
        <v>33</v>
      </c>
      <c r="I194" s="8"/>
      <c r="J194" s="38" t="s">
        <v>33</v>
      </c>
      <c r="K194" s="8"/>
      <c r="L194" s="8"/>
      <c r="M194" s="8"/>
      <c r="N194" s="8"/>
      <c r="O194" s="10"/>
      <c r="P194" s="10"/>
      <c r="Q194" s="11"/>
      <c r="R194" s="38" t="s">
        <v>33</v>
      </c>
      <c r="S194" s="8"/>
      <c r="T194" s="8"/>
      <c r="U194" s="8"/>
      <c r="V194" s="8">
        <v>32</v>
      </c>
      <c r="W194" s="8">
        <f t="shared" si="16"/>
        <v>32</v>
      </c>
      <c r="X194" s="8"/>
      <c r="Y194" s="8" t="e">
        <f>ROUNDDOWN(W194/HLOOKUP(D194,#REF!,2,0)*8,2)</f>
        <v>#REF!</v>
      </c>
      <c r="Z194" s="8"/>
      <c r="AA194" s="8"/>
      <c r="AB194" s="12"/>
      <c r="AC194" s="12">
        <v>43943</v>
      </c>
      <c r="AD194" s="12"/>
      <c r="AE194" s="12"/>
      <c r="AF194" s="14"/>
      <c r="AG194" s="17"/>
      <c r="AH194" s="17"/>
      <c r="AI194" s="17"/>
      <c r="AJ194" s="14"/>
      <c r="AK194" s="8"/>
      <c r="AL194" s="8"/>
      <c r="AM194" s="8"/>
    </row>
    <row r="195" spans="2:39" x14ac:dyDescent="0.25">
      <c r="B195" s="44">
        <v>148</v>
      </c>
      <c r="C195" s="9" t="s">
        <v>83</v>
      </c>
      <c r="D195" s="8" t="s">
        <v>2</v>
      </c>
      <c r="E195" s="8"/>
      <c r="F195" s="10"/>
      <c r="G195" s="10">
        <v>1372148</v>
      </c>
      <c r="H195" s="38" t="s">
        <v>33</v>
      </c>
      <c r="I195" s="8"/>
      <c r="J195" s="38" t="s">
        <v>33</v>
      </c>
      <c r="K195" s="8"/>
      <c r="L195" s="8"/>
      <c r="M195" s="8"/>
      <c r="N195" s="8"/>
      <c r="O195" s="10"/>
      <c r="P195" s="10"/>
      <c r="Q195" s="11"/>
      <c r="R195" s="38" t="s">
        <v>33</v>
      </c>
      <c r="S195" s="8"/>
      <c r="T195" s="8"/>
      <c r="U195" s="8"/>
      <c r="V195" s="8">
        <v>997</v>
      </c>
      <c r="W195" s="8">
        <f t="shared" si="16"/>
        <v>997</v>
      </c>
      <c r="X195" s="8"/>
      <c r="Y195" s="8" t="e">
        <f>ROUNDDOWN(W195/HLOOKUP(D195,#REF!,2,0)*8,2)</f>
        <v>#REF!</v>
      </c>
      <c r="Z195" s="8"/>
      <c r="AA195" s="8"/>
      <c r="AB195" s="12"/>
      <c r="AC195" s="12">
        <v>43943</v>
      </c>
      <c r="AD195" s="12"/>
      <c r="AE195" s="12"/>
      <c r="AF195" s="14"/>
      <c r="AG195" s="17"/>
      <c r="AH195" s="17"/>
      <c r="AI195" s="17"/>
      <c r="AJ195" s="14"/>
      <c r="AK195" s="8"/>
      <c r="AL195" s="8"/>
      <c r="AM195" s="8"/>
    </row>
    <row r="196" spans="2:39" x14ac:dyDescent="0.25">
      <c r="B196" s="44">
        <v>149</v>
      </c>
      <c r="C196" s="9" t="s">
        <v>83</v>
      </c>
      <c r="D196" s="8" t="s">
        <v>2</v>
      </c>
      <c r="E196" s="8"/>
      <c r="F196" s="10"/>
      <c r="G196" s="10">
        <v>1372148</v>
      </c>
      <c r="H196" s="38" t="s">
        <v>33</v>
      </c>
      <c r="I196" s="8"/>
      <c r="J196" s="38" t="s">
        <v>33</v>
      </c>
      <c r="K196" s="8"/>
      <c r="L196" s="8"/>
      <c r="M196" s="8"/>
      <c r="N196" s="8"/>
      <c r="O196" s="10"/>
      <c r="P196" s="10"/>
      <c r="Q196" s="11"/>
      <c r="R196" s="38" t="s">
        <v>33</v>
      </c>
      <c r="S196" s="8"/>
      <c r="T196" s="8"/>
      <c r="U196" s="8"/>
      <c r="V196" s="8">
        <v>99</v>
      </c>
      <c r="W196" s="8">
        <f t="shared" si="16"/>
        <v>99</v>
      </c>
      <c r="X196" s="8"/>
      <c r="Y196" s="8" t="e">
        <f>ROUNDDOWN(W196/HLOOKUP(D196,#REF!,2,0)*8,2)</f>
        <v>#REF!</v>
      </c>
      <c r="Z196" s="8"/>
      <c r="AA196" s="8"/>
      <c r="AB196" s="12"/>
      <c r="AC196" s="12">
        <v>43943</v>
      </c>
      <c r="AD196" s="12"/>
      <c r="AE196" s="12"/>
      <c r="AF196" s="14"/>
      <c r="AG196" s="17"/>
      <c r="AH196" s="17"/>
      <c r="AI196" s="17"/>
      <c r="AJ196" s="14"/>
      <c r="AK196" s="8"/>
      <c r="AL196" s="8"/>
      <c r="AM196" s="8"/>
    </row>
    <row r="197" spans="2:39" x14ac:dyDescent="0.25">
      <c r="B197" s="44">
        <v>150</v>
      </c>
      <c r="C197" s="9" t="s">
        <v>83</v>
      </c>
      <c r="D197" s="8" t="s">
        <v>2</v>
      </c>
      <c r="E197" s="8"/>
      <c r="F197" s="10"/>
      <c r="G197" s="10">
        <v>1416483</v>
      </c>
      <c r="H197" s="38" t="s">
        <v>33</v>
      </c>
      <c r="I197" s="8"/>
      <c r="J197" s="38" t="s">
        <v>33</v>
      </c>
      <c r="K197" s="8"/>
      <c r="L197" s="8"/>
      <c r="M197" s="8"/>
      <c r="N197" s="8"/>
      <c r="O197" s="10"/>
      <c r="P197" s="10"/>
      <c r="Q197" s="11"/>
      <c r="R197" s="38" t="s">
        <v>33</v>
      </c>
      <c r="S197" s="8"/>
      <c r="T197" s="8"/>
      <c r="U197" s="8"/>
      <c r="V197" s="8">
        <v>368</v>
      </c>
      <c r="W197" s="8">
        <f t="shared" si="16"/>
        <v>368</v>
      </c>
      <c r="X197" s="8"/>
      <c r="Y197" s="8" t="e">
        <f>ROUNDDOWN(W197/HLOOKUP(D197,#REF!,2,0)*8,2)</f>
        <v>#REF!</v>
      </c>
      <c r="Z197" s="8"/>
      <c r="AA197" s="8"/>
      <c r="AB197" s="12"/>
      <c r="AC197" s="12">
        <v>43943</v>
      </c>
      <c r="AD197" s="12"/>
      <c r="AE197" s="12"/>
      <c r="AF197" s="14"/>
      <c r="AG197" s="17"/>
      <c r="AH197" s="17"/>
      <c r="AI197" s="17"/>
      <c r="AJ197" s="14"/>
      <c r="AK197" s="8"/>
      <c r="AL197" s="8"/>
      <c r="AM197" s="8"/>
    </row>
    <row r="198" spans="2:39" x14ac:dyDescent="0.25">
      <c r="B198" s="44">
        <v>151</v>
      </c>
      <c r="C198" s="9" t="s">
        <v>83</v>
      </c>
      <c r="D198" s="8" t="s">
        <v>2</v>
      </c>
      <c r="E198" s="8"/>
      <c r="F198" s="10"/>
      <c r="G198" s="10">
        <v>1416483</v>
      </c>
      <c r="H198" s="38" t="s">
        <v>33</v>
      </c>
      <c r="I198" s="8"/>
      <c r="J198" s="38" t="s">
        <v>33</v>
      </c>
      <c r="K198" s="8"/>
      <c r="L198" s="8"/>
      <c r="M198" s="8"/>
      <c r="N198" s="8"/>
      <c r="O198" s="10"/>
      <c r="P198" s="10"/>
      <c r="Q198" s="11"/>
      <c r="R198" s="38" t="s">
        <v>33</v>
      </c>
      <c r="S198" s="8"/>
      <c r="T198" s="8"/>
      <c r="U198" s="8"/>
      <c r="V198" s="8">
        <v>332</v>
      </c>
      <c r="W198" s="8">
        <f t="shared" si="16"/>
        <v>332</v>
      </c>
      <c r="X198" s="8"/>
      <c r="Y198" s="8" t="e">
        <f>ROUNDDOWN(W198/HLOOKUP(D198,#REF!,2,0)*8,2)</f>
        <v>#REF!</v>
      </c>
      <c r="Z198" s="8"/>
      <c r="AA198" s="8"/>
      <c r="AB198" s="12"/>
      <c r="AC198" s="12">
        <v>43943</v>
      </c>
      <c r="AD198" s="12"/>
      <c r="AE198" s="12"/>
      <c r="AF198" s="14"/>
      <c r="AG198" s="17"/>
      <c r="AH198" s="17"/>
      <c r="AI198" s="17"/>
      <c r="AJ198" s="14"/>
      <c r="AK198" s="8"/>
      <c r="AL198" s="8"/>
      <c r="AM198" s="8"/>
    </row>
    <row r="199" spans="2:39" x14ac:dyDescent="0.25">
      <c r="B199" s="44">
        <v>152</v>
      </c>
      <c r="C199" s="9" t="s">
        <v>83</v>
      </c>
      <c r="D199" s="8" t="s">
        <v>2</v>
      </c>
      <c r="E199" s="8"/>
      <c r="F199" s="10"/>
      <c r="G199" s="10">
        <v>1416214</v>
      </c>
      <c r="H199" s="38" t="s">
        <v>33</v>
      </c>
      <c r="I199" s="8"/>
      <c r="J199" s="38" t="s">
        <v>33</v>
      </c>
      <c r="K199" s="8"/>
      <c r="L199" s="8"/>
      <c r="M199" s="8"/>
      <c r="N199" s="8"/>
      <c r="O199" s="10"/>
      <c r="P199" s="10"/>
      <c r="Q199" s="11"/>
      <c r="R199" s="38" t="s">
        <v>33</v>
      </c>
      <c r="S199" s="8"/>
      <c r="T199" s="8"/>
      <c r="U199" s="8"/>
      <c r="V199" s="8">
        <v>125</v>
      </c>
      <c r="W199" s="8">
        <f t="shared" si="16"/>
        <v>125</v>
      </c>
      <c r="X199" s="8"/>
      <c r="Y199" s="8" t="e">
        <f>ROUNDDOWN(W199/HLOOKUP(D199,#REF!,2,0)*8,2)</f>
        <v>#REF!</v>
      </c>
      <c r="Z199" s="8"/>
      <c r="AA199" s="8"/>
      <c r="AB199" s="12"/>
      <c r="AC199" s="12">
        <v>43943</v>
      </c>
      <c r="AD199" s="12"/>
      <c r="AE199" s="12"/>
      <c r="AF199" s="14"/>
      <c r="AG199" s="17"/>
      <c r="AH199" s="17"/>
      <c r="AI199" s="17"/>
      <c r="AJ199" s="14"/>
      <c r="AK199" s="8"/>
      <c r="AL199" s="8"/>
      <c r="AM199" s="8"/>
    </row>
    <row r="200" spans="2:39" x14ac:dyDescent="0.25">
      <c r="B200" s="44">
        <v>153</v>
      </c>
      <c r="C200" s="9" t="s">
        <v>83</v>
      </c>
      <c r="D200" s="8" t="s">
        <v>2</v>
      </c>
      <c r="E200" s="8"/>
      <c r="F200" s="10"/>
      <c r="G200" s="10">
        <v>1416214</v>
      </c>
      <c r="H200" s="38" t="s">
        <v>33</v>
      </c>
      <c r="I200" s="8"/>
      <c r="J200" s="38" t="s">
        <v>33</v>
      </c>
      <c r="K200" s="8"/>
      <c r="L200" s="8"/>
      <c r="M200" s="8"/>
      <c r="N200" s="8"/>
      <c r="O200" s="10"/>
      <c r="P200" s="10"/>
      <c r="Q200" s="11"/>
      <c r="R200" s="38" t="s">
        <v>33</v>
      </c>
      <c r="S200" s="8"/>
      <c r="T200" s="8"/>
      <c r="U200" s="8"/>
      <c r="V200" s="8">
        <v>129</v>
      </c>
      <c r="W200" s="8">
        <f t="shared" si="16"/>
        <v>129</v>
      </c>
      <c r="X200" s="8"/>
      <c r="Y200" s="8" t="e">
        <f>ROUNDDOWN(W200/HLOOKUP(D200,#REF!,2,0)*8,2)</f>
        <v>#REF!</v>
      </c>
      <c r="Z200" s="8"/>
      <c r="AA200" s="8"/>
      <c r="AB200" s="12"/>
      <c r="AC200" s="12">
        <v>43943</v>
      </c>
      <c r="AD200" s="12"/>
      <c r="AE200" s="12"/>
      <c r="AF200" s="14"/>
      <c r="AG200" s="17"/>
      <c r="AH200" s="17"/>
      <c r="AI200" s="17"/>
      <c r="AJ200" s="14"/>
      <c r="AK200" s="8"/>
      <c r="AL200" s="8"/>
      <c r="AM200" s="8"/>
    </row>
    <row r="201" spans="2:39" x14ac:dyDescent="0.25">
      <c r="B201" s="44">
        <v>154</v>
      </c>
      <c r="C201" s="9" t="s">
        <v>83</v>
      </c>
      <c r="D201" s="8" t="s">
        <v>2</v>
      </c>
      <c r="E201" s="8"/>
      <c r="F201" s="10"/>
      <c r="G201" s="10">
        <v>1409385</v>
      </c>
      <c r="H201" s="38" t="s">
        <v>33</v>
      </c>
      <c r="I201" s="8"/>
      <c r="J201" s="38" t="s">
        <v>33</v>
      </c>
      <c r="K201" s="8"/>
      <c r="L201" s="8"/>
      <c r="M201" s="8"/>
      <c r="N201" s="8"/>
      <c r="O201" s="10"/>
      <c r="P201" s="10"/>
      <c r="Q201" s="11"/>
      <c r="R201" s="38" t="s">
        <v>33</v>
      </c>
      <c r="S201" s="8"/>
      <c r="T201" s="8"/>
      <c r="U201" s="8"/>
      <c r="V201" s="8">
        <v>229</v>
      </c>
      <c r="W201" s="8">
        <f t="shared" si="16"/>
        <v>229</v>
      </c>
      <c r="X201" s="8"/>
      <c r="Y201" s="8" t="e">
        <f>ROUNDDOWN(W201/HLOOKUP(D201,#REF!,2,0)*8,2)</f>
        <v>#REF!</v>
      </c>
      <c r="Z201" s="8"/>
      <c r="AA201" s="8"/>
      <c r="AB201" s="12"/>
      <c r="AC201" s="12">
        <v>43943</v>
      </c>
      <c r="AD201" s="12"/>
      <c r="AE201" s="12"/>
      <c r="AF201" s="14"/>
      <c r="AG201" s="17"/>
      <c r="AH201" s="17"/>
      <c r="AI201" s="17"/>
      <c r="AJ201" s="14"/>
      <c r="AK201" s="8"/>
      <c r="AL201" s="8"/>
      <c r="AM201" s="8"/>
    </row>
    <row r="202" spans="2:39" x14ac:dyDescent="0.25">
      <c r="B202" s="44">
        <v>155</v>
      </c>
      <c r="C202" s="9" t="s">
        <v>83</v>
      </c>
      <c r="D202" s="8" t="s">
        <v>2</v>
      </c>
      <c r="E202" s="8"/>
      <c r="F202" s="10"/>
      <c r="G202" s="10">
        <v>1409385</v>
      </c>
      <c r="H202" s="38" t="s">
        <v>33</v>
      </c>
      <c r="I202" s="8"/>
      <c r="J202" s="38" t="s">
        <v>33</v>
      </c>
      <c r="K202" s="8"/>
      <c r="L202" s="8"/>
      <c r="M202" s="8"/>
      <c r="N202" s="8"/>
      <c r="O202" s="10"/>
      <c r="P202" s="10"/>
      <c r="Q202" s="11"/>
      <c r="R202" s="38" t="s">
        <v>33</v>
      </c>
      <c r="S202" s="8"/>
      <c r="T202" s="8"/>
      <c r="U202" s="8"/>
      <c r="V202" s="8">
        <v>37</v>
      </c>
      <c r="W202" s="8">
        <f t="shared" si="16"/>
        <v>37</v>
      </c>
      <c r="X202" s="8"/>
      <c r="Y202" s="8" t="e">
        <f>ROUNDDOWN(W202/HLOOKUP(D202,#REF!,2,0)*8,2)</f>
        <v>#REF!</v>
      </c>
      <c r="Z202" s="8"/>
      <c r="AA202" s="8"/>
      <c r="AB202" s="12"/>
      <c r="AC202" s="12">
        <v>43943</v>
      </c>
      <c r="AD202" s="12"/>
      <c r="AE202" s="12"/>
      <c r="AF202" s="14"/>
      <c r="AG202" s="17"/>
      <c r="AH202" s="17"/>
      <c r="AI202" s="17"/>
      <c r="AJ202" s="14"/>
      <c r="AK202" s="8"/>
      <c r="AL202" s="8"/>
      <c r="AM202" s="8"/>
    </row>
    <row r="203" spans="2:39" x14ac:dyDescent="0.25">
      <c r="B203" s="44">
        <v>156</v>
      </c>
      <c r="C203" s="9" t="s">
        <v>83</v>
      </c>
      <c r="D203" s="8" t="s">
        <v>2</v>
      </c>
      <c r="E203" s="8"/>
      <c r="F203" s="10"/>
      <c r="G203" s="10">
        <v>1409385</v>
      </c>
      <c r="H203" s="38" t="s">
        <v>33</v>
      </c>
      <c r="I203" s="8"/>
      <c r="J203" s="38" t="s">
        <v>33</v>
      </c>
      <c r="K203" s="8"/>
      <c r="L203" s="8"/>
      <c r="M203" s="8"/>
      <c r="N203" s="8"/>
      <c r="O203" s="10"/>
      <c r="P203" s="10"/>
      <c r="Q203" s="11"/>
      <c r="R203" s="38" t="s">
        <v>33</v>
      </c>
      <c r="S203" s="8"/>
      <c r="T203" s="8"/>
      <c r="U203" s="8"/>
      <c r="V203" s="8">
        <v>488</v>
      </c>
      <c r="W203" s="8">
        <f t="shared" si="16"/>
        <v>488</v>
      </c>
      <c r="X203" s="8"/>
      <c r="Y203" s="8" t="e">
        <f>ROUNDDOWN(W203/HLOOKUP(D203,#REF!,2,0)*8,2)</f>
        <v>#REF!</v>
      </c>
      <c r="Z203" s="8"/>
      <c r="AA203" s="8"/>
      <c r="AB203" s="12"/>
      <c r="AC203" s="12">
        <v>43943</v>
      </c>
      <c r="AD203" s="12"/>
      <c r="AE203" s="12"/>
      <c r="AF203" s="14"/>
      <c r="AG203" s="17"/>
      <c r="AH203" s="17"/>
      <c r="AI203" s="17"/>
      <c r="AJ203" s="14"/>
      <c r="AK203" s="8"/>
      <c r="AL203" s="8"/>
      <c r="AM203" s="8"/>
    </row>
    <row r="204" spans="2:39" x14ac:dyDescent="0.25">
      <c r="B204" s="44">
        <v>157</v>
      </c>
      <c r="C204" s="9" t="s">
        <v>83</v>
      </c>
      <c r="D204" s="8" t="s">
        <v>2</v>
      </c>
      <c r="E204" s="8"/>
      <c r="F204" s="10"/>
      <c r="G204" s="10">
        <v>1418684</v>
      </c>
      <c r="H204" s="38" t="s">
        <v>33</v>
      </c>
      <c r="I204" s="8"/>
      <c r="J204" s="38" t="s">
        <v>33</v>
      </c>
      <c r="K204" s="8"/>
      <c r="L204" s="8"/>
      <c r="M204" s="8"/>
      <c r="N204" s="8"/>
      <c r="O204" s="10"/>
      <c r="P204" s="10"/>
      <c r="Q204" s="11"/>
      <c r="R204" s="38" t="s">
        <v>33</v>
      </c>
      <c r="S204" s="8"/>
      <c r="T204" s="8"/>
      <c r="U204" s="8"/>
      <c r="V204" s="8">
        <v>55</v>
      </c>
      <c r="W204" s="8">
        <f t="shared" si="16"/>
        <v>55</v>
      </c>
      <c r="X204" s="8"/>
      <c r="Y204" s="8" t="e">
        <f>ROUNDDOWN(W204/HLOOKUP(D204,#REF!,2,0)*8,2)</f>
        <v>#REF!</v>
      </c>
      <c r="Z204" s="8"/>
      <c r="AA204" s="8"/>
      <c r="AB204" s="12"/>
      <c r="AC204" s="12">
        <v>43943</v>
      </c>
      <c r="AD204" s="12"/>
      <c r="AE204" s="12"/>
      <c r="AF204" s="14"/>
      <c r="AG204" s="17"/>
      <c r="AH204" s="17"/>
      <c r="AI204" s="17"/>
      <c r="AJ204" s="14"/>
      <c r="AK204" s="8"/>
      <c r="AL204" s="8"/>
      <c r="AM204" s="8"/>
    </row>
    <row r="205" spans="2:39" x14ac:dyDescent="0.25">
      <c r="B205" s="44">
        <v>158</v>
      </c>
      <c r="C205" s="9" t="s">
        <v>83</v>
      </c>
      <c r="D205" s="8" t="s">
        <v>2</v>
      </c>
      <c r="E205" s="8"/>
      <c r="F205" s="10"/>
      <c r="G205" s="10">
        <v>1418684</v>
      </c>
      <c r="H205" s="38" t="s">
        <v>33</v>
      </c>
      <c r="I205" s="8"/>
      <c r="J205" s="38" t="s">
        <v>33</v>
      </c>
      <c r="K205" s="8"/>
      <c r="L205" s="8"/>
      <c r="M205" s="8"/>
      <c r="N205" s="8"/>
      <c r="O205" s="10"/>
      <c r="P205" s="10"/>
      <c r="Q205" s="11"/>
      <c r="R205" s="38" t="s">
        <v>33</v>
      </c>
      <c r="S205" s="8"/>
      <c r="T205" s="8"/>
      <c r="U205" s="8"/>
      <c r="V205" s="8">
        <v>55</v>
      </c>
      <c r="W205" s="8">
        <f t="shared" si="16"/>
        <v>55</v>
      </c>
      <c r="X205" s="8"/>
      <c r="Y205" s="8" t="e">
        <f>ROUNDDOWN(W205/HLOOKUP(D205,#REF!,2,0)*8,2)</f>
        <v>#REF!</v>
      </c>
      <c r="Z205" s="8"/>
      <c r="AA205" s="8"/>
      <c r="AB205" s="12"/>
      <c r="AC205" s="12">
        <v>43943</v>
      </c>
      <c r="AD205" s="12"/>
      <c r="AE205" s="12"/>
      <c r="AF205" s="14"/>
      <c r="AG205" s="17"/>
      <c r="AH205" s="17"/>
      <c r="AI205" s="17"/>
      <c r="AJ205" s="14"/>
      <c r="AK205" s="8"/>
      <c r="AL205" s="8"/>
      <c r="AM205" s="8"/>
    </row>
    <row r="206" spans="2:39" x14ac:dyDescent="0.25">
      <c r="B206" s="44">
        <v>159</v>
      </c>
      <c r="C206" s="9" t="s">
        <v>83</v>
      </c>
      <c r="D206" s="8" t="s">
        <v>2</v>
      </c>
      <c r="E206" s="8"/>
      <c r="F206" s="10"/>
      <c r="G206" s="10">
        <v>1418684</v>
      </c>
      <c r="H206" s="38" t="s">
        <v>33</v>
      </c>
      <c r="I206" s="8"/>
      <c r="J206" s="38" t="s">
        <v>33</v>
      </c>
      <c r="K206" s="8"/>
      <c r="L206" s="8"/>
      <c r="M206" s="8"/>
      <c r="N206" s="8"/>
      <c r="O206" s="10"/>
      <c r="P206" s="10"/>
      <c r="Q206" s="11"/>
      <c r="R206" s="38" t="s">
        <v>33</v>
      </c>
      <c r="S206" s="8"/>
      <c r="T206" s="8"/>
      <c r="U206" s="8"/>
      <c r="V206" s="8">
        <v>55</v>
      </c>
      <c r="W206" s="8">
        <f t="shared" si="16"/>
        <v>55</v>
      </c>
      <c r="X206" s="8"/>
      <c r="Y206" s="8" t="e">
        <f>ROUNDDOWN(W206/HLOOKUP(D206,#REF!,2,0)*8,2)</f>
        <v>#REF!</v>
      </c>
      <c r="Z206" s="8"/>
      <c r="AA206" s="8"/>
      <c r="AB206" s="12"/>
      <c r="AC206" s="12">
        <v>43943</v>
      </c>
      <c r="AD206" s="12"/>
      <c r="AE206" s="12"/>
      <c r="AF206" s="14"/>
      <c r="AG206" s="17"/>
      <c r="AH206" s="17"/>
      <c r="AI206" s="17"/>
      <c r="AJ206" s="14"/>
      <c r="AK206" s="8"/>
      <c r="AL206" s="8"/>
      <c r="AM206" s="8"/>
    </row>
    <row r="207" spans="2:39" x14ac:dyDescent="0.25">
      <c r="B207" s="44">
        <v>160</v>
      </c>
      <c r="C207" s="9" t="s">
        <v>83</v>
      </c>
      <c r="D207" s="8" t="s">
        <v>2</v>
      </c>
      <c r="E207" s="8"/>
      <c r="F207" s="10"/>
      <c r="G207" s="10">
        <v>1377406</v>
      </c>
      <c r="H207" s="38" t="s">
        <v>33</v>
      </c>
      <c r="I207" s="8"/>
      <c r="J207" s="38" t="s">
        <v>33</v>
      </c>
      <c r="K207" s="8"/>
      <c r="L207" s="8"/>
      <c r="M207" s="8"/>
      <c r="N207" s="8"/>
      <c r="O207" s="10"/>
      <c r="P207" s="10"/>
      <c r="Q207" s="11"/>
      <c r="R207" s="38" t="s">
        <v>33</v>
      </c>
      <c r="S207" s="8"/>
      <c r="T207" s="8"/>
      <c r="U207" s="8"/>
      <c r="V207" s="8">
        <v>19</v>
      </c>
      <c r="W207" s="8">
        <f t="shared" si="16"/>
        <v>19</v>
      </c>
      <c r="X207" s="8"/>
      <c r="Y207" s="8" t="e">
        <f>ROUNDDOWN(W207/HLOOKUP(D207,#REF!,2,0)*8,2)</f>
        <v>#REF!</v>
      </c>
      <c r="Z207" s="8"/>
      <c r="AA207" s="8"/>
      <c r="AB207" s="12"/>
      <c r="AC207" s="12">
        <v>43943</v>
      </c>
      <c r="AD207" s="12"/>
      <c r="AE207" s="12"/>
      <c r="AF207" s="14"/>
      <c r="AG207" s="17"/>
      <c r="AH207" s="17"/>
      <c r="AI207" s="17"/>
      <c r="AJ207" s="14"/>
      <c r="AK207" s="8"/>
      <c r="AL207" s="8"/>
      <c r="AM207" s="8"/>
    </row>
    <row r="208" spans="2:39" x14ac:dyDescent="0.25">
      <c r="B208" s="44">
        <v>161</v>
      </c>
      <c r="C208" s="9" t="s">
        <v>83</v>
      </c>
      <c r="D208" s="8" t="s">
        <v>2</v>
      </c>
      <c r="E208" s="8"/>
      <c r="F208" s="10"/>
      <c r="G208" s="10">
        <v>1377406</v>
      </c>
      <c r="H208" s="38" t="s">
        <v>33</v>
      </c>
      <c r="I208" s="8"/>
      <c r="J208" s="38" t="s">
        <v>33</v>
      </c>
      <c r="K208" s="8"/>
      <c r="L208" s="8"/>
      <c r="M208" s="8"/>
      <c r="N208" s="8"/>
      <c r="O208" s="10"/>
      <c r="P208" s="10"/>
      <c r="Q208" s="11"/>
      <c r="R208" s="38" t="s">
        <v>33</v>
      </c>
      <c r="S208" s="8"/>
      <c r="T208" s="8"/>
      <c r="U208" s="8"/>
      <c r="V208" s="8">
        <v>244</v>
      </c>
      <c r="W208" s="8">
        <f t="shared" si="16"/>
        <v>244</v>
      </c>
      <c r="X208" s="8"/>
      <c r="Y208" s="8" t="e">
        <f>ROUNDDOWN(W208/HLOOKUP(D208,#REF!,2,0)*8,2)</f>
        <v>#REF!</v>
      </c>
      <c r="Z208" s="8"/>
      <c r="AA208" s="8"/>
      <c r="AB208" s="12"/>
      <c r="AC208" s="12">
        <v>43943</v>
      </c>
      <c r="AD208" s="12"/>
      <c r="AE208" s="12"/>
      <c r="AF208" s="14"/>
      <c r="AG208" s="17"/>
      <c r="AH208" s="17"/>
      <c r="AI208" s="17"/>
      <c r="AJ208" s="14"/>
      <c r="AK208" s="8"/>
      <c r="AL208" s="8"/>
      <c r="AM208" s="8"/>
    </row>
    <row r="209" spans="2:39" x14ac:dyDescent="0.25">
      <c r="B209" s="44">
        <v>162</v>
      </c>
      <c r="C209" s="9" t="s">
        <v>83</v>
      </c>
      <c r="D209" s="8" t="s">
        <v>2</v>
      </c>
      <c r="E209" s="22"/>
      <c r="F209" s="10"/>
      <c r="G209" s="10">
        <v>1405296</v>
      </c>
      <c r="H209" s="38" t="s">
        <v>33</v>
      </c>
      <c r="I209" s="8"/>
      <c r="J209" s="38" t="s">
        <v>33</v>
      </c>
      <c r="K209" s="8"/>
      <c r="L209" s="8"/>
      <c r="M209" s="8"/>
      <c r="N209" s="8"/>
      <c r="O209" s="10"/>
      <c r="P209" s="10"/>
      <c r="Q209" s="11"/>
      <c r="R209" s="38" t="s">
        <v>33</v>
      </c>
      <c r="S209" s="8"/>
      <c r="T209" s="8"/>
      <c r="U209" s="8"/>
      <c r="V209" s="8">
        <v>803</v>
      </c>
      <c r="W209" s="8">
        <f t="shared" si="16"/>
        <v>803</v>
      </c>
      <c r="X209" s="8"/>
      <c r="Y209" s="8" t="e">
        <f>ROUNDDOWN(W209/HLOOKUP(D209,#REF!,2,0)*8,2)</f>
        <v>#REF!</v>
      </c>
      <c r="Z209" s="8"/>
      <c r="AA209" s="8"/>
      <c r="AB209" s="12"/>
      <c r="AC209" s="12">
        <v>43942</v>
      </c>
      <c r="AD209" s="12"/>
      <c r="AE209" s="12"/>
      <c r="AF209" s="14"/>
      <c r="AG209" s="17"/>
      <c r="AH209" s="17"/>
      <c r="AI209" s="17"/>
      <c r="AJ209" s="14"/>
      <c r="AK209" s="8"/>
      <c r="AL209" s="8"/>
      <c r="AM209" s="8"/>
    </row>
    <row r="210" spans="2:39" x14ac:dyDescent="0.25">
      <c r="B210" s="44">
        <v>163</v>
      </c>
      <c r="C210" s="9" t="s">
        <v>83</v>
      </c>
      <c r="D210" s="8" t="s">
        <v>2</v>
      </c>
      <c r="E210" s="22"/>
      <c r="F210" s="10"/>
      <c r="G210" s="10">
        <v>1405296</v>
      </c>
      <c r="H210" s="38" t="s">
        <v>33</v>
      </c>
      <c r="I210" s="8"/>
      <c r="J210" s="38" t="s">
        <v>33</v>
      </c>
      <c r="K210" s="8"/>
      <c r="L210" s="8"/>
      <c r="M210" s="8"/>
      <c r="N210" s="8"/>
      <c r="O210" s="10"/>
      <c r="P210" s="10"/>
      <c r="Q210" s="11"/>
      <c r="R210" s="38" t="s">
        <v>33</v>
      </c>
      <c r="S210" s="8"/>
      <c r="T210" s="8"/>
      <c r="U210" s="8"/>
      <c r="V210" s="8">
        <v>208</v>
      </c>
      <c r="W210" s="8">
        <f t="shared" si="16"/>
        <v>208</v>
      </c>
      <c r="X210" s="8"/>
      <c r="Y210" s="8" t="e">
        <f>ROUNDDOWN(W210/HLOOKUP(D210,#REF!,2,0)*8,2)</f>
        <v>#REF!</v>
      </c>
      <c r="Z210" s="8"/>
      <c r="AA210" s="8"/>
      <c r="AB210" s="12"/>
      <c r="AC210" s="12">
        <v>43942</v>
      </c>
      <c r="AD210" s="12"/>
      <c r="AE210" s="12"/>
      <c r="AF210" s="14"/>
      <c r="AG210" s="17"/>
      <c r="AH210" s="17"/>
      <c r="AI210" s="17"/>
      <c r="AJ210" s="14"/>
      <c r="AK210" s="8"/>
      <c r="AL210" s="8"/>
      <c r="AM210" s="8"/>
    </row>
    <row r="211" spans="2:39" x14ac:dyDescent="0.25">
      <c r="B211" s="44">
        <v>164</v>
      </c>
      <c r="C211" s="9" t="s">
        <v>83</v>
      </c>
      <c r="D211" s="8" t="s">
        <v>2</v>
      </c>
      <c r="E211" s="22"/>
      <c r="F211" s="10"/>
      <c r="G211" s="10">
        <v>1417022</v>
      </c>
      <c r="H211" s="38" t="s">
        <v>33</v>
      </c>
      <c r="I211" s="8"/>
      <c r="J211" s="38" t="s">
        <v>33</v>
      </c>
      <c r="K211" s="8"/>
      <c r="L211" s="8"/>
      <c r="M211" s="8"/>
      <c r="N211" s="8"/>
      <c r="O211" s="10"/>
      <c r="P211" s="10"/>
      <c r="Q211" s="11"/>
      <c r="R211" s="38" t="s">
        <v>33</v>
      </c>
      <c r="S211" s="8"/>
      <c r="T211" s="8"/>
      <c r="U211" s="8"/>
      <c r="V211" s="8">
        <v>259</v>
      </c>
      <c r="W211" s="8">
        <f t="shared" si="16"/>
        <v>259</v>
      </c>
      <c r="X211" s="8"/>
      <c r="Y211" s="8" t="e">
        <f>ROUNDDOWN(W211/HLOOKUP(D211,#REF!,2,0)*8,2)</f>
        <v>#REF!</v>
      </c>
      <c r="Z211" s="8"/>
      <c r="AA211" s="8"/>
      <c r="AB211" s="12"/>
      <c r="AC211" s="12">
        <v>43942</v>
      </c>
      <c r="AD211" s="12"/>
      <c r="AE211" s="12"/>
      <c r="AF211" s="14"/>
      <c r="AG211" s="17"/>
      <c r="AH211" s="17"/>
      <c r="AI211" s="17"/>
      <c r="AJ211" s="14"/>
      <c r="AK211" s="8"/>
      <c r="AL211" s="8"/>
      <c r="AM211" s="8"/>
    </row>
    <row r="212" spans="2:39" x14ac:dyDescent="0.25">
      <c r="B212" s="44">
        <v>165</v>
      </c>
      <c r="C212" s="9" t="s">
        <v>83</v>
      </c>
      <c r="D212" s="8" t="s">
        <v>2</v>
      </c>
      <c r="E212" s="22"/>
      <c r="F212" s="10"/>
      <c r="G212" s="10">
        <v>1417022</v>
      </c>
      <c r="H212" s="38" t="s">
        <v>33</v>
      </c>
      <c r="I212" s="8"/>
      <c r="J212" s="38" t="s">
        <v>33</v>
      </c>
      <c r="K212" s="8"/>
      <c r="L212" s="8"/>
      <c r="M212" s="8"/>
      <c r="N212" s="8"/>
      <c r="O212" s="10"/>
      <c r="P212" s="10"/>
      <c r="Q212" s="11"/>
      <c r="R212" s="38" t="s">
        <v>33</v>
      </c>
      <c r="S212" s="8"/>
      <c r="T212" s="8"/>
      <c r="U212" s="8"/>
      <c r="V212" s="8">
        <v>85</v>
      </c>
      <c r="W212" s="8">
        <f t="shared" si="16"/>
        <v>85</v>
      </c>
      <c r="X212" s="8"/>
      <c r="Y212" s="8" t="e">
        <f>ROUNDDOWN(W212/HLOOKUP(D212,#REF!,2,0)*8,2)</f>
        <v>#REF!</v>
      </c>
      <c r="Z212" s="8"/>
      <c r="AA212" s="8"/>
      <c r="AB212" s="12"/>
      <c r="AC212" s="12">
        <v>43942</v>
      </c>
      <c r="AD212" s="12"/>
      <c r="AE212" s="12"/>
      <c r="AF212" s="14"/>
      <c r="AG212" s="17"/>
      <c r="AH212" s="17"/>
      <c r="AI212" s="17"/>
      <c r="AJ212" s="14"/>
      <c r="AK212" s="8"/>
      <c r="AL212" s="8"/>
      <c r="AM212" s="8"/>
    </row>
    <row r="213" spans="2:39" x14ac:dyDescent="0.25">
      <c r="B213" s="44">
        <v>166</v>
      </c>
      <c r="C213" s="9" t="s">
        <v>83</v>
      </c>
      <c r="D213" s="8" t="s">
        <v>2</v>
      </c>
      <c r="E213" s="22"/>
      <c r="F213" s="10"/>
      <c r="G213" s="10">
        <v>1417022</v>
      </c>
      <c r="H213" s="38" t="s">
        <v>33</v>
      </c>
      <c r="I213" s="8"/>
      <c r="J213" s="38" t="s">
        <v>33</v>
      </c>
      <c r="K213" s="8"/>
      <c r="L213" s="8"/>
      <c r="M213" s="8"/>
      <c r="N213" s="8"/>
      <c r="O213" s="10"/>
      <c r="P213" s="10"/>
      <c r="Q213" s="11"/>
      <c r="R213" s="38" t="s">
        <v>33</v>
      </c>
      <c r="S213" s="8"/>
      <c r="T213" s="8"/>
      <c r="U213" s="8"/>
      <c r="V213" s="8">
        <v>208</v>
      </c>
      <c r="W213" s="8">
        <f t="shared" si="16"/>
        <v>208</v>
      </c>
      <c r="X213" s="8"/>
      <c r="Y213" s="8" t="e">
        <f>ROUNDDOWN(W213/HLOOKUP(D213,#REF!,2,0)*8,2)</f>
        <v>#REF!</v>
      </c>
      <c r="Z213" s="8"/>
      <c r="AA213" s="8"/>
      <c r="AB213" s="12"/>
      <c r="AC213" s="12">
        <v>43942</v>
      </c>
      <c r="AD213" s="12"/>
      <c r="AE213" s="12"/>
      <c r="AF213" s="14"/>
      <c r="AG213" s="17"/>
      <c r="AH213" s="17"/>
      <c r="AI213" s="17"/>
      <c r="AJ213" s="14"/>
      <c r="AK213" s="8"/>
      <c r="AL213" s="8"/>
      <c r="AM213" s="8"/>
    </row>
    <row r="214" spans="2:39" x14ac:dyDescent="0.25">
      <c r="B214" s="44">
        <v>167</v>
      </c>
      <c r="C214" s="9" t="s">
        <v>83</v>
      </c>
      <c r="D214" s="8" t="s">
        <v>2</v>
      </c>
      <c r="E214" s="22"/>
      <c r="F214" s="10"/>
      <c r="G214" s="10">
        <v>1417022</v>
      </c>
      <c r="H214" s="38" t="s">
        <v>33</v>
      </c>
      <c r="I214" s="8"/>
      <c r="J214" s="38" t="s">
        <v>33</v>
      </c>
      <c r="K214" s="8"/>
      <c r="L214" s="8"/>
      <c r="M214" s="8"/>
      <c r="N214" s="8"/>
      <c r="O214" s="10"/>
      <c r="P214" s="10"/>
      <c r="Q214" s="11"/>
      <c r="R214" s="38" t="s">
        <v>33</v>
      </c>
      <c r="S214" s="8"/>
      <c r="T214" s="8"/>
      <c r="U214" s="8"/>
      <c r="V214" s="8">
        <v>321</v>
      </c>
      <c r="W214" s="8">
        <f t="shared" si="16"/>
        <v>321</v>
      </c>
      <c r="X214" s="8"/>
      <c r="Y214" s="8" t="e">
        <f>ROUNDDOWN(W214/HLOOKUP(D214,#REF!,2,0)*8,2)</f>
        <v>#REF!</v>
      </c>
      <c r="Z214" s="8"/>
      <c r="AA214" s="8"/>
      <c r="AB214" s="12"/>
      <c r="AC214" s="12">
        <v>43942</v>
      </c>
      <c r="AD214" s="12"/>
      <c r="AE214" s="12"/>
      <c r="AF214" s="14"/>
      <c r="AG214" s="17"/>
      <c r="AH214" s="17"/>
      <c r="AI214" s="17"/>
      <c r="AJ214" s="14"/>
      <c r="AK214" s="8"/>
      <c r="AL214" s="8"/>
      <c r="AM214" s="8"/>
    </row>
    <row r="215" spans="2:39" x14ac:dyDescent="0.25">
      <c r="B215" s="44">
        <v>168</v>
      </c>
      <c r="C215" s="9" t="s">
        <v>83</v>
      </c>
      <c r="D215" s="8" t="s">
        <v>2</v>
      </c>
      <c r="E215" s="8"/>
      <c r="F215" s="10"/>
      <c r="G215" s="10">
        <v>1414681</v>
      </c>
      <c r="H215" s="38" t="s">
        <v>33</v>
      </c>
      <c r="I215" s="8"/>
      <c r="J215" s="38" t="s">
        <v>33</v>
      </c>
      <c r="K215" s="8"/>
      <c r="L215" s="8"/>
      <c r="M215" s="8"/>
      <c r="N215" s="8"/>
      <c r="O215" s="10"/>
      <c r="P215" s="10"/>
      <c r="Q215" s="11"/>
      <c r="R215" s="38" t="s">
        <v>33</v>
      </c>
      <c r="S215" s="8"/>
      <c r="T215" s="8"/>
      <c r="U215" s="8"/>
      <c r="V215" s="8">
        <v>118</v>
      </c>
      <c r="W215" s="8">
        <f t="shared" si="16"/>
        <v>118</v>
      </c>
      <c r="X215" s="8"/>
      <c r="Y215" s="8" t="e">
        <f>ROUNDDOWN(W215/HLOOKUP(D215,#REF!,2,0)*8,2)</f>
        <v>#REF!</v>
      </c>
      <c r="Z215" s="8"/>
      <c r="AA215" s="8"/>
      <c r="AB215" s="12"/>
      <c r="AC215" s="12">
        <v>43942</v>
      </c>
      <c r="AD215" s="12"/>
      <c r="AE215" s="12"/>
      <c r="AF215" s="14"/>
      <c r="AG215" s="17"/>
      <c r="AH215" s="17"/>
      <c r="AI215" s="17"/>
      <c r="AJ215" s="14"/>
      <c r="AK215" s="8"/>
      <c r="AL215" s="8"/>
      <c r="AM215" s="8"/>
    </row>
    <row r="216" spans="2:39" x14ac:dyDescent="0.25">
      <c r="B216" s="44">
        <v>169</v>
      </c>
      <c r="C216" s="9" t="s">
        <v>83</v>
      </c>
      <c r="D216" s="8" t="s">
        <v>2</v>
      </c>
      <c r="E216" s="8"/>
      <c r="F216" s="10"/>
      <c r="G216" s="10">
        <v>1416204</v>
      </c>
      <c r="H216" s="38" t="s">
        <v>33</v>
      </c>
      <c r="I216" s="8"/>
      <c r="J216" s="38" t="s">
        <v>33</v>
      </c>
      <c r="K216" s="8"/>
      <c r="L216" s="8"/>
      <c r="M216" s="8"/>
      <c r="N216" s="8"/>
      <c r="O216" s="10"/>
      <c r="P216" s="10"/>
      <c r="Q216" s="11"/>
      <c r="R216" s="38" t="s">
        <v>33</v>
      </c>
      <c r="S216" s="8"/>
      <c r="T216" s="8"/>
      <c r="U216" s="8"/>
      <c r="V216" s="8">
        <v>116</v>
      </c>
      <c r="W216" s="8">
        <f t="shared" si="16"/>
        <v>116</v>
      </c>
      <c r="X216" s="8"/>
      <c r="Y216" s="8" t="e">
        <f>ROUNDDOWN(W216/HLOOKUP(D216,#REF!,2,0)*8,2)</f>
        <v>#REF!</v>
      </c>
      <c r="Z216" s="8"/>
      <c r="AA216" s="8"/>
      <c r="AB216" s="12"/>
      <c r="AC216" s="12">
        <v>43943</v>
      </c>
      <c r="AD216" s="12"/>
      <c r="AE216" s="12"/>
      <c r="AF216" s="14"/>
      <c r="AG216" s="17"/>
      <c r="AH216" s="17"/>
      <c r="AI216" s="17"/>
      <c r="AJ216" s="14"/>
      <c r="AK216" s="8"/>
      <c r="AL216" s="8"/>
      <c r="AM216" s="8"/>
    </row>
    <row r="217" spans="2:39" x14ac:dyDescent="0.25">
      <c r="B217" s="44">
        <v>170</v>
      </c>
      <c r="C217" s="9" t="s">
        <v>83</v>
      </c>
      <c r="D217" s="8" t="s">
        <v>2</v>
      </c>
      <c r="E217" s="8"/>
      <c r="F217" s="10"/>
      <c r="G217" s="10">
        <v>1416204</v>
      </c>
      <c r="H217" s="38" t="s">
        <v>33</v>
      </c>
      <c r="I217" s="8"/>
      <c r="J217" s="38" t="s">
        <v>33</v>
      </c>
      <c r="K217" s="8"/>
      <c r="L217" s="8"/>
      <c r="M217" s="8"/>
      <c r="N217" s="8"/>
      <c r="O217" s="10"/>
      <c r="P217" s="10"/>
      <c r="Q217" s="11"/>
      <c r="R217" s="38" t="s">
        <v>33</v>
      </c>
      <c r="S217" s="8"/>
      <c r="T217" s="8"/>
      <c r="U217" s="8"/>
      <c r="V217" s="8">
        <v>119</v>
      </c>
      <c r="W217" s="8">
        <f t="shared" si="16"/>
        <v>119</v>
      </c>
      <c r="X217" s="8"/>
      <c r="Y217" s="8" t="e">
        <f>ROUNDDOWN(W217/HLOOKUP(D217,#REF!,2,0)*8,2)</f>
        <v>#REF!</v>
      </c>
      <c r="Z217" s="8"/>
      <c r="AA217" s="8"/>
      <c r="AB217" s="12"/>
      <c r="AC217" s="12">
        <v>43943</v>
      </c>
      <c r="AD217" s="12"/>
      <c r="AE217" s="12"/>
      <c r="AF217" s="14"/>
      <c r="AG217" s="17"/>
      <c r="AH217" s="17"/>
      <c r="AI217" s="17"/>
      <c r="AJ217" s="14"/>
      <c r="AK217" s="8"/>
      <c r="AL217" s="8"/>
      <c r="AM217" s="8"/>
    </row>
    <row r="218" spans="2:39" x14ac:dyDescent="0.25">
      <c r="B218" s="44">
        <v>171</v>
      </c>
      <c r="C218" s="9" t="s">
        <v>83</v>
      </c>
      <c r="D218" s="8" t="s">
        <v>2</v>
      </c>
      <c r="E218" s="8"/>
      <c r="F218" s="10"/>
      <c r="G218" s="10">
        <v>1417780</v>
      </c>
      <c r="H218" s="38" t="s">
        <v>33</v>
      </c>
      <c r="I218" s="8"/>
      <c r="J218" s="38" t="s">
        <v>33</v>
      </c>
      <c r="K218" s="8"/>
      <c r="L218" s="8"/>
      <c r="M218" s="8"/>
      <c r="N218" s="8"/>
      <c r="O218" s="10"/>
      <c r="P218" s="10"/>
      <c r="Q218" s="11"/>
      <c r="R218" s="38" t="s">
        <v>33</v>
      </c>
      <c r="S218" s="8"/>
      <c r="T218" s="8"/>
      <c r="U218" s="8"/>
      <c r="V218" s="8">
        <v>73</v>
      </c>
      <c r="W218" s="8">
        <f t="shared" si="16"/>
        <v>73</v>
      </c>
      <c r="X218" s="8"/>
      <c r="Y218" s="8" t="e">
        <f>ROUNDDOWN(W218/HLOOKUP(D218,#REF!,2,0)*8,2)</f>
        <v>#REF!</v>
      </c>
      <c r="Z218" s="8"/>
      <c r="AA218" s="8"/>
      <c r="AB218" s="12"/>
      <c r="AC218" s="12">
        <v>43951</v>
      </c>
      <c r="AD218" s="12"/>
      <c r="AE218" s="12"/>
      <c r="AF218" s="14"/>
      <c r="AG218" s="17"/>
      <c r="AH218" s="17"/>
      <c r="AI218" s="17"/>
      <c r="AJ218" s="14"/>
      <c r="AK218" s="8"/>
      <c r="AL218" s="8"/>
      <c r="AM218" s="8"/>
    </row>
    <row r="219" spans="2:39" x14ac:dyDescent="0.25">
      <c r="B219" s="44">
        <v>172</v>
      </c>
      <c r="C219" s="9" t="s">
        <v>83</v>
      </c>
      <c r="D219" s="8" t="s">
        <v>2</v>
      </c>
      <c r="E219" s="8"/>
      <c r="F219" s="10"/>
      <c r="G219" s="10">
        <v>1417780</v>
      </c>
      <c r="H219" s="38" t="s">
        <v>33</v>
      </c>
      <c r="I219" s="8"/>
      <c r="J219" s="38" t="s">
        <v>33</v>
      </c>
      <c r="K219" s="8"/>
      <c r="L219" s="8"/>
      <c r="M219" s="8"/>
      <c r="N219" s="8"/>
      <c r="O219" s="10"/>
      <c r="P219" s="10"/>
      <c r="Q219" s="11"/>
      <c r="R219" s="38" t="s">
        <v>33</v>
      </c>
      <c r="S219" s="8"/>
      <c r="T219" s="8"/>
      <c r="U219" s="8"/>
      <c r="V219" s="8">
        <v>131</v>
      </c>
      <c r="W219" s="8">
        <f t="shared" ref="W219:W227" si="17">V219</f>
        <v>131</v>
      </c>
      <c r="X219" s="8"/>
      <c r="Y219" s="8" t="e">
        <f>ROUNDDOWN(W219/HLOOKUP(D219,#REF!,2,0)*8,2)</f>
        <v>#REF!</v>
      </c>
      <c r="Z219" s="8"/>
      <c r="AA219" s="8"/>
      <c r="AB219" s="12"/>
      <c r="AC219" s="12">
        <v>43951</v>
      </c>
      <c r="AD219" s="12"/>
      <c r="AE219" s="12"/>
      <c r="AF219" s="14"/>
      <c r="AG219" s="17"/>
      <c r="AH219" s="17"/>
      <c r="AI219" s="17"/>
      <c r="AJ219" s="14"/>
      <c r="AK219" s="8"/>
      <c r="AL219" s="8"/>
      <c r="AM219" s="8"/>
    </row>
    <row r="220" spans="2:39" x14ac:dyDescent="0.25">
      <c r="B220" s="44">
        <v>173</v>
      </c>
      <c r="C220" s="9" t="s">
        <v>83</v>
      </c>
      <c r="D220" s="8" t="s">
        <v>2</v>
      </c>
      <c r="E220" s="8"/>
      <c r="F220" s="10"/>
      <c r="G220" s="10">
        <v>1417780</v>
      </c>
      <c r="H220" s="38" t="s">
        <v>33</v>
      </c>
      <c r="I220" s="8"/>
      <c r="J220" s="38" t="s">
        <v>33</v>
      </c>
      <c r="K220" s="8"/>
      <c r="L220" s="8"/>
      <c r="M220" s="8"/>
      <c r="N220" s="8"/>
      <c r="O220" s="10"/>
      <c r="P220" s="10"/>
      <c r="Q220" s="11"/>
      <c r="R220" s="38" t="s">
        <v>33</v>
      </c>
      <c r="S220" s="8"/>
      <c r="T220" s="8"/>
      <c r="U220" s="8"/>
      <c r="V220" s="8">
        <v>191</v>
      </c>
      <c r="W220" s="8">
        <f t="shared" si="17"/>
        <v>191</v>
      </c>
      <c r="X220" s="8"/>
      <c r="Y220" s="8" t="e">
        <f>ROUNDDOWN(W220/HLOOKUP(D220,#REF!,2,0)*8,2)</f>
        <v>#REF!</v>
      </c>
      <c r="Z220" s="8"/>
      <c r="AA220" s="8"/>
      <c r="AB220" s="12"/>
      <c r="AC220" s="12">
        <v>43951</v>
      </c>
      <c r="AD220" s="12"/>
      <c r="AE220" s="12"/>
      <c r="AF220" s="14"/>
      <c r="AG220" s="17"/>
      <c r="AH220" s="17"/>
      <c r="AI220" s="17"/>
      <c r="AJ220" s="14"/>
      <c r="AK220" s="8"/>
      <c r="AL220" s="8"/>
      <c r="AM220" s="8"/>
    </row>
    <row r="221" spans="2:39" x14ac:dyDescent="0.25">
      <c r="B221" s="44">
        <v>174</v>
      </c>
      <c r="C221" s="9" t="s">
        <v>83</v>
      </c>
      <c r="D221" s="8" t="s">
        <v>2</v>
      </c>
      <c r="E221" s="8"/>
      <c r="F221" s="10"/>
      <c r="G221" s="10">
        <v>1417780</v>
      </c>
      <c r="H221" s="38" t="s">
        <v>33</v>
      </c>
      <c r="I221" s="8"/>
      <c r="J221" s="38" t="s">
        <v>33</v>
      </c>
      <c r="K221" s="8"/>
      <c r="L221" s="8"/>
      <c r="M221" s="8"/>
      <c r="N221" s="8"/>
      <c r="O221" s="10"/>
      <c r="P221" s="10"/>
      <c r="Q221" s="11"/>
      <c r="R221" s="38" t="s">
        <v>33</v>
      </c>
      <c r="S221" s="8"/>
      <c r="T221" s="8"/>
      <c r="U221" s="8"/>
      <c r="V221" s="8">
        <v>344</v>
      </c>
      <c r="W221" s="8">
        <f t="shared" si="17"/>
        <v>344</v>
      </c>
      <c r="X221" s="8"/>
      <c r="Y221" s="8" t="e">
        <f>ROUNDDOWN(W221/HLOOKUP(D221,#REF!,2,0)*8,2)</f>
        <v>#REF!</v>
      </c>
      <c r="Z221" s="8"/>
      <c r="AA221" s="8"/>
      <c r="AB221" s="12"/>
      <c r="AC221" s="12">
        <v>43951</v>
      </c>
      <c r="AD221" s="12"/>
      <c r="AE221" s="12"/>
      <c r="AF221" s="14"/>
      <c r="AG221" s="17"/>
      <c r="AH221" s="17"/>
      <c r="AI221" s="17"/>
      <c r="AJ221" s="14"/>
      <c r="AK221" s="8"/>
      <c r="AL221" s="8"/>
      <c r="AM221" s="8"/>
    </row>
    <row r="222" spans="2:39" x14ac:dyDescent="0.25">
      <c r="B222" s="44">
        <v>175</v>
      </c>
      <c r="C222" s="9" t="s">
        <v>83</v>
      </c>
      <c r="D222" s="8" t="s">
        <v>2</v>
      </c>
      <c r="E222" s="8"/>
      <c r="F222" s="10"/>
      <c r="G222" s="10">
        <v>1417780</v>
      </c>
      <c r="H222" s="38" t="s">
        <v>33</v>
      </c>
      <c r="I222" s="8"/>
      <c r="J222" s="38" t="s">
        <v>33</v>
      </c>
      <c r="K222" s="8"/>
      <c r="L222" s="8"/>
      <c r="M222" s="8"/>
      <c r="N222" s="8"/>
      <c r="O222" s="10"/>
      <c r="P222" s="10"/>
      <c r="Q222" s="11"/>
      <c r="R222" s="38" t="s">
        <v>33</v>
      </c>
      <c r="S222" s="8"/>
      <c r="T222" s="8"/>
      <c r="U222" s="8"/>
      <c r="V222" s="8">
        <v>40</v>
      </c>
      <c r="W222" s="8">
        <f t="shared" si="17"/>
        <v>40</v>
      </c>
      <c r="X222" s="8"/>
      <c r="Y222" s="8" t="e">
        <f>ROUNDDOWN(W222/HLOOKUP(D222,#REF!,2,0)*8,2)</f>
        <v>#REF!</v>
      </c>
      <c r="Z222" s="8"/>
      <c r="AA222" s="8"/>
      <c r="AB222" s="12"/>
      <c r="AC222" s="12">
        <v>43951</v>
      </c>
      <c r="AD222" s="12"/>
      <c r="AE222" s="12"/>
      <c r="AF222" s="14"/>
      <c r="AG222" s="17"/>
      <c r="AH222" s="17"/>
      <c r="AI222" s="17"/>
      <c r="AJ222" s="14"/>
      <c r="AK222" s="8"/>
      <c r="AL222" s="8"/>
      <c r="AM222" s="8"/>
    </row>
    <row r="223" spans="2:39" x14ac:dyDescent="0.25">
      <c r="B223" s="44">
        <v>176</v>
      </c>
      <c r="C223" s="9" t="s">
        <v>83</v>
      </c>
      <c r="D223" s="8" t="s">
        <v>2</v>
      </c>
      <c r="E223" s="8"/>
      <c r="F223" s="10"/>
      <c r="G223" s="10">
        <v>1417780</v>
      </c>
      <c r="H223" s="38" t="s">
        <v>33</v>
      </c>
      <c r="I223" s="8"/>
      <c r="J223" s="38" t="s">
        <v>33</v>
      </c>
      <c r="K223" s="8"/>
      <c r="L223" s="8"/>
      <c r="M223" s="8"/>
      <c r="N223" s="8"/>
      <c r="O223" s="10"/>
      <c r="P223" s="10"/>
      <c r="Q223" s="11"/>
      <c r="R223" s="38" t="s">
        <v>33</v>
      </c>
      <c r="S223" s="8"/>
      <c r="T223" s="8"/>
      <c r="U223" s="8"/>
      <c r="V223" s="8">
        <v>146</v>
      </c>
      <c r="W223" s="8">
        <f t="shared" si="17"/>
        <v>146</v>
      </c>
      <c r="X223" s="8"/>
      <c r="Y223" s="8" t="e">
        <f>ROUNDDOWN(W223/HLOOKUP(D223,#REF!,2,0)*8,2)</f>
        <v>#REF!</v>
      </c>
      <c r="Z223" s="8"/>
      <c r="AA223" s="8"/>
      <c r="AB223" s="12"/>
      <c r="AC223" s="12">
        <v>43951</v>
      </c>
      <c r="AD223" s="12"/>
      <c r="AE223" s="12"/>
      <c r="AF223" s="14"/>
      <c r="AG223" s="17"/>
      <c r="AH223" s="17"/>
      <c r="AI223" s="17"/>
      <c r="AJ223" s="14"/>
      <c r="AK223" s="8"/>
      <c r="AL223" s="8"/>
      <c r="AM223" s="8"/>
    </row>
    <row r="224" spans="2:39" x14ac:dyDescent="0.25">
      <c r="B224" s="44">
        <v>177</v>
      </c>
      <c r="C224" s="9" t="s">
        <v>83</v>
      </c>
      <c r="D224" s="8" t="s">
        <v>2</v>
      </c>
      <c r="E224" s="8"/>
      <c r="F224" s="10"/>
      <c r="G224" s="10">
        <v>1417780</v>
      </c>
      <c r="H224" s="38" t="s">
        <v>33</v>
      </c>
      <c r="I224" s="8"/>
      <c r="J224" s="38" t="s">
        <v>33</v>
      </c>
      <c r="K224" s="8"/>
      <c r="L224" s="8"/>
      <c r="M224" s="8"/>
      <c r="N224" s="8"/>
      <c r="O224" s="10"/>
      <c r="P224" s="10"/>
      <c r="Q224" s="11"/>
      <c r="R224" s="38" t="s">
        <v>33</v>
      </c>
      <c r="S224" s="8"/>
      <c r="T224" s="8"/>
      <c r="U224" s="8"/>
      <c r="V224" s="8">
        <v>51</v>
      </c>
      <c r="W224" s="8">
        <f t="shared" si="17"/>
        <v>51</v>
      </c>
      <c r="X224" s="8"/>
      <c r="Y224" s="8" t="e">
        <f>ROUNDDOWN(W224/HLOOKUP(D224,#REF!,2,0)*8,2)</f>
        <v>#REF!</v>
      </c>
      <c r="Z224" s="8"/>
      <c r="AA224" s="8"/>
      <c r="AB224" s="12"/>
      <c r="AC224" s="12">
        <v>43951</v>
      </c>
      <c r="AD224" s="12"/>
      <c r="AE224" s="12"/>
      <c r="AF224" s="14"/>
      <c r="AG224" s="17"/>
      <c r="AH224" s="17"/>
      <c r="AI224" s="17"/>
      <c r="AJ224" s="14"/>
      <c r="AK224" s="8"/>
      <c r="AL224" s="8"/>
      <c r="AM224" s="8"/>
    </row>
    <row r="225" spans="1:39" x14ac:dyDescent="0.25">
      <c r="B225" s="44">
        <v>178</v>
      </c>
      <c r="C225" s="9" t="s">
        <v>83</v>
      </c>
      <c r="D225" s="8" t="s">
        <v>2</v>
      </c>
      <c r="E225" s="8"/>
      <c r="F225" s="10"/>
      <c r="G225" s="10">
        <v>1423395</v>
      </c>
      <c r="H225" s="38" t="s">
        <v>33</v>
      </c>
      <c r="I225" s="8"/>
      <c r="J225" s="38" t="s">
        <v>33</v>
      </c>
      <c r="K225" s="8"/>
      <c r="L225" s="8"/>
      <c r="M225" s="8"/>
      <c r="N225" s="8"/>
      <c r="O225" s="10"/>
      <c r="P225" s="10"/>
      <c r="Q225" s="11"/>
      <c r="R225" s="38" t="s">
        <v>33</v>
      </c>
      <c r="S225" s="8"/>
      <c r="T225" s="8"/>
      <c r="U225" s="8"/>
      <c r="V225" s="8">
        <v>101</v>
      </c>
      <c r="W225" s="8">
        <f t="shared" si="17"/>
        <v>101</v>
      </c>
      <c r="X225" s="8"/>
      <c r="Y225" s="8" t="e">
        <f>ROUNDDOWN(W225/HLOOKUP(D225,#REF!,2,0)*8,2)</f>
        <v>#REF!</v>
      </c>
      <c r="Z225" s="8"/>
      <c r="AA225" s="8"/>
      <c r="AB225" s="12"/>
      <c r="AC225" s="12">
        <v>43943</v>
      </c>
      <c r="AD225" s="12"/>
      <c r="AE225" s="12"/>
      <c r="AF225" s="14"/>
      <c r="AG225" s="17"/>
      <c r="AH225" s="17"/>
      <c r="AI225" s="17"/>
      <c r="AJ225" s="14"/>
      <c r="AK225" s="8"/>
      <c r="AL225" s="8"/>
      <c r="AM225" s="8"/>
    </row>
    <row r="226" spans="1:39" x14ac:dyDescent="0.25">
      <c r="B226" s="44">
        <v>179</v>
      </c>
      <c r="C226" s="9" t="s">
        <v>83</v>
      </c>
      <c r="D226" s="8" t="s">
        <v>2</v>
      </c>
      <c r="E226" s="8"/>
      <c r="F226" s="10"/>
      <c r="G226" s="10">
        <v>1423395</v>
      </c>
      <c r="H226" s="38" t="s">
        <v>33</v>
      </c>
      <c r="I226" s="8"/>
      <c r="J226" s="38" t="s">
        <v>33</v>
      </c>
      <c r="K226" s="8"/>
      <c r="L226" s="8"/>
      <c r="M226" s="8"/>
      <c r="N226" s="8"/>
      <c r="O226" s="10"/>
      <c r="P226" s="10"/>
      <c r="Q226" s="11"/>
      <c r="R226" s="38" t="s">
        <v>33</v>
      </c>
      <c r="S226" s="8"/>
      <c r="T226" s="8"/>
      <c r="U226" s="8"/>
      <c r="V226" s="8">
        <v>116</v>
      </c>
      <c r="W226" s="8">
        <f t="shared" si="17"/>
        <v>116</v>
      </c>
      <c r="X226" s="8"/>
      <c r="Y226" s="8" t="e">
        <f>ROUNDDOWN(W226/HLOOKUP(D226,#REF!,2,0)*8,2)</f>
        <v>#REF!</v>
      </c>
      <c r="Z226" s="8"/>
      <c r="AA226" s="8"/>
      <c r="AB226" s="12"/>
      <c r="AC226" s="12">
        <v>43943</v>
      </c>
      <c r="AD226" s="12"/>
      <c r="AE226" s="12"/>
      <c r="AF226" s="14"/>
      <c r="AG226" s="17"/>
      <c r="AH226" s="17"/>
      <c r="AI226" s="17"/>
      <c r="AJ226" s="14"/>
      <c r="AK226" s="8"/>
      <c r="AL226" s="8"/>
      <c r="AM226" s="8"/>
    </row>
    <row r="227" spans="1:39" x14ac:dyDescent="0.25">
      <c r="B227" s="44">
        <v>180</v>
      </c>
      <c r="C227" s="9" t="s">
        <v>83</v>
      </c>
      <c r="D227" s="8" t="s">
        <v>2</v>
      </c>
      <c r="E227" s="8"/>
      <c r="F227" s="10"/>
      <c r="G227" s="10">
        <v>1423395</v>
      </c>
      <c r="H227" s="38" t="s">
        <v>33</v>
      </c>
      <c r="I227" s="8"/>
      <c r="J227" s="38" t="s">
        <v>33</v>
      </c>
      <c r="K227" s="8"/>
      <c r="L227" s="8"/>
      <c r="M227" s="8"/>
      <c r="N227" s="8"/>
      <c r="O227" s="10"/>
      <c r="P227" s="10"/>
      <c r="Q227" s="11"/>
      <c r="R227" s="38" t="s">
        <v>33</v>
      </c>
      <c r="S227" s="8"/>
      <c r="T227" s="8"/>
      <c r="U227" s="8"/>
      <c r="V227" s="8">
        <v>60</v>
      </c>
      <c r="W227" s="8">
        <f t="shared" si="17"/>
        <v>60</v>
      </c>
      <c r="X227" s="8"/>
      <c r="Y227" s="8" t="e">
        <f>ROUNDDOWN(W227/HLOOKUP(D227,#REF!,2,0)*8,2)</f>
        <v>#REF!</v>
      </c>
      <c r="Z227" s="8"/>
      <c r="AA227" s="8"/>
      <c r="AB227" s="12"/>
      <c r="AC227" s="12">
        <v>43943</v>
      </c>
      <c r="AD227" s="12"/>
      <c r="AE227" s="12"/>
      <c r="AF227" s="14"/>
      <c r="AG227" s="17"/>
      <c r="AH227" s="17"/>
      <c r="AI227" s="17"/>
      <c r="AJ227" s="14"/>
      <c r="AK227" s="8"/>
      <c r="AL227" s="8"/>
      <c r="AM227" s="8"/>
    </row>
    <row r="228" spans="1:39" x14ac:dyDescent="0.25">
      <c r="A228" s="26"/>
      <c r="B228" s="27"/>
      <c r="C228" s="28"/>
      <c r="D228" s="8" t="s">
        <v>2</v>
      </c>
      <c r="E228" s="29"/>
      <c r="F228" s="30"/>
      <c r="G228" s="30"/>
      <c r="H228" s="29"/>
      <c r="I228" s="29"/>
      <c r="J228" s="29"/>
      <c r="K228" s="29"/>
      <c r="L228" s="29"/>
      <c r="M228" s="29"/>
      <c r="N228" s="29"/>
      <c r="O228" s="30"/>
      <c r="P228" s="10"/>
      <c r="Q228" s="31"/>
      <c r="R228" s="28"/>
      <c r="S228" s="8"/>
      <c r="T228" s="29"/>
      <c r="U228" s="29"/>
      <c r="V228" s="8"/>
      <c r="W228" s="8"/>
      <c r="X228" s="29"/>
      <c r="Y228" s="8"/>
      <c r="Z228" s="29"/>
      <c r="AA228" s="8"/>
      <c r="AB228" s="32"/>
      <c r="AC228" s="32"/>
      <c r="AD228" s="32"/>
      <c r="AE228" s="32"/>
      <c r="AF228" s="14"/>
      <c r="AG228" s="33"/>
      <c r="AH228" s="33"/>
      <c r="AI228" s="33"/>
      <c r="AJ228" s="14"/>
      <c r="AK228" s="29"/>
      <c r="AL228" s="29"/>
      <c r="AM228" s="29"/>
    </row>
    <row r="229" spans="1:39" x14ac:dyDescent="0.25">
      <c r="A229" s="26"/>
      <c r="B229" s="27"/>
      <c r="C229" s="28"/>
      <c r="D229" s="8" t="s">
        <v>2</v>
      </c>
      <c r="E229" s="29"/>
      <c r="F229" s="30"/>
      <c r="G229" s="30"/>
      <c r="H229" s="29"/>
      <c r="I229" s="29"/>
      <c r="J229" s="29"/>
      <c r="K229" s="29"/>
      <c r="L229" s="29"/>
      <c r="M229" s="29"/>
      <c r="N229" s="29"/>
      <c r="O229" s="30"/>
      <c r="P229" s="10"/>
      <c r="Q229" s="31"/>
      <c r="R229" s="28"/>
      <c r="S229" s="8"/>
      <c r="T229" s="29"/>
      <c r="U229" s="29"/>
      <c r="V229" s="8"/>
      <c r="W229" s="8"/>
      <c r="X229" s="29"/>
      <c r="Y229" s="8"/>
      <c r="Z229" s="29"/>
      <c r="AA229" s="8"/>
      <c r="AB229" s="32"/>
      <c r="AC229" s="32"/>
      <c r="AD229" s="32"/>
      <c r="AE229" s="32"/>
      <c r="AF229" s="14"/>
      <c r="AG229" s="33"/>
      <c r="AH229" s="33"/>
      <c r="AI229" s="33"/>
      <c r="AJ229" s="14"/>
      <c r="AK229" s="29"/>
      <c r="AL229" s="29"/>
      <c r="AM229" s="29"/>
    </row>
    <row r="230" spans="1:39" x14ac:dyDescent="0.25">
      <c r="A230" s="26"/>
      <c r="B230" s="27"/>
      <c r="C230" s="28"/>
      <c r="D230" s="8" t="s">
        <v>2</v>
      </c>
      <c r="E230" s="29"/>
      <c r="F230" s="30"/>
      <c r="G230" s="30"/>
      <c r="H230" s="29"/>
      <c r="I230" s="29"/>
      <c r="J230" s="29"/>
      <c r="K230" s="29"/>
      <c r="L230" s="29"/>
      <c r="M230" s="29"/>
      <c r="N230" s="29"/>
      <c r="O230" s="30"/>
      <c r="P230" s="10"/>
      <c r="Q230" s="31"/>
      <c r="R230" s="28"/>
      <c r="S230" s="8"/>
      <c r="T230" s="29"/>
      <c r="U230" s="29"/>
      <c r="V230" s="8"/>
      <c r="W230" s="8"/>
      <c r="X230" s="29"/>
      <c r="Y230" s="8"/>
      <c r="Z230" s="29"/>
      <c r="AA230" s="8"/>
      <c r="AB230" s="32"/>
      <c r="AC230" s="32"/>
      <c r="AD230" s="32"/>
      <c r="AE230" s="32"/>
      <c r="AF230" s="14"/>
      <c r="AG230" s="33"/>
      <c r="AH230" s="33"/>
      <c r="AI230" s="33"/>
      <c r="AJ230" s="14"/>
      <c r="AK230" s="29"/>
      <c r="AL230" s="29"/>
      <c r="AM230" s="29"/>
    </row>
    <row r="231" spans="1:39" x14ac:dyDescent="0.25">
      <c r="A231" s="26"/>
      <c r="B231" s="27"/>
      <c r="C231" s="28"/>
      <c r="D231" s="8" t="s">
        <v>2</v>
      </c>
      <c r="E231" s="29"/>
      <c r="F231" s="30"/>
      <c r="G231" s="30"/>
      <c r="H231" s="29"/>
      <c r="I231" s="29"/>
      <c r="J231" s="29"/>
      <c r="K231" s="29"/>
      <c r="L231" s="29"/>
      <c r="M231" s="29"/>
      <c r="N231" s="29"/>
      <c r="O231" s="30"/>
      <c r="P231" s="10"/>
      <c r="Q231" s="31"/>
      <c r="R231" s="28"/>
      <c r="S231" s="8"/>
      <c r="T231" s="29"/>
      <c r="U231" s="29"/>
      <c r="V231" s="8"/>
      <c r="W231" s="8"/>
      <c r="X231" s="29"/>
      <c r="Y231" s="8"/>
      <c r="Z231" s="29"/>
      <c r="AA231" s="8"/>
      <c r="AB231" s="32"/>
      <c r="AC231" s="32"/>
      <c r="AD231" s="32"/>
      <c r="AE231" s="32"/>
      <c r="AF231" s="14"/>
      <c r="AG231" s="33"/>
      <c r="AH231" s="33"/>
      <c r="AI231" s="33"/>
      <c r="AJ231" s="14"/>
      <c r="AK231" s="29"/>
      <c r="AL231" s="29"/>
      <c r="AM231" s="29"/>
    </row>
    <row r="232" spans="1:39" x14ac:dyDescent="0.25">
      <c r="A232" s="26"/>
      <c r="B232" s="27"/>
      <c r="C232" s="28"/>
      <c r="D232" s="8" t="s">
        <v>2</v>
      </c>
      <c r="E232" s="29"/>
      <c r="F232" s="30"/>
      <c r="G232" s="30"/>
      <c r="H232" s="29"/>
      <c r="I232" s="29"/>
      <c r="J232" s="29"/>
      <c r="K232" s="29"/>
      <c r="L232" s="29"/>
      <c r="M232" s="29"/>
      <c r="N232" s="29"/>
      <c r="O232" s="30"/>
      <c r="P232" s="10"/>
      <c r="Q232" s="31"/>
      <c r="R232" s="28"/>
      <c r="S232" s="8"/>
      <c r="T232" s="29"/>
      <c r="U232" s="29"/>
      <c r="V232" s="8"/>
      <c r="W232" s="8"/>
      <c r="X232" s="29"/>
      <c r="Y232" s="8"/>
      <c r="Z232" s="29"/>
      <c r="AA232" s="8"/>
      <c r="AB232" s="32"/>
      <c r="AC232" s="32"/>
      <c r="AD232" s="32"/>
      <c r="AE232" s="32"/>
      <c r="AF232" s="14"/>
      <c r="AG232" s="33"/>
      <c r="AH232" s="33"/>
      <c r="AI232" s="33"/>
      <c r="AJ232" s="14"/>
      <c r="AK232" s="29"/>
      <c r="AL232" s="29"/>
      <c r="AM232" s="29"/>
    </row>
    <row r="233" spans="1:39" x14ac:dyDescent="0.25">
      <c r="A233" s="26"/>
      <c r="B233" s="27"/>
      <c r="C233" s="28"/>
      <c r="D233" s="8" t="s">
        <v>2</v>
      </c>
      <c r="E233" s="29"/>
      <c r="F233" s="30"/>
      <c r="G233" s="30"/>
      <c r="H233" s="29"/>
      <c r="I233" s="29"/>
      <c r="J233" s="29"/>
      <c r="K233" s="29"/>
      <c r="L233" s="29"/>
      <c r="M233" s="29"/>
      <c r="N233" s="29"/>
      <c r="O233" s="30"/>
      <c r="P233" s="10"/>
      <c r="Q233" s="31"/>
      <c r="R233" s="28"/>
      <c r="S233" s="8"/>
      <c r="T233" s="29"/>
      <c r="U233" s="29"/>
      <c r="V233" s="8"/>
      <c r="W233" s="8"/>
      <c r="X233" s="29"/>
      <c r="Y233" s="8"/>
      <c r="Z233" s="29"/>
      <c r="AA233" s="8"/>
      <c r="AB233" s="32"/>
      <c r="AC233" s="32"/>
      <c r="AD233" s="32"/>
      <c r="AE233" s="32"/>
      <c r="AF233" s="14"/>
      <c r="AG233" s="33"/>
      <c r="AH233" s="33"/>
      <c r="AI233" s="33"/>
      <c r="AJ233" s="14"/>
      <c r="AK233" s="29"/>
      <c r="AL233" s="29"/>
      <c r="AM233" s="29"/>
    </row>
    <row r="234" spans="1:39" x14ac:dyDescent="0.25">
      <c r="A234" s="26"/>
      <c r="B234" s="27"/>
      <c r="C234" s="28"/>
      <c r="D234" s="8" t="s">
        <v>2</v>
      </c>
      <c r="E234" s="29"/>
      <c r="F234" s="30"/>
      <c r="G234" s="30"/>
      <c r="H234" s="29"/>
      <c r="I234" s="29"/>
      <c r="J234" s="29"/>
      <c r="K234" s="29"/>
      <c r="L234" s="29"/>
      <c r="M234" s="29"/>
      <c r="N234" s="29"/>
      <c r="O234" s="30"/>
      <c r="P234" s="10"/>
      <c r="Q234" s="31"/>
      <c r="R234" s="28"/>
      <c r="S234" s="8"/>
      <c r="T234" s="29"/>
      <c r="U234" s="29"/>
      <c r="V234" s="8"/>
      <c r="W234" s="8"/>
      <c r="X234" s="29"/>
      <c r="Y234" s="8"/>
      <c r="Z234" s="29"/>
      <c r="AA234" s="8"/>
      <c r="AB234" s="32"/>
      <c r="AC234" s="32"/>
      <c r="AD234" s="32"/>
      <c r="AE234" s="32"/>
      <c r="AF234" s="14"/>
      <c r="AG234" s="33"/>
      <c r="AH234" s="33"/>
      <c r="AI234" s="33"/>
      <c r="AJ234" s="14"/>
      <c r="AK234" s="29"/>
      <c r="AL234" s="29"/>
      <c r="AM234" s="29"/>
    </row>
    <row r="235" spans="1:39" x14ac:dyDescent="0.25">
      <c r="A235" s="26"/>
      <c r="B235" s="27"/>
      <c r="C235" s="28"/>
      <c r="D235" s="8" t="s">
        <v>2</v>
      </c>
      <c r="E235" s="29"/>
      <c r="F235" s="30"/>
      <c r="G235" s="30"/>
      <c r="H235" s="29"/>
      <c r="I235" s="29"/>
      <c r="J235" s="29"/>
      <c r="K235" s="29"/>
      <c r="L235" s="29"/>
      <c r="M235" s="29"/>
      <c r="N235" s="29"/>
      <c r="O235" s="30"/>
      <c r="P235" s="10"/>
      <c r="Q235" s="31"/>
      <c r="R235" s="28"/>
      <c r="S235" s="8"/>
      <c r="T235" s="29"/>
      <c r="U235" s="29"/>
      <c r="V235" s="8"/>
      <c r="W235" s="8"/>
      <c r="X235" s="29"/>
      <c r="Y235" s="8"/>
      <c r="Z235" s="29"/>
      <c r="AA235" s="8"/>
      <c r="AB235" s="32"/>
      <c r="AC235" s="32"/>
      <c r="AD235" s="32"/>
      <c r="AE235" s="32"/>
      <c r="AF235" s="14"/>
      <c r="AG235" s="33"/>
      <c r="AH235" s="33"/>
      <c r="AI235" s="33"/>
      <c r="AJ235" s="14"/>
      <c r="AK235" s="29"/>
      <c r="AL235" s="29"/>
      <c r="AM235" s="29"/>
    </row>
    <row r="236" spans="1:39" x14ac:dyDescent="0.25">
      <c r="A236" s="26"/>
      <c r="B236" s="27"/>
      <c r="C236" s="28"/>
      <c r="D236" s="8" t="s">
        <v>2</v>
      </c>
      <c r="E236" s="29"/>
      <c r="F236" s="30"/>
      <c r="G236" s="30"/>
      <c r="H236" s="29"/>
      <c r="I236" s="29"/>
      <c r="J236" s="29"/>
      <c r="K236" s="29"/>
      <c r="L236" s="29"/>
      <c r="M236" s="29"/>
      <c r="N236" s="29"/>
      <c r="O236" s="30"/>
      <c r="P236" s="10"/>
      <c r="Q236" s="31"/>
      <c r="R236" s="28"/>
      <c r="S236" s="8"/>
      <c r="T236" s="29"/>
      <c r="U236" s="29"/>
      <c r="V236" s="8"/>
      <c r="W236" s="8"/>
      <c r="X236" s="29"/>
      <c r="Y236" s="8"/>
      <c r="Z236" s="29"/>
      <c r="AA236" s="8"/>
      <c r="AB236" s="32"/>
      <c r="AC236" s="32"/>
      <c r="AD236" s="32"/>
      <c r="AE236" s="32"/>
      <c r="AF236" s="14"/>
      <c r="AG236" s="33"/>
      <c r="AH236" s="33"/>
      <c r="AI236" s="33"/>
      <c r="AJ236" s="14"/>
      <c r="AK236" s="29"/>
      <c r="AL236" s="29"/>
      <c r="AM236" s="29"/>
    </row>
    <row r="237" spans="1:39" x14ac:dyDescent="0.25">
      <c r="A237" s="26"/>
      <c r="B237" s="27"/>
      <c r="C237" s="28"/>
      <c r="D237" s="8" t="s">
        <v>2</v>
      </c>
      <c r="E237" s="29"/>
      <c r="F237" s="30"/>
      <c r="G237" s="30"/>
      <c r="H237" s="29"/>
      <c r="I237" s="29"/>
      <c r="J237" s="29"/>
      <c r="K237" s="29"/>
      <c r="L237" s="29"/>
      <c r="M237" s="29"/>
      <c r="N237" s="29"/>
      <c r="O237" s="30"/>
      <c r="P237" s="10"/>
      <c r="Q237" s="31"/>
      <c r="R237" s="28"/>
      <c r="S237" s="8"/>
      <c r="T237" s="29"/>
      <c r="U237" s="29"/>
      <c r="V237" s="8"/>
      <c r="W237" s="8"/>
      <c r="X237" s="29"/>
      <c r="Y237" s="8"/>
      <c r="Z237" s="29"/>
      <c r="AA237" s="8"/>
      <c r="AB237" s="32"/>
      <c r="AC237" s="32"/>
      <c r="AD237" s="32"/>
      <c r="AE237" s="32"/>
      <c r="AF237" s="14"/>
      <c r="AG237" s="33"/>
      <c r="AH237" s="33"/>
      <c r="AI237" s="33"/>
      <c r="AJ237" s="14"/>
      <c r="AK237" s="29"/>
      <c r="AL237" s="29"/>
      <c r="AM237" s="29"/>
    </row>
    <row r="238" spans="1:39" x14ac:dyDescent="0.25">
      <c r="A238" s="26"/>
      <c r="B238" s="27"/>
      <c r="C238" s="28"/>
      <c r="D238" s="8" t="s">
        <v>2</v>
      </c>
      <c r="E238" s="29"/>
      <c r="F238" s="30"/>
      <c r="G238" s="30"/>
      <c r="H238" s="29"/>
      <c r="I238" s="29"/>
      <c r="J238" s="29"/>
      <c r="K238" s="29"/>
      <c r="L238" s="29"/>
      <c r="M238" s="29"/>
      <c r="N238" s="29"/>
      <c r="O238" s="30"/>
      <c r="P238" s="10"/>
      <c r="Q238" s="31"/>
      <c r="R238" s="28"/>
      <c r="S238" s="8"/>
      <c r="T238" s="29"/>
      <c r="U238" s="29"/>
      <c r="V238" s="8"/>
      <c r="W238" s="8"/>
      <c r="X238" s="29"/>
      <c r="Y238" s="8"/>
      <c r="Z238" s="29"/>
      <c r="AA238" s="8"/>
      <c r="AB238" s="32"/>
      <c r="AC238" s="32"/>
      <c r="AD238" s="32"/>
      <c r="AE238" s="32"/>
      <c r="AF238" s="14"/>
      <c r="AG238" s="33"/>
      <c r="AH238" s="33"/>
      <c r="AI238" s="33"/>
      <c r="AJ238" s="14"/>
      <c r="AK238" s="29"/>
      <c r="AL238" s="29"/>
      <c r="AM238" s="29"/>
    </row>
    <row r="239" spans="1:39" x14ac:dyDescent="0.25">
      <c r="A239" s="26"/>
      <c r="B239" s="27"/>
      <c r="C239" s="28"/>
      <c r="D239" s="8" t="s">
        <v>2</v>
      </c>
      <c r="E239" s="29"/>
      <c r="F239" s="30"/>
      <c r="G239" s="30"/>
      <c r="H239" s="29"/>
      <c r="I239" s="29"/>
      <c r="J239" s="29"/>
      <c r="K239" s="29"/>
      <c r="L239" s="29"/>
      <c r="M239" s="29"/>
      <c r="N239" s="29"/>
      <c r="O239" s="30"/>
      <c r="P239" s="10"/>
      <c r="Q239" s="31"/>
      <c r="R239" s="28"/>
      <c r="S239" s="8"/>
      <c r="T239" s="29"/>
      <c r="U239" s="29"/>
      <c r="V239" s="8"/>
      <c r="W239" s="8"/>
      <c r="X239" s="29"/>
      <c r="Y239" s="8"/>
      <c r="Z239" s="29"/>
      <c r="AA239" s="8"/>
      <c r="AB239" s="32"/>
      <c r="AC239" s="32"/>
      <c r="AD239" s="32"/>
      <c r="AE239" s="32"/>
      <c r="AF239" s="14"/>
      <c r="AG239" s="33"/>
      <c r="AH239" s="33"/>
      <c r="AI239" s="33"/>
      <c r="AJ239" s="14"/>
      <c r="AK239" s="29"/>
      <c r="AL239" s="29"/>
      <c r="AM239" s="29"/>
    </row>
    <row r="240" spans="1:39" x14ac:dyDescent="0.25">
      <c r="A240" s="26"/>
      <c r="B240" s="27"/>
      <c r="C240" s="28"/>
      <c r="D240" s="8" t="s">
        <v>2</v>
      </c>
      <c r="E240" s="29"/>
      <c r="F240" s="30"/>
      <c r="G240" s="30"/>
      <c r="H240" s="29"/>
      <c r="I240" s="29"/>
      <c r="J240" s="29"/>
      <c r="K240" s="29"/>
      <c r="L240" s="29"/>
      <c r="M240" s="29"/>
      <c r="N240" s="29"/>
      <c r="O240" s="30"/>
      <c r="P240" s="10"/>
      <c r="Q240" s="31"/>
      <c r="R240" s="28"/>
      <c r="S240" s="8"/>
      <c r="T240" s="29"/>
      <c r="U240" s="29"/>
      <c r="V240" s="8"/>
      <c r="W240" s="8"/>
      <c r="X240" s="29"/>
      <c r="Y240" s="8"/>
      <c r="Z240" s="29"/>
      <c r="AA240" s="8"/>
      <c r="AB240" s="32"/>
      <c r="AC240" s="32"/>
      <c r="AD240" s="32"/>
      <c r="AE240" s="32"/>
      <c r="AF240" s="14"/>
      <c r="AG240" s="33"/>
      <c r="AH240" s="33"/>
      <c r="AI240" s="33"/>
      <c r="AJ240" s="14"/>
      <c r="AK240" s="29"/>
      <c r="AL240" s="29"/>
      <c r="AM240" s="29"/>
    </row>
    <row r="241" spans="1:39" x14ac:dyDescent="0.25">
      <c r="A241" s="26"/>
      <c r="B241" s="27"/>
      <c r="C241" s="28"/>
      <c r="D241" s="8" t="s">
        <v>2</v>
      </c>
      <c r="E241" s="29"/>
      <c r="F241" s="30"/>
      <c r="G241" s="30"/>
      <c r="H241" s="29"/>
      <c r="I241" s="29"/>
      <c r="J241" s="29"/>
      <c r="K241" s="29"/>
      <c r="L241" s="29"/>
      <c r="M241" s="29"/>
      <c r="N241" s="29"/>
      <c r="O241" s="30"/>
      <c r="P241" s="10"/>
      <c r="Q241" s="31"/>
      <c r="R241" s="28"/>
      <c r="S241" s="8"/>
      <c r="T241" s="29"/>
      <c r="U241" s="29"/>
      <c r="V241" s="8"/>
      <c r="W241" s="8"/>
      <c r="X241" s="29"/>
      <c r="Y241" s="8"/>
      <c r="Z241" s="29"/>
      <c r="AA241" s="8"/>
      <c r="AB241" s="32"/>
      <c r="AC241" s="32"/>
      <c r="AD241" s="32"/>
      <c r="AE241" s="32"/>
      <c r="AF241" s="14"/>
      <c r="AG241" s="33"/>
      <c r="AH241" s="33"/>
      <c r="AI241" s="33"/>
      <c r="AJ241" s="14"/>
      <c r="AK241" s="29"/>
      <c r="AL241" s="29"/>
      <c r="AM241" s="29"/>
    </row>
    <row r="242" spans="1:39" x14ac:dyDescent="0.25">
      <c r="A242" s="26"/>
      <c r="B242" s="27"/>
      <c r="C242" s="28"/>
      <c r="D242" s="8" t="s">
        <v>2</v>
      </c>
      <c r="E242" s="29"/>
      <c r="F242" s="30"/>
      <c r="G242" s="30"/>
      <c r="H242" s="29"/>
      <c r="I242" s="29"/>
      <c r="J242" s="29"/>
      <c r="K242" s="29"/>
      <c r="L242" s="29"/>
      <c r="M242" s="29"/>
      <c r="N242" s="29"/>
      <c r="O242" s="30"/>
      <c r="P242" s="10"/>
      <c r="Q242" s="31"/>
      <c r="R242" s="28"/>
      <c r="S242" s="8"/>
      <c r="T242" s="29"/>
      <c r="U242" s="29"/>
      <c r="V242" s="8"/>
      <c r="W242" s="8"/>
      <c r="X242" s="29"/>
      <c r="Y242" s="8"/>
      <c r="Z242" s="29"/>
      <c r="AA242" s="8"/>
      <c r="AB242" s="32"/>
      <c r="AC242" s="32"/>
      <c r="AD242" s="32"/>
      <c r="AE242" s="32"/>
      <c r="AF242" s="14"/>
      <c r="AG242" s="33"/>
      <c r="AH242" s="33"/>
      <c r="AI242" s="33"/>
      <c r="AJ242" s="14"/>
      <c r="AK242" s="29"/>
      <c r="AL242" s="29"/>
      <c r="AM242" s="29"/>
    </row>
    <row r="243" spans="1:39" x14ac:dyDescent="0.25">
      <c r="A243" s="26"/>
      <c r="B243" s="27"/>
      <c r="C243" s="28"/>
      <c r="D243" s="8" t="s">
        <v>2</v>
      </c>
      <c r="E243" s="29"/>
      <c r="F243" s="30"/>
      <c r="G243" s="30"/>
      <c r="H243" s="29"/>
      <c r="I243" s="29"/>
      <c r="J243" s="29"/>
      <c r="K243" s="29"/>
      <c r="L243" s="29"/>
      <c r="M243" s="29"/>
      <c r="N243" s="29"/>
      <c r="O243" s="30"/>
      <c r="P243" s="10"/>
      <c r="Q243" s="31"/>
      <c r="R243" s="28"/>
      <c r="S243" s="8"/>
      <c r="T243" s="29"/>
      <c r="U243" s="29"/>
      <c r="V243" s="8"/>
      <c r="W243" s="8"/>
      <c r="X243" s="29"/>
      <c r="Y243" s="8"/>
      <c r="Z243" s="29"/>
      <c r="AA243" s="8"/>
      <c r="AB243" s="32"/>
      <c r="AC243" s="32"/>
      <c r="AD243" s="32"/>
      <c r="AE243" s="32"/>
      <c r="AF243" s="14"/>
      <c r="AG243" s="33"/>
      <c r="AH243" s="33"/>
      <c r="AI243" s="33"/>
      <c r="AJ243" s="14"/>
      <c r="AK243" s="29"/>
      <c r="AL243" s="29"/>
      <c r="AM243" s="29"/>
    </row>
    <row r="244" spans="1:39" x14ac:dyDescent="0.25">
      <c r="A244" s="26"/>
      <c r="B244" s="27"/>
      <c r="C244" s="28"/>
      <c r="D244" s="8" t="s">
        <v>2</v>
      </c>
      <c r="E244" s="29"/>
      <c r="F244" s="30"/>
      <c r="G244" s="30"/>
      <c r="H244" s="29"/>
      <c r="I244" s="29"/>
      <c r="J244" s="29"/>
      <c r="K244" s="29"/>
      <c r="L244" s="29"/>
      <c r="M244" s="29"/>
      <c r="N244" s="29"/>
      <c r="O244" s="30"/>
      <c r="P244" s="10"/>
      <c r="Q244" s="31"/>
      <c r="R244" s="28"/>
      <c r="S244" s="8"/>
      <c r="T244" s="29"/>
      <c r="U244" s="29"/>
      <c r="V244" s="8"/>
      <c r="W244" s="8"/>
      <c r="X244" s="29"/>
      <c r="Y244" s="8"/>
      <c r="Z244" s="29"/>
      <c r="AA244" s="8"/>
      <c r="AB244" s="32"/>
      <c r="AC244" s="32"/>
      <c r="AD244" s="32"/>
      <c r="AE244" s="32"/>
      <c r="AF244" s="14"/>
      <c r="AG244" s="33"/>
      <c r="AH244" s="33"/>
      <c r="AI244" s="33"/>
      <c r="AJ244" s="14"/>
      <c r="AK244" s="29"/>
      <c r="AL244" s="29"/>
      <c r="AM244" s="29"/>
    </row>
    <row r="245" spans="1:39" x14ac:dyDescent="0.25">
      <c r="A245" s="26"/>
      <c r="B245" s="27"/>
      <c r="C245" s="28"/>
      <c r="D245" s="8" t="s">
        <v>2</v>
      </c>
      <c r="E245" s="29"/>
      <c r="F245" s="30"/>
      <c r="G245" s="30"/>
      <c r="H245" s="29"/>
      <c r="I245" s="29"/>
      <c r="J245" s="29"/>
      <c r="K245" s="29"/>
      <c r="L245" s="29"/>
      <c r="M245" s="29"/>
      <c r="N245" s="29"/>
      <c r="O245" s="30"/>
      <c r="P245" s="10"/>
      <c r="Q245" s="31"/>
      <c r="R245" s="28"/>
      <c r="S245" s="8"/>
      <c r="T245" s="29"/>
      <c r="U245" s="29"/>
      <c r="V245" s="8"/>
      <c r="W245" s="8"/>
      <c r="X245" s="29"/>
      <c r="Y245" s="8"/>
      <c r="Z245" s="29"/>
      <c r="AA245" s="8"/>
      <c r="AB245" s="32"/>
      <c r="AC245" s="32"/>
      <c r="AD245" s="32"/>
      <c r="AE245" s="32"/>
      <c r="AF245" s="14"/>
      <c r="AG245" s="33"/>
      <c r="AH245" s="33"/>
      <c r="AI245" s="33"/>
      <c r="AJ245" s="14"/>
      <c r="AK245" s="29"/>
      <c r="AL245" s="29"/>
      <c r="AM245" s="29"/>
    </row>
    <row r="246" spans="1:39" x14ac:dyDescent="0.25">
      <c r="A246" s="26"/>
      <c r="B246" s="27"/>
      <c r="C246" s="28"/>
      <c r="D246" s="8" t="s">
        <v>2</v>
      </c>
      <c r="E246" s="29"/>
      <c r="F246" s="30"/>
      <c r="G246" s="30"/>
      <c r="H246" s="29"/>
      <c r="I246" s="29"/>
      <c r="J246" s="29"/>
      <c r="K246" s="29"/>
      <c r="L246" s="29"/>
      <c r="M246" s="29"/>
      <c r="N246" s="29"/>
      <c r="O246" s="30"/>
      <c r="P246" s="10"/>
      <c r="Q246" s="31"/>
      <c r="R246" s="28"/>
      <c r="S246" s="8"/>
      <c r="T246" s="29"/>
      <c r="U246" s="29"/>
      <c r="V246" s="8"/>
      <c r="W246" s="8"/>
      <c r="X246" s="29"/>
      <c r="Y246" s="8"/>
      <c r="Z246" s="29"/>
      <c r="AA246" s="8"/>
      <c r="AB246" s="32"/>
      <c r="AC246" s="32"/>
      <c r="AD246" s="32"/>
      <c r="AE246" s="32"/>
      <c r="AF246" s="14"/>
      <c r="AG246" s="33"/>
      <c r="AH246" s="33"/>
      <c r="AI246" s="33"/>
      <c r="AJ246" s="14"/>
      <c r="AK246" s="29"/>
      <c r="AL246" s="29"/>
      <c r="AM246" s="29"/>
    </row>
    <row r="247" spans="1:39" x14ac:dyDescent="0.25">
      <c r="A247" s="26"/>
      <c r="B247" s="27"/>
      <c r="C247" s="28"/>
      <c r="D247" s="8" t="s">
        <v>2</v>
      </c>
      <c r="E247" s="29"/>
      <c r="F247" s="30"/>
      <c r="G247" s="30"/>
      <c r="H247" s="29"/>
      <c r="I247" s="29"/>
      <c r="J247" s="29"/>
      <c r="K247" s="29"/>
      <c r="L247" s="29"/>
      <c r="M247" s="29"/>
      <c r="N247" s="29"/>
      <c r="O247" s="30"/>
      <c r="P247" s="10"/>
      <c r="Q247" s="31"/>
      <c r="R247" s="28"/>
      <c r="S247" s="8"/>
      <c r="T247" s="29"/>
      <c r="U247" s="29"/>
      <c r="V247" s="8"/>
      <c r="W247" s="8"/>
      <c r="X247" s="29"/>
      <c r="Y247" s="8"/>
      <c r="Z247" s="29"/>
      <c r="AA247" s="8"/>
      <c r="AB247" s="32"/>
      <c r="AC247" s="32"/>
      <c r="AD247" s="32"/>
      <c r="AE247" s="32"/>
      <c r="AF247" s="14"/>
      <c r="AG247" s="33"/>
      <c r="AH247" s="33"/>
      <c r="AI247" s="33"/>
      <c r="AJ247" s="14"/>
      <c r="AK247" s="29"/>
      <c r="AL247" s="29"/>
      <c r="AM247" s="29"/>
    </row>
    <row r="248" spans="1:39" x14ac:dyDescent="0.25">
      <c r="A248" s="26"/>
      <c r="B248" s="27"/>
      <c r="C248" s="28"/>
      <c r="D248" s="8" t="s">
        <v>2</v>
      </c>
      <c r="E248" s="29"/>
      <c r="F248" s="30"/>
      <c r="G248" s="30"/>
      <c r="H248" s="29"/>
      <c r="I248" s="29"/>
      <c r="J248" s="29"/>
      <c r="K248" s="29"/>
      <c r="L248" s="29"/>
      <c r="M248" s="29"/>
      <c r="N248" s="29"/>
      <c r="O248" s="30"/>
      <c r="P248" s="10"/>
      <c r="Q248" s="31"/>
      <c r="R248" s="28"/>
      <c r="S248" s="8"/>
      <c r="T248" s="29"/>
      <c r="U248" s="29"/>
      <c r="V248" s="8"/>
      <c r="W248" s="8"/>
      <c r="X248" s="29"/>
      <c r="Y248" s="8"/>
      <c r="Z248" s="29"/>
      <c r="AA248" s="8"/>
      <c r="AB248" s="32"/>
      <c r="AC248" s="32"/>
      <c r="AD248" s="32"/>
      <c r="AE248" s="32"/>
      <c r="AF248" s="14"/>
      <c r="AG248" s="33"/>
      <c r="AH248" s="33"/>
      <c r="AI248" s="33"/>
      <c r="AJ248" s="14"/>
      <c r="AK248" s="29"/>
      <c r="AL248" s="29"/>
      <c r="AM248" s="29"/>
    </row>
    <row r="249" spans="1:39" x14ac:dyDescent="0.25">
      <c r="A249" s="26"/>
      <c r="B249" s="27"/>
      <c r="C249" s="28"/>
      <c r="D249" s="8" t="s">
        <v>2</v>
      </c>
      <c r="E249" s="29"/>
      <c r="F249" s="30"/>
      <c r="G249" s="30"/>
      <c r="H249" s="29"/>
      <c r="I249" s="29"/>
      <c r="J249" s="29"/>
      <c r="K249" s="29"/>
      <c r="L249" s="29"/>
      <c r="M249" s="29"/>
      <c r="N249" s="29"/>
      <c r="O249" s="30"/>
      <c r="P249" s="10"/>
      <c r="Q249" s="31"/>
      <c r="R249" s="28"/>
      <c r="S249" s="8"/>
      <c r="T249" s="29"/>
      <c r="U249" s="29"/>
      <c r="V249" s="8"/>
      <c r="W249" s="8"/>
      <c r="X249" s="29"/>
      <c r="Y249" s="8"/>
      <c r="Z249" s="29"/>
      <c r="AA249" s="8"/>
      <c r="AB249" s="32"/>
      <c r="AC249" s="32"/>
      <c r="AD249" s="32"/>
      <c r="AE249" s="32"/>
      <c r="AF249" s="14"/>
      <c r="AG249" s="33"/>
      <c r="AH249" s="33"/>
      <c r="AI249" s="33"/>
      <c r="AJ249" s="14"/>
      <c r="AK249" s="29"/>
      <c r="AL249" s="29"/>
      <c r="AM249" s="29"/>
    </row>
    <row r="250" spans="1:39" x14ac:dyDescent="0.25">
      <c r="A250" s="26"/>
      <c r="B250" s="27"/>
      <c r="C250" s="28"/>
      <c r="D250" s="8" t="s">
        <v>2</v>
      </c>
      <c r="E250" s="29"/>
      <c r="F250" s="30"/>
      <c r="G250" s="30"/>
      <c r="H250" s="29"/>
      <c r="I250" s="29"/>
      <c r="J250" s="29"/>
      <c r="K250" s="29"/>
      <c r="L250" s="29"/>
      <c r="M250" s="29"/>
      <c r="N250" s="29"/>
      <c r="O250" s="30"/>
      <c r="P250" s="10"/>
      <c r="Q250" s="31"/>
      <c r="R250" s="28"/>
      <c r="S250" s="8"/>
      <c r="T250" s="29"/>
      <c r="U250" s="29"/>
      <c r="V250" s="8"/>
      <c r="W250" s="8"/>
      <c r="X250" s="29"/>
      <c r="Y250" s="8"/>
      <c r="Z250" s="29"/>
      <c r="AA250" s="8"/>
      <c r="AB250" s="32"/>
      <c r="AC250" s="32"/>
      <c r="AD250" s="32"/>
      <c r="AE250" s="32"/>
      <c r="AF250" s="14"/>
      <c r="AG250" s="33"/>
      <c r="AH250" s="33"/>
      <c r="AI250" s="33"/>
      <c r="AJ250" s="14"/>
      <c r="AK250" s="29"/>
      <c r="AL250" s="29"/>
      <c r="AM250" s="29"/>
    </row>
    <row r="251" spans="1:39" x14ac:dyDescent="0.25">
      <c r="A251" s="26"/>
      <c r="B251" s="27"/>
      <c r="C251" s="28"/>
      <c r="D251" s="8" t="s">
        <v>2</v>
      </c>
      <c r="E251" s="29"/>
      <c r="F251" s="30"/>
      <c r="G251" s="30"/>
      <c r="H251" s="29"/>
      <c r="I251" s="29"/>
      <c r="J251" s="29"/>
      <c r="K251" s="29"/>
      <c r="L251" s="29"/>
      <c r="M251" s="29"/>
      <c r="N251" s="29"/>
      <c r="O251" s="30"/>
      <c r="P251" s="10"/>
      <c r="Q251" s="31"/>
      <c r="R251" s="28"/>
      <c r="S251" s="8"/>
      <c r="T251" s="29"/>
      <c r="U251" s="29"/>
      <c r="V251" s="8"/>
      <c r="W251" s="8"/>
      <c r="X251" s="29"/>
      <c r="Y251" s="8"/>
      <c r="Z251" s="29"/>
      <c r="AA251" s="8"/>
      <c r="AB251" s="32"/>
      <c r="AC251" s="32"/>
      <c r="AD251" s="32"/>
      <c r="AE251" s="32"/>
      <c r="AF251" s="14"/>
      <c r="AG251" s="33"/>
      <c r="AH251" s="33"/>
      <c r="AI251" s="33"/>
      <c r="AJ251" s="14"/>
      <c r="AK251" s="29"/>
      <c r="AL251" s="29"/>
      <c r="AM251" s="29"/>
    </row>
    <row r="252" spans="1:39" x14ac:dyDescent="0.25">
      <c r="A252" s="26"/>
      <c r="B252" s="27"/>
      <c r="C252" s="28"/>
      <c r="D252" s="8" t="s">
        <v>2</v>
      </c>
      <c r="E252" s="29"/>
      <c r="F252" s="30"/>
      <c r="G252" s="30"/>
      <c r="H252" s="29"/>
      <c r="I252" s="29"/>
      <c r="J252" s="29"/>
      <c r="K252" s="29"/>
      <c r="L252" s="29"/>
      <c r="M252" s="29"/>
      <c r="N252" s="29"/>
      <c r="O252" s="30"/>
      <c r="P252" s="10"/>
      <c r="Q252" s="31"/>
      <c r="R252" s="28"/>
      <c r="S252" s="8"/>
      <c r="T252" s="29"/>
      <c r="U252" s="29"/>
      <c r="V252" s="8"/>
      <c r="W252" s="8"/>
      <c r="X252" s="29"/>
      <c r="Y252" s="8"/>
      <c r="Z252" s="29"/>
      <c r="AA252" s="8"/>
      <c r="AB252" s="32"/>
      <c r="AC252" s="32"/>
      <c r="AD252" s="32"/>
      <c r="AE252" s="32"/>
      <c r="AF252" s="14"/>
      <c r="AG252" s="33"/>
      <c r="AH252" s="33"/>
      <c r="AI252" s="33"/>
      <c r="AJ252" s="14"/>
      <c r="AK252" s="29"/>
      <c r="AL252" s="29"/>
      <c r="AM252" s="29"/>
    </row>
    <row r="253" spans="1:39" x14ac:dyDescent="0.25">
      <c r="A253" s="26"/>
      <c r="B253" s="27"/>
      <c r="C253" s="28"/>
      <c r="D253" s="8" t="s">
        <v>2</v>
      </c>
      <c r="E253" s="29"/>
      <c r="F253" s="30"/>
      <c r="G253" s="30"/>
      <c r="H253" s="29"/>
      <c r="I253" s="29"/>
      <c r="J253" s="29"/>
      <c r="K253" s="29"/>
      <c r="L253" s="29"/>
      <c r="M253" s="29"/>
      <c r="N253" s="29"/>
      <c r="O253" s="30"/>
      <c r="P253" s="10"/>
      <c r="Q253" s="31"/>
      <c r="R253" s="28"/>
      <c r="S253" s="8"/>
      <c r="T253" s="29"/>
      <c r="U253" s="29"/>
      <c r="V253" s="8"/>
      <c r="W253" s="8"/>
      <c r="X253" s="29"/>
      <c r="Y253" s="8"/>
      <c r="Z253" s="29"/>
      <c r="AA253" s="8"/>
      <c r="AB253" s="32"/>
      <c r="AC253" s="32"/>
      <c r="AD253" s="32"/>
      <c r="AE253" s="32"/>
      <c r="AF253" s="14"/>
      <c r="AG253" s="33"/>
      <c r="AH253" s="33"/>
      <c r="AI253" s="33"/>
      <c r="AJ253" s="14"/>
      <c r="AK253" s="29"/>
      <c r="AL253" s="29"/>
      <c r="AM253" s="29"/>
    </row>
    <row r="254" spans="1:39" x14ac:dyDescent="0.25">
      <c r="A254" s="26"/>
      <c r="B254" s="27"/>
      <c r="C254" s="28"/>
      <c r="D254" s="8" t="s">
        <v>2</v>
      </c>
      <c r="E254" s="29"/>
      <c r="F254" s="30"/>
      <c r="G254" s="30"/>
      <c r="H254" s="29"/>
      <c r="I254" s="29"/>
      <c r="J254" s="29"/>
      <c r="K254" s="29"/>
      <c r="L254" s="29"/>
      <c r="M254" s="29"/>
      <c r="N254" s="29"/>
      <c r="O254" s="30"/>
      <c r="P254" s="10"/>
      <c r="Q254" s="31"/>
      <c r="R254" s="28"/>
      <c r="S254" s="8"/>
      <c r="T254" s="29"/>
      <c r="U254" s="29"/>
      <c r="V254" s="8"/>
      <c r="W254" s="8"/>
      <c r="X254" s="29"/>
      <c r="Y254" s="8"/>
      <c r="Z254" s="29"/>
      <c r="AA254" s="8"/>
      <c r="AB254" s="32"/>
      <c r="AC254" s="32"/>
      <c r="AD254" s="32"/>
      <c r="AE254" s="32"/>
      <c r="AF254" s="14"/>
      <c r="AG254" s="33"/>
      <c r="AH254" s="33"/>
      <c r="AI254" s="33"/>
      <c r="AJ254" s="14"/>
      <c r="AK254" s="29"/>
      <c r="AL254" s="29"/>
      <c r="AM254" s="29"/>
    </row>
    <row r="255" spans="1:39" x14ac:dyDescent="0.25">
      <c r="A255" s="26"/>
      <c r="B255" s="27"/>
      <c r="C255" s="28"/>
      <c r="D255" s="8" t="s">
        <v>2</v>
      </c>
      <c r="E255" s="29"/>
      <c r="F255" s="30"/>
      <c r="G255" s="30"/>
      <c r="H255" s="29"/>
      <c r="I255" s="29"/>
      <c r="J255" s="29"/>
      <c r="K255" s="29"/>
      <c r="L255" s="29"/>
      <c r="M255" s="29"/>
      <c r="N255" s="29"/>
      <c r="O255" s="30"/>
      <c r="P255" s="10"/>
      <c r="Q255" s="31"/>
      <c r="R255" s="28"/>
      <c r="S255" s="8"/>
      <c r="T255" s="29"/>
      <c r="U255" s="29"/>
      <c r="V255" s="8"/>
      <c r="W255" s="8"/>
      <c r="X255" s="29"/>
      <c r="Y255" s="8"/>
      <c r="Z255" s="29"/>
      <c r="AA255" s="8"/>
      <c r="AB255" s="32"/>
      <c r="AC255" s="32"/>
      <c r="AD255" s="32"/>
      <c r="AE255" s="32"/>
      <c r="AF255" s="14"/>
      <c r="AG255" s="33"/>
      <c r="AH255" s="33"/>
      <c r="AI255" s="33"/>
      <c r="AJ255" s="14"/>
      <c r="AK255" s="29"/>
      <c r="AL255" s="29"/>
      <c r="AM255" s="29"/>
    </row>
    <row r="256" spans="1:39" x14ac:dyDescent="0.25">
      <c r="A256" s="26"/>
      <c r="B256" s="27"/>
      <c r="C256" s="28"/>
      <c r="D256" s="8" t="s">
        <v>2</v>
      </c>
      <c r="E256" s="29"/>
      <c r="F256" s="30"/>
      <c r="G256" s="30"/>
      <c r="H256" s="29"/>
      <c r="I256" s="29"/>
      <c r="J256" s="29"/>
      <c r="K256" s="29"/>
      <c r="L256" s="29"/>
      <c r="M256" s="29"/>
      <c r="N256" s="29"/>
      <c r="O256" s="30"/>
      <c r="P256" s="10"/>
      <c r="Q256" s="31"/>
      <c r="R256" s="28"/>
      <c r="S256" s="8"/>
      <c r="T256" s="29"/>
      <c r="U256" s="29"/>
      <c r="V256" s="8"/>
      <c r="W256" s="8"/>
      <c r="X256" s="29"/>
      <c r="Y256" s="8"/>
      <c r="Z256" s="29"/>
      <c r="AA256" s="8"/>
      <c r="AB256" s="32"/>
      <c r="AC256" s="32"/>
      <c r="AD256" s="32"/>
      <c r="AE256" s="32"/>
      <c r="AF256" s="14"/>
      <c r="AG256" s="33"/>
      <c r="AH256" s="33"/>
      <c r="AI256" s="33"/>
      <c r="AJ256" s="14"/>
      <c r="AK256" s="29"/>
      <c r="AL256" s="29"/>
      <c r="AM256" s="29"/>
    </row>
    <row r="257" spans="1:39" x14ac:dyDescent="0.25">
      <c r="A257" s="26"/>
      <c r="B257" s="27"/>
      <c r="C257" s="28"/>
      <c r="D257" s="8" t="s">
        <v>2</v>
      </c>
      <c r="E257" s="29"/>
      <c r="F257" s="30"/>
      <c r="G257" s="30"/>
      <c r="H257" s="29"/>
      <c r="I257" s="29"/>
      <c r="J257" s="29"/>
      <c r="K257" s="29"/>
      <c r="L257" s="29"/>
      <c r="M257" s="29"/>
      <c r="N257" s="29"/>
      <c r="O257" s="30"/>
      <c r="P257" s="10"/>
      <c r="Q257" s="31"/>
      <c r="R257" s="28"/>
      <c r="S257" s="8"/>
      <c r="T257" s="29"/>
      <c r="U257" s="29"/>
      <c r="V257" s="8"/>
      <c r="W257" s="8"/>
      <c r="X257" s="29"/>
      <c r="Y257" s="8"/>
      <c r="Z257" s="29"/>
      <c r="AA257" s="8"/>
      <c r="AB257" s="32"/>
      <c r="AC257" s="32"/>
      <c r="AD257" s="32"/>
      <c r="AE257" s="32"/>
      <c r="AF257" s="14"/>
      <c r="AG257" s="33"/>
      <c r="AH257" s="33"/>
      <c r="AI257" s="33"/>
      <c r="AJ257" s="14"/>
      <c r="AK257" s="29"/>
      <c r="AL257" s="29"/>
      <c r="AM257" s="29"/>
    </row>
    <row r="258" spans="1:39" x14ac:dyDescent="0.25">
      <c r="A258" s="26"/>
      <c r="B258" s="27"/>
      <c r="C258" s="28"/>
      <c r="D258" s="8" t="s">
        <v>2</v>
      </c>
      <c r="E258" s="29"/>
      <c r="F258" s="30"/>
      <c r="G258" s="30"/>
      <c r="H258" s="29"/>
      <c r="I258" s="29"/>
      <c r="J258" s="29"/>
      <c r="K258" s="29"/>
      <c r="L258" s="29"/>
      <c r="M258" s="29"/>
      <c r="N258" s="29"/>
      <c r="O258" s="30"/>
      <c r="P258" s="10"/>
      <c r="Q258" s="31"/>
      <c r="R258" s="28"/>
      <c r="S258" s="8"/>
      <c r="T258" s="29"/>
      <c r="U258" s="29"/>
      <c r="V258" s="8"/>
      <c r="W258" s="8"/>
      <c r="X258" s="29"/>
      <c r="Y258" s="8"/>
      <c r="Z258" s="29"/>
      <c r="AA258" s="8"/>
      <c r="AB258" s="32"/>
      <c r="AC258" s="32"/>
      <c r="AD258" s="32"/>
      <c r="AE258" s="32"/>
      <c r="AF258" s="14"/>
      <c r="AG258" s="33"/>
      <c r="AH258" s="33"/>
      <c r="AI258" s="33"/>
      <c r="AJ258" s="14"/>
      <c r="AK258" s="29"/>
      <c r="AL258" s="29"/>
      <c r="AM258" s="29"/>
    </row>
    <row r="259" spans="1:39" x14ac:dyDescent="0.25">
      <c r="A259" s="26"/>
      <c r="B259" s="27"/>
      <c r="C259" s="28"/>
      <c r="D259" s="8" t="s">
        <v>2</v>
      </c>
      <c r="E259" s="29"/>
      <c r="F259" s="30"/>
      <c r="G259" s="30"/>
      <c r="H259" s="29"/>
      <c r="I259" s="29"/>
      <c r="J259" s="29"/>
      <c r="K259" s="29"/>
      <c r="L259" s="29"/>
      <c r="M259" s="29"/>
      <c r="N259" s="29"/>
      <c r="O259" s="30"/>
      <c r="P259" s="10"/>
      <c r="Q259" s="31"/>
      <c r="R259" s="28"/>
      <c r="S259" s="8"/>
      <c r="T259" s="29"/>
      <c r="U259" s="29"/>
      <c r="V259" s="8"/>
      <c r="W259" s="8"/>
      <c r="X259" s="29"/>
      <c r="Y259" s="8"/>
      <c r="Z259" s="29"/>
      <c r="AA259" s="8"/>
      <c r="AB259" s="32"/>
      <c r="AC259" s="32"/>
      <c r="AD259" s="32"/>
      <c r="AE259" s="32"/>
      <c r="AF259" s="14"/>
      <c r="AG259" s="33"/>
      <c r="AH259" s="33"/>
      <c r="AI259" s="33"/>
      <c r="AJ259" s="14"/>
      <c r="AK259" s="29"/>
      <c r="AL259" s="29"/>
      <c r="AM259" s="29"/>
    </row>
    <row r="260" spans="1:39" x14ac:dyDescent="0.25">
      <c r="A260" s="26"/>
      <c r="B260" s="27"/>
      <c r="C260" s="28"/>
      <c r="D260" s="8" t="s">
        <v>2</v>
      </c>
      <c r="E260" s="29"/>
      <c r="F260" s="30"/>
      <c r="G260" s="30"/>
      <c r="H260" s="29"/>
      <c r="I260" s="29"/>
      <c r="J260" s="29"/>
      <c r="K260" s="29"/>
      <c r="L260" s="29"/>
      <c r="M260" s="29"/>
      <c r="N260" s="29"/>
      <c r="O260" s="30"/>
      <c r="P260" s="10"/>
      <c r="Q260" s="31"/>
      <c r="R260" s="28"/>
      <c r="S260" s="8"/>
      <c r="T260" s="29"/>
      <c r="U260" s="29"/>
      <c r="V260" s="8"/>
      <c r="W260" s="8"/>
      <c r="X260" s="29"/>
      <c r="Y260" s="8"/>
      <c r="Z260" s="29"/>
      <c r="AA260" s="8"/>
      <c r="AB260" s="32"/>
      <c r="AC260" s="32"/>
      <c r="AD260" s="32"/>
      <c r="AE260" s="32"/>
      <c r="AF260" s="14"/>
      <c r="AG260" s="33"/>
      <c r="AH260" s="33"/>
      <c r="AI260" s="33"/>
      <c r="AJ260" s="14"/>
      <c r="AK260" s="29"/>
      <c r="AL260" s="29"/>
      <c r="AM260" s="29"/>
    </row>
    <row r="261" spans="1:39" x14ac:dyDescent="0.25">
      <c r="A261" s="26"/>
      <c r="B261" s="27"/>
      <c r="C261" s="28"/>
      <c r="D261" s="8" t="s">
        <v>2</v>
      </c>
      <c r="E261" s="29"/>
      <c r="F261" s="30"/>
      <c r="G261" s="30"/>
      <c r="H261" s="29"/>
      <c r="I261" s="29"/>
      <c r="J261" s="29"/>
      <c r="K261" s="29"/>
      <c r="L261" s="29"/>
      <c r="M261" s="29"/>
      <c r="N261" s="29"/>
      <c r="O261" s="30"/>
      <c r="P261" s="10"/>
      <c r="Q261" s="31"/>
      <c r="R261" s="28"/>
      <c r="S261" s="8"/>
      <c r="T261" s="29"/>
      <c r="U261" s="29"/>
      <c r="V261" s="8"/>
      <c r="W261" s="8"/>
      <c r="X261" s="29"/>
      <c r="Y261" s="8"/>
      <c r="Z261" s="29"/>
      <c r="AA261" s="8"/>
      <c r="AB261" s="32"/>
      <c r="AC261" s="32"/>
      <c r="AD261" s="32"/>
      <c r="AE261" s="32"/>
      <c r="AF261" s="14"/>
      <c r="AG261" s="33"/>
      <c r="AH261" s="33"/>
      <c r="AI261" s="33"/>
      <c r="AJ261" s="14"/>
      <c r="AK261" s="29"/>
      <c r="AL261" s="29"/>
      <c r="AM261" s="29"/>
    </row>
    <row r="262" spans="1:39" x14ac:dyDescent="0.25">
      <c r="A262" s="26"/>
      <c r="B262" s="27"/>
      <c r="C262" s="28"/>
      <c r="D262" s="8" t="s">
        <v>2</v>
      </c>
      <c r="E262" s="29"/>
      <c r="F262" s="30"/>
      <c r="G262" s="30"/>
      <c r="H262" s="29"/>
      <c r="I262" s="29"/>
      <c r="J262" s="29"/>
      <c r="K262" s="29"/>
      <c r="L262" s="29"/>
      <c r="M262" s="29"/>
      <c r="N262" s="29"/>
      <c r="O262" s="30"/>
      <c r="P262" s="10"/>
      <c r="Q262" s="31"/>
      <c r="R262" s="28"/>
      <c r="S262" s="8"/>
      <c r="T262" s="29"/>
      <c r="U262" s="29"/>
      <c r="V262" s="8"/>
      <c r="W262" s="8"/>
      <c r="X262" s="29"/>
      <c r="Y262" s="8"/>
      <c r="Z262" s="29"/>
      <c r="AA262" s="8"/>
      <c r="AB262" s="32"/>
      <c r="AC262" s="32"/>
      <c r="AD262" s="32"/>
      <c r="AE262" s="32"/>
      <c r="AF262" s="14"/>
      <c r="AG262" s="33"/>
      <c r="AH262" s="33"/>
      <c r="AI262" s="33"/>
      <c r="AJ262" s="14"/>
      <c r="AK262" s="29"/>
      <c r="AL262" s="29"/>
      <c r="AM262" s="29"/>
    </row>
    <row r="263" spans="1:39" x14ac:dyDescent="0.25">
      <c r="A263" s="26"/>
      <c r="B263" s="27"/>
      <c r="C263" s="28"/>
      <c r="D263" s="8" t="s">
        <v>2</v>
      </c>
      <c r="E263" s="29"/>
      <c r="F263" s="30"/>
      <c r="G263" s="30"/>
      <c r="H263" s="29"/>
      <c r="I263" s="29"/>
      <c r="J263" s="29"/>
      <c r="K263" s="29"/>
      <c r="L263" s="29"/>
      <c r="M263" s="29"/>
      <c r="N263" s="29"/>
      <c r="O263" s="30"/>
      <c r="P263" s="10"/>
      <c r="Q263" s="31"/>
      <c r="R263" s="28"/>
      <c r="S263" s="8"/>
      <c r="T263" s="29"/>
      <c r="U263" s="29"/>
      <c r="V263" s="8"/>
      <c r="W263" s="8"/>
      <c r="X263" s="29"/>
      <c r="Y263" s="8"/>
      <c r="Z263" s="29"/>
      <c r="AA263" s="8"/>
      <c r="AB263" s="32"/>
      <c r="AC263" s="32"/>
      <c r="AD263" s="32"/>
      <c r="AE263" s="32"/>
      <c r="AF263" s="14"/>
      <c r="AG263" s="33"/>
      <c r="AH263" s="33"/>
      <c r="AI263" s="33"/>
      <c r="AJ263" s="14"/>
      <c r="AK263" s="29"/>
      <c r="AL263" s="29"/>
      <c r="AM263" s="29"/>
    </row>
    <row r="264" spans="1:39" x14ac:dyDescent="0.25">
      <c r="A264" s="26"/>
      <c r="B264" s="27"/>
      <c r="C264" s="28"/>
      <c r="D264" s="8" t="s">
        <v>2</v>
      </c>
      <c r="E264" s="29"/>
      <c r="F264" s="30"/>
      <c r="G264" s="30"/>
      <c r="H264" s="29"/>
      <c r="I264" s="29"/>
      <c r="J264" s="29"/>
      <c r="K264" s="29"/>
      <c r="L264" s="29"/>
      <c r="M264" s="29"/>
      <c r="N264" s="29"/>
      <c r="O264" s="30"/>
      <c r="P264" s="10"/>
      <c r="Q264" s="31"/>
      <c r="R264" s="28"/>
      <c r="S264" s="8"/>
      <c r="T264" s="29"/>
      <c r="U264" s="29"/>
      <c r="V264" s="8"/>
      <c r="W264" s="8"/>
      <c r="X264" s="29"/>
      <c r="Y264" s="8"/>
      <c r="Z264" s="29"/>
      <c r="AA264" s="8"/>
      <c r="AB264" s="32"/>
      <c r="AC264" s="32"/>
      <c r="AD264" s="32"/>
      <c r="AE264" s="32"/>
      <c r="AF264" s="14"/>
      <c r="AG264" s="33"/>
      <c r="AH264" s="33"/>
      <c r="AI264" s="33"/>
      <c r="AJ264" s="14"/>
      <c r="AK264" s="29"/>
      <c r="AL264" s="29"/>
      <c r="AM264" s="29"/>
    </row>
    <row r="265" spans="1:39" x14ac:dyDescent="0.25">
      <c r="A265" s="26"/>
      <c r="B265" s="27"/>
      <c r="C265" s="28"/>
      <c r="D265" s="8" t="s">
        <v>2</v>
      </c>
      <c r="E265" s="29"/>
      <c r="F265" s="30"/>
      <c r="G265" s="30"/>
      <c r="H265" s="29"/>
      <c r="I265" s="29"/>
      <c r="J265" s="29"/>
      <c r="K265" s="29"/>
      <c r="L265" s="29"/>
      <c r="M265" s="29"/>
      <c r="N265" s="29"/>
      <c r="O265" s="30"/>
      <c r="P265" s="10"/>
      <c r="Q265" s="31"/>
      <c r="R265" s="28"/>
      <c r="S265" s="8"/>
      <c r="T265" s="29"/>
      <c r="U265" s="29"/>
      <c r="V265" s="8"/>
      <c r="W265" s="8"/>
      <c r="X265" s="29"/>
      <c r="Y265" s="8"/>
      <c r="Z265" s="29"/>
      <c r="AA265" s="8"/>
      <c r="AB265" s="32"/>
      <c r="AC265" s="32"/>
      <c r="AD265" s="32"/>
      <c r="AE265" s="32"/>
      <c r="AF265" s="14"/>
      <c r="AG265" s="33"/>
      <c r="AH265" s="33"/>
      <c r="AI265" s="33"/>
      <c r="AJ265" s="14"/>
      <c r="AK265" s="29"/>
      <c r="AL265" s="29"/>
      <c r="AM265" s="29"/>
    </row>
    <row r="266" spans="1:39" x14ac:dyDescent="0.25">
      <c r="A266" s="26"/>
      <c r="B266" s="27"/>
      <c r="C266" s="28"/>
      <c r="D266" s="8" t="s">
        <v>2</v>
      </c>
      <c r="E266" s="29"/>
      <c r="F266" s="30"/>
      <c r="G266" s="30"/>
      <c r="H266" s="29"/>
      <c r="I266" s="29"/>
      <c r="J266" s="29"/>
      <c r="K266" s="29"/>
      <c r="L266" s="29"/>
      <c r="M266" s="29"/>
      <c r="N266" s="29"/>
      <c r="O266" s="30"/>
      <c r="P266" s="10"/>
      <c r="Q266" s="31"/>
      <c r="R266" s="28"/>
      <c r="S266" s="8"/>
      <c r="T266" s="29"/>
      <c r="U266" s="29"/>
      <c r="V266" s="8"/>
      <c r="W266" s="8"/>
      <c r="X266" s="29"/>
      <c r="Y266" s="8"/>
      <c r="Z266" s="29"/>
      <c r="AA266" s="8"/>
      <c r="AB266" s="32"/>
      <c r="AC266" s="32"/>
      <c r="AD266" s="32"/>
      <c r="AE266" s="32"/>
      <c r="AF266" s="14"/>
      <c r="AG266" s="33"/>
      <c r="AH266" s="33"/>
      <c r="AI266" s="33"/>
      <c r="AJ266" s="14"/>
      <c r="AK266" s="29"/>
      <c r="AL266" s="29"/>
      <c r="AM266" s="29"/>
    </row>
    <row r="267" spans="1:39" x14ac:dyDescent="0.25">
      <c r="A267" s="26"/>
      <c r="B267" s="27"/>
      <c r="C267" s="28"/>
      <c r="D267" s="8" t="s">
        <v>2</v>
      </c>
      <c r="E267" s="29"/>
      <c r="F267" s="30"/>
      <c r="G267" s="30"/>
      <c r="H267" s="29"/>
      <c r="I267" s="29"/>
      <c r="J267" s="29"/>
      <c r="K267" s="29"/>
      <c r="L267" s="29"/>
      <c r="M267" s="29"/>
      <c r="N267" s="29"/>
      <c r="O267" s="30"/>
      <c r="P267" s="10"/>
      <c r="Q267" s="31"/>
      <c r="R267" s="28"/>
      <c r="S267" s="8"/>
      <c r="T267" s="29"/>
      <c r="U267" s="29"/>
      <c r="V267" s="8"/>
      <c r="W267" s="8"/>
      <c r="X267" s="29"/>
      <c r="Y267" s="8"/>
      <c r="Z267" s="29"/>
      <c r="AA267" s="8"/>
      <c r="AB267" s="32"/>
      <c r="AC267" s="32"/>
      <c r="AD267" s="32"/>
      <c r="AE267" s="32"/>
      <c r="AF267" s="14"/>
      <c r="AG267" s="33"/>
      <c r="AH267" s="33"/>
      <c r="AI267" s="33"/>
      <c r="AJ267" s="14"/>
      <c r="AK267" s="29"/>
      <c r="AL267" s="29"/>
      <c r="AM267" s="29"/>
    </row>
    <row r="268" spans="1:39" x14ac:dyDescent="0.25">
      <c r="A268" s="26"/>
      <c r="B268" s="27"/>
      <c r="C268" s="28"/>
      <c r="D268" s="8" t="s">
        <v>2</v>
      </c>
      <c r="E268" s="29"/>
      <c r="F268" s="30"/>
      <c r="G268" s="30"/>
      <c r="H268" s="29"/>
      <c r="I268" s="29"/>
      <c r="J268" s="29"/>
      <c r="K268" s="29"/>
      <c r="L268" s="29"/>
      <c r="M268" s="29"/>
      <c r="N268" s="29"/>
      <c r="O268" s="30"/>
      <c r="P268" s="10"/>
      <c r="Q268" s="31"/>
      <c r="R268" s="28"/>
      <c r="S268" s="8"/>
      <c r="T268" s="29"/>
      <c r="U268" s="29"/>
      <c r="V268" s="8"/>
      <c r="W268" s="8"/>
      <c r="X268" s="29"/>
      <c r="Y268" s="8"/>
      <c r="Z268" s="29"/>
      <c r="AA268" s="8"/>
      <c r="AB268" s="32"/>
      <c r="AC268" s="32"/>
      <c r="AD268" s="32"/>
      <c r="AE268" s="32"/>
      <c r="AF268" s="14"/>
      <c r="AG268" s="33"/>
      <c r="AH268" s="33"/>
      <c r="AI268" s="33"/>
      <c r="AJ268" s="14"/>
      <c r="AK268" s="29"/>
      <c r="AL268" s="29"/>
      <c r="AM268" s="29"/>
    </row>
    <row r="269" spans="1:39" x14ac:dyDescent="0.25">
      <c r="A269" s="26"/>
      <c r="B269" s="27"/>
      <c r="C269" s="28"/>
      <c r="D269" s="8" t="s">
        <v>2</v>
      </c>
      <c r="E269" s="29"/>
      <c r="F269" s="30"/>
      <c r="G269" s="30"/>
      <c r="H269" s="29"/>
      <c r="I269" s="29"/>
      <c r="J269" s="29"/>
      <c r="K269" s="29"/>
      <c r="L269" s="29"/>
      <c r="M269" s="29"/>
      <c r="N269" s="29"/>
      <c r="O269" s="30"/>
      <c r="P269" s="10"/>
      <c r="Q269" s="31"/>
      <c r="R269" s="28"/>
      <c r="S269" s="8"/>
      <c r="T269" s="29"/>
      <c r="U269" s="29"/>
      <c r="V269" s="8"/>
      <c r="W269" s="8"/>
      <c r="X269" s="29"/>
      <c r="Y269" s="8"/>
      <c r="Z269" s="29"/>
      <c r="AA269" s="8"/>
      <c r="AB269" s="32"/>
      <c r="AC269" s="32"/>
      <c r="AD269" s="32"/>
      <c r="AE269" s="32"/>
      <c r="AF269" s="14"/>
      <c r="AG269" s="33"/>
      <c r="AH269" s="33"/>
      <c r="AI269" s="33"/>
      <c r="AJ269" s="14"/>
      <c r="AK269" s="29"/>
      <c r="AL269" s="29"/>
      <c r="AM269" s="29"/>
    </row>
    <row r="270" spans="1:39" x14ac:dyDescent="0.25">
      <c r="A270" s="26"/>
      <c r="B270" s="27"/>
      <c r="C270" s="28"/>
      <c r="D270" s="8" t="s">
        <v>2</v>
      </c>
      <c r="E270" s="29"/>
      <c r="F270" s="30"/>
      <c r="G270" s="30"/>
      <c r="H270" s="29"/>
      <c r="I270" s="29"/>
      <c r="J270" s="29"/>
      <c r="K270" s="29"/>
      <c r="L270" s="29"/>
      <c r="M270" s="29"/>
      <c r="N270" s="29"/>
      <c r="O270" s="30"/>
      <c r="P270" s="10"/>
      <c r="Q270" s="31"/>
      <c r="R270" s="28"/>
      <c r="S270" s="8"/>
      <c r="T270" s="29"/>
      <c r="U270" s="29"/>
      <c r="V270" s="8"/>
      <c r="W270" s="8"/>
      <c r="X270" s="29"/>
      <c r="Y270" s="8"/>
      <c r="Z270" s="29"/>
      <c r="AA270" s="8"/>
      <c r="AB270" s="32"/>
      <c r="AC270" s="32"/>
      <c r="AD270" s="32"/>
      <c r="AE270" s="32"/>
      <c r="AF270" s="14"/>
      <c r="AG270" s="33"/>
      <c r="AH270" s="33"/>
      <c r="AI270" s="33"/>
      <c r="AJ270" s="14"/>
      <c r="AK270" s="29"/>
      <c r="AL270" s="29"/>
      <c r="AM270" s="29"/>
    </row>
    <row r="271" spans="1:39" x14ac:dyDescent="0.25">
      <c r="A271" s="26"/>
      <c r="B271" s="27"/>
      <c r="C271" s="28"/>
      <c r="D271" s="8" t="s">
        <v>2</v>
      </c>
      <c r="E271" s="29"/>
      <c r="F271" s="30"/>
      <c r="G271" s="30"/>
      <c r="H271" s="29"/>
      <c r="I271" s="29"/>
      <c r="J271" s="29"/>
      <c r="K271" s="29"/>
      <c r="L271" s="29"/>
      <c r="M271" s="29"/>
      <c r="N271" s="29"/>
      <c r="O271" s="30"/>
      <c r="P271" s="10"/>
      <c r="Q271" s="31"/>
      <c r="R271" s="28"/>
      <c r="S271" s="8"/>
      <c r="T271" s="29"/>
      <c r="U271" s="29"/>
      <c r="V271" s="8"/>
      <c r="W271" s="8"/>
      <c r="X271" s="29"/>
      <c r="Y271" s="8"/>
      <c r="Z271" s="29"/>
      <c r="AA271" s="8"/>
      <c r="AB271" s="32"/>
      <c r="AC271" s="32"/>
      <c r="AD271" s="32"/>
      <c r="AE271" s="32"/>
      <c r="AF271" s="14"/>
      <c r="AG271" s="33"/>
      <c r="AH271" s="33"/>
      <c r="AI271" s="33"/>
      <c r="AJ271" s="14"/>
      <c r="AK271" s="29"/>
      <c r="AL271" s="29"/>
      <c r="AM271" s="29"/>
    </row>
    <row r="272" spans="1:39" x14ac:dyDescent="0.25">
      <c r="A272" s="26"/>
      <c r="B272" s="27"/>
      <c r="C272" s="28"/>
      <c r="D272" s="8" t="s">
        <v>2</v>
      </c>
      <c r="E272" s="29"/>
      <c r="F272" s="30"/>
      <c r="G272" s="30"/>
      <c r="H272" s="29"/>
      <c r="I272" s="29"/>
      <c r="J272" s="29"/>
      <c r="K272" s="29"/>
      <c r="L272" s="29"/>
      <c r="M272" s="29"/>
      <c r="N272" s="29"/>
      <c r="O272" s="30"/>
      <c r="P272" s="10"/>
      <c r="Q272" s="31"/>
      <c r="R272" s="28"/>
      <c r="S272" s="8"/>
      <c r="T272" s="29"/>
      <c r="U272" s="29"/>
      <c r="V272" s="8"/>
      <c r="W272" s="8"/>
      <c r="X272" s="29"/>
      <c r="Y272" s="8"/>
      <c r="Z272" s="29"/>
      <c r="AA272" s="8"/>
      <c r="AB272" s="32"/>
      <c r="AC272" s="32"/>
      <c r="AD272" s="32"/>
      <c r="AE272" s="32"/>
      <c r="AF272" s="14"/>
      <c r="AG272" s="33"/>
      <c r="AH272" s="33"/>
      <c r="AI272" s="33"/>
      <c r="AJ272" s="14"/>
      <c r="AK272" s="29"/>
      <c r="AL272" s="29"/>
      <c r="AM272" s="29"/>
    </row>
    <row r="273" spans="1:39" x14ac:dyDescent="0.25">
      <c r="A273" s="26"/>
      <c r="B273" s="27"/>
      <c r="C273" s="28"/>
      <c r="D273" s="8" t="s">
        <v>2</v>
      </c>
      <c r="E273" s="29"/>
      <c r="F273" s="30"/>
      <c r="G273" s="30"/>
      <c r="H273" s="29"/>
      <c r="I273" s="29"/>
      <c r="J273" s="29"/>
      <c r="K273" s="29"/>
      <c r="L273" s="29"/>
      <c r="M273" s="29"/>
      <c r="N273" s="29"/>
      <c r="O273" s="30"/>
      <c r="P273" s="10"/>
      <c r="Q273" s="31"/>
      <c r="R273" s="28"/>
      <c r="S273" s="8"/>
      <c r="T273" s="29"/>
      <c r="U273" s="29"/>
      <c r="V273" s="8"/>
      <c r="W273" s="8"/>
      <c r="X273" s="29"/>
      <c r="Y273" s="8"/>
      <c r="Z273" s="29"/>
      <c r="AA273" s="8"/>
      <c r="AB273" s="32"/>
      <c r="AC273" s="32"/>
      <c r="AD273" s="32"/>
      <c r="AE273" s="32"/>
      <c r="AF273" s="14"/>
      <c r="AG273" s="33"/>
      <c r="AH273" s="33"/>
      <c r="AI273" s="33"/>
      <c r="AJ273" s="14"/>
      <c r="AK273" s="29"/>
      <c r="AL273" s="29"/>
      <c r="AM273" s="29"/>
    </row>
    <row r="274" spans="1:39" x14ac:dyDescent="0.25">
      <c r="A274" s="26"/>
      <c r="B274" s="27"/>
      <c r="C274" s="28"/>
      <c r="D274" s="8" t="s">
        <v>2</v>
      </c>
      <c r="E274" s="29"/>
      <c r="F274" s="30"/>
      <c r="G274" s="30"/>
      <c r="H274" s="29"/>
      <c r="I274" s="29"/>
      <c r="J274" s="29"/>
      <c r="K274" s="29"/>
      <c r="L274" s="29"/>
      <c r="M274" s="29"/>
      <c r="N274" s="29"/>
      <c r="O274" s="30"/>
      <c r="P274" s="10"/>
      <c r="Q274" s="31"/>
      <c r="R274" s="28"/>
      <c r="S274" s="8"/>
      <c r="T274" s="29"/>
      <c r="U274" s="29"/>
      <c r="V274" s="8"/>
      <c r="W274" s="8"/>
      <c r="X274" s="29"/>
      <c r="Y274" s="8"/>
      <c r="Z274" s="29"/>
      <c r="AA274" s="8"/>
      <c r="AB274" s="32"/>
      <c r="AC274" s="32"/>
      <c r="AD274" s="32"/>
      <c r="AE274" s="32"/>
      <c r="AF274" s="14"/>
      <c r="AG274" s="33"/>
      <c r="AH274" s="33"/>
      <c r="AI274" s="33"/>
      <c r="AJ274" s="14"/>
      <c r="AK274" s="29"/>
      <c r="AL274" s="29"/>
      <c r="AM274" s="29"/>
    </row>
    <row r="275" spans="1:39" x14ac:dyDescent="0.25">
      <c r="A275" s="26"/>
      <c r="B275" s="27"/>
      <c r="C275" s="28"/>
      <c r="D275" s="8" t="s">
        <v>2</v>
      </c>
      <c r="E275" s="29"/>
      <c r="F275" s="30"/>
      <c r="G275" s="30"/>
      <c r="H275" s="29"/>
      <c r="I275" s="29"/>
      <c r="J275" s="29"/>
      <c r="K275" s="29"/>
      <c r="L275" s="29"/>
      <c r="M275" s="29"/>
      <c r="N275" s="29"/>
      <c r="O275" s="30"/>
      <c r="P275" s="10"/>
      <c r="Q275" s="31"/>
      <c r="R275" s="28"/>
      <c r="S275" s="8"/>
      <c r="T275" s="29"/>
      <c r="U275" s="29"/>
      <c r="V275" s="8"/>
      <c r="W275" s="8"/>
      <c r="X275" s="29"/>
      <c r="Y275" s="8"/>
      <c r="Z275" s="29"/>
      <c r="AA275" s="8"/>
      <c r="AB275" s="32"/>
      <c r="AC275" s="32"/>
      <c r="AD275" s="32"/>
      <c r="AE275" s="32"/>
      <c r="AF275" s="14"/>
      <c r="AG275" s="33"/>
      <c r="AH275" s="33"/>
      <c r="AI275" s="33"/>
      <c r="AJ275" s="14"/>
      <c r="AK275" s="29"/>
      <c r="AL275" s="29"/>
      <c r="AM275" s="29"/>
    </row>
    <row r="276" spans="1:39" x14ac:dyDescent="0.25">
      <c r="A276" s="26"/>
      <c r="B276" s="27"/>
      <c r="C276" s="28"/>
      <c r="D276" s="8" t="s">
        <v>2</v>
      </c>
      <c r="E276" s="29"/>
      <c r="F276" s="30"/>
      <c r="G276" s="30"/>
      <c r="H276" s="29"/>
      <c r="I276" s="29"/>
      <c r="J276" s="29"/>
      <c r="K276" s="29"/>
      <c r="L276" s="29"/>
      <c r="M276" s="29"/>
      <c r="N276" s="29"/>
      <c r="O276" s="30"/>
      <c r="P276" s="10"/>
      <c r="Q276" s="31"/>
      <c r="R276" s="28"/>
      <c r="S276" s="8"/>
      <c r="T276" s="29"/>
      <c r="U276" s="29"/>
      <c r="V276" s="8"/>
      <c r="W276" s="8"/>
      <c r="X276" s="29"/>
      <c r="Y276" s="8"/>
      <c r="Z276" s="29"/>
      <c r="AA276" s="8"/>
      <c r="AB276" s="32"/>
      <c r="AC276" s="32"/>
      <c r="AD276" s="32"/>
      <c r="AE276" s="32"/>
      <c r="AF276" s="14"/>
      <c r="AG276" s="33"/>
      <c r="AH276" s="33"/>
      <c r="AI276" s="33"/>
      <c r="AJ276" s="14"/>
      <c r="AK276" s="29"/>
      <c r="AL276" s="29"/>
      <c r="AM276" s="29"/>
    </row>
    <row r="277" spans="1:39" x14ac:dyDescent="0.25">
      <c r="A277" s="26"/>
      <c r="B277" s="27"/>
      <c r="C277" s="28"/>
      <c r="D277" s="8" t="s">
        <v>2</v>
      </c>
      <c r="E277" s="29"/>
      <c r="F277" s="30"/>
      <c r="G277" s="30"/>
      <c r="H277" s="29"/>
      <c r="I277" s="29"/>
      <c r="J277" s="29"/>
      <c r="K277" s="29"/>
      <c r="L277" s="29"/>
      <c r="M277" s="29"/>
      <c r="N277" s="29"/>
      <c r="O277" s="30"/>
      <c r="P277" s="10"/>
      <c r="Q277" s="31"/>
      <c r="R277" s="28"/>
      <c r="S277" s="8"/>
      <c r="T277" s="29"/>
      <c r="U277" s="29"/>
      <c r="V277" s="8"/>
      <c r="W277" s="8"/>
      <c r="X277" s="29"/>
      <c r="Y277" s="8"/>
      <c r="Z277" s="29"/>
      <c r="AA277" s="8"/>
      <c r="AB277" s="32"/>
      <c r="AC277" s="32"/>
      <c r="AD277" s="32"/>
      <c r="AE277" s="32"/>
      <c r="AF277" s="14"/>
      <c r="AG277" s="33"/>
      <c r="AH277" s="33"/>
      <c r="AI277" s="33"/>
      <c r="AJ277" s="14"/>
      <c r="AK277" s="29"/>
      <c r="AL277" s="29"/>
      <c r="AM277" s="29"/>
    </row>
    <row r="278" spans="1:39" x14ac:dyDescent="0.25">
      <c r="A278" s="26"/>
      <c r="B278" s="27"/>
      <c r="C278" s="28"/>
      <c r="D278" s="8" t="s">
        <v>2</v>
      </c>
      <c r="E278" s="29"/>
      <c r="F278" s="30"/>
      <c r="G278" s="30"/>
      <c r="H278" s="29"/>
      <c r="I278" s="29"/>
      <c r="J278" s="29"/>
      <c r="K278" s="29"/>
      <c r="L278" s="29"/>
      <c r="M278" s="29"/>
      <c r="N278" s="29"/>
      <c r="O278" s="30"/>
      <c r="P278" s="10"/>
      <c r="Q278" s="31"/>
      <c r="R278" s="28"/>
      <c r="S278" s="8"/>
      <c r="T278" s="29"/>
      <c r="U278" s="29"/>
      <c r="V278" s="8"/>
      <c r="W278" s="8"/>
      <c r="X278" s="29"/>
      <c r="Y278" s="8"/>
      <c r="Z278" s="29"/>
      <c r="AA278" s="8"/>
      <c r="AB278" s="32"/>
      <c r="AC278" s="32"/>
      <c r="AD278" s="32"/>
      <c r="AE278" s="32"/>
      <c r="AF278" s="14"/>
      <c r="AG278" s="33"/>
      <c r="AH278" s="33"/>
      <c r="AI278" s="33"/>
      <c r="AJ278" s="14"/>
      <c r="AK278" s="29"/>
      <c r="AL278" s="29"/>
      <c r="AM278" s="29"/>
    </row>
    <row r="279" spans="1:39" x14ac:dyDescent="0.25">
      <c r="A279" s="26"/>
      <c r="B279" s="27"/>
      <c r="C279" s="28"/>
      <c r="D279" s="8" t="s">
        <v>2</v>
      </c>
      <c r="E279" s="29"/>
      <c r="F279" s="30"/>
      <c r="G279" s="30"/>
      <c r="H279" s="29"/>
      <c r="I279" s="29"/>
      <c r="J279" s="29"/>
      <c r="K279" s="29"/>
      <c r="L279" s="29"/>
      <c r="M279" s="29"/>
      <c r="N279" s="29"/>
      <c r="O279" s="30"/>
      <c r="P279" s="10"/>
      <c r="Q279" s="31"/>
      <c r="R279" s="28"/>
      <c r="S279" s="8"/>
      <c r="T279" s="29"/>
      <c r="U279" s="29"/>
      <c r="V279" s="8"/>
      <c r="W279" s="8"/>
      <c r="X279" s="29"/>
      <c r="Y279" s="8"/>
      <c r="Z279" s="29"/>
      <c r="AA279" s="8"/>
      <c r="AB279" s="32"/>
      <c r="AC279" s="32"/>
      <c r="AD279" s="32"/>
      <c r="AE279" s="32"/>
      <c r="AF279" s="14"/>
      <c r="AG279" s="33"/>
      <c r="AH279" s="33"/>
      <c r="AI279" s="33"/>
      <c r="AJ279" s="14"/>
      <c r="AK279" s="29"/>
      <c r="AL279" s="29"/>
      <c r="AM279" s="29"/>
    </row>
    <row r="280" spans="1:39" x14ac:dyDescent="0.25">
      <c r="A280" s="26"/>
      <c r="B280" s="27"/>
      <c r="C280" s="28"/>
      <c r="D280" s="8" t="s">
        <v>2</v>
      </c>
      <c r="E280" s="29"/>
      <c r="F280" s="30"/>
      <c r="G280" s="30"/>
      <c r="H280" s="29"/>
      <c r="I280" s="29"/>
      <c r="J280" s="29"/>
      <c r="K280" s="29"/>
      <c r="L280" s="29"/>
      <c r="M280" s="29"/>
      <c r="N280" s="29"/>
      <c r="O280" s="30"/>
      <c r="P280" s="10"/>
      <c r="Q280" s="31"/>
      <c r="R280" s="28"/>
      <c r="S280" s="8"/>
      <c r="T280" s="29"/>
      <c r="U280" s="29"/>
      <c r="V280" s="8"/>
      <c r="W280" s="8"/>
      <c r="X280" s="29"/>
      <c r="Y280" s="8"/>
      <c r="Z280" s="29"/>
      <c r="AA280" s="8"/>
      <c r="AB280" s="32"/>
      <c r="AC280" s="32"/>
      <c r="AD280" s="32"/>
      <c r="AE280" s="32"/>
      <c r="AF280" s="14"/>
      <c r="AG280" s="33"/>
      <c r="AH280" s="33"/>
      <c r="AI280" s="33"/>
      <c r="AJ280" s="14"/>
      <c r="AK280" s="29"/>
      <c r="AL280" s="29"/>
      <c r="AM280" s="29"/>
    </row>
    <row r="281" spans="1:39" x14ac:dyDescent="0.25">
      <c r="A281" s="26"/>
      <c r="B281" s="27"/>
      <c r="C281" s="28"/>
      <c r="D281" s="8" t="s">
        <v>2</v>
      </c>
      <c r="E281" s="29"/>
      <c r="F281" s="30"/>
      <c r="G281" s="30"/>
      <c r="H281" s="29"/>
      <c r="I281" s="29"/>
      <c r="J281" s="29"/>
      <c r="K281" s="29"/>
      <c r="L281" s="29"/>
      <c r="M281" s="29"/>
      <c r="N281" s="29"/>
      <c r="O281" s="30"/>
      <c r="P281" s="10"/>
      <c r="Q281" s="31"/>
      <c r="R281" s="28"/>
      <c r="S281" s="8"/>
      <c r="T281" s="29"/>
      <c r="U281" s="29"/>
      <c r="V281" s="8"/>
      <c r="W281" s="8"/>
      <c r="X281" s="29"/>
      <c r="Y281" s="8"/>
      <c r="Z281" s="29"/>
      <c r="AA281" s="8"/>
      <c r="AB281" s="32"/>
      <c r="AC281" s="32"/>
      <c r="AD281" s="32"/>
      <c r="AE281" s="32"/>
      <c r="AF281" s="14"/>
      <c r="AG281" s="33"/>
      <c r="AH281" s="33"/>
      <c r="AI281" s="33"/>
      <c r="AJ281" s="14"/>
      <c r="AK281" s="29"/>
      <c r="AL281" s="29"/>
      <c r="AM281" s="29"/>
    </row>
    <row r="282" spans="1:39" x14ac:dyDescent="0.25">
      <c r="A282" s="26"/>
      <c r="B282" s="27"/>
      <c r="C282" s="28"/>
      <c r="D282" s="8" t="s">
        <v>2</v>
      </c>
      <c r="E282" s="29"/>
      <c r="F282" s="30"/>
      <c r="G282" s="30"/>
      <c r="H282" s="29"/>
      <c r="I282" s="29"/>
      <c r="J282" s="29"/>
      <c r="K282" s="29"/>
      <c r="L282" s="29"/>
      <c r="M282" s="29"/>
      <c r="N282" s="29"/>
      <c r="O282" s="30"/>
      <c r="P282" s="10"/>
      <c r="Q282" s="31"/>
      <c r="R282" s="28"/>
      <c r="S282" s="8"/>
      <c r="T282" s="29"/>
      <c r="U282" s="29"/>
      <c r="V282" s="8"/>
      <c r="W282" s="8"/>
      <c r="X282" s="29"/>
      <c r="Y282" s="8"/>
      <c r="Z282" s="29"/>
      <c r="AA282" s="8"/>
      <c r="AB282" s="32"/>
      <c r="AC282" s="32"/>
      <c r="AD282" s="32"/>
      <c r="AE282" s="32"/>
      <c r="AF282" s="14"/>
      <c r="AG282" s="33"/>
      <c r="AH282" s="33"/>
      <c r="AI282" s="33"/>
      <c r="AJ282" s="14"/>
      <c r="AK282" s="29"/>
      <c r="AL282" s="29"/>
      <c r="AM282" s="29"/>
    </row>
    <row r="283" spans="1:39" x14ac:dyDescent="0.25">
      <c r="A283" s="26"/>
      <c r="B283" s="27"/>
      <c r="C283" s="28"/>
      <c r="D283" s="8" t="s">
        <v>2</v>
      </c>
      <c r="E283" s="29"/>
      <c r="F283" s="30"/>
      <c r="G283" s="30"/>
      <c r="H283" s="29"/>
      <c r="I283" s="29"/>
      <c r="J283" s="29"/>
      <c r="K283" s="29"/>
      <c r="L283" s="29"/>
      <c r="M283" s="29"/>
      <c r="N283" s="29"/>
      <c r="O283" s="30"/>
      <c r="P283" s="10"/>
      <c r="Q283" s="31"/>
      <c r="R283" s="28"/>
      <c r="S283" s="8"/>
      <c r="T283" s="29"/>
      <c r="U283" s="29"/>
      <c r="V283" s="8"/>
      <c r="W283" s="8"/>
      <c r="X283" s="29"/>
      <c r="Y283" s="8"/>
      <c r="Z283" s="29"/>
      <c r="AA283" s="8"/>
      <c r="AB283" s="32"/>
      <c r="AC283" s="32"/>
      <c r="AD283" s="32"/>
      <c r="AE283" s="32"/>
      <c r="AF283" s="14"/>
      <c r="AG283" s="33"/>
      <c r="AH283" s="33"/>
      <c r="AI283" s="33"/>
      <c r="AJ283" s="14"/>
      <c r="AK283" s="29"/>
      <c r="AL283" s="29"/>
      <c r="AM283" s="29"/>
    </row>
    <row r="284" spans="1:39" x14ac:dyDescent="0.25">
      <c r="A284" s="26"/>
      <c r="B284" s="27"/>
      <c r="C284" s="28"/>
      <c r="D284" s="8" t="s">
        <v>2</v>
      </c>
      <c r="E284" s="29"/>
      <c r="F284" s="30"/>
      <c r="G284" s="30"/>
      <c r="H284" s="29"/>
      <c r="I284" s="29"/>
      <c r="J284" s="29"/>
      <c r="K284" s="29"/>
      <c r="L284" s="29"/>
      <c r="M284" s="29"/>
      <c r="N284" s="29"/>
      <c r="O284" s="30"/>
      <c r="P284" s="10"/>
      <c r="Q284" s="31"/>
      <c r="R284" s="28"/>
      <c r="S284" s="8"/>
      <c r="T284" s="29"/>
      <c r="U284" s="29"/>
      <c r="V284" s="8"/>
      <c r="W284" s="8"/>
      <c r="X284" s="29"/>
      <c r="Y284" s="8"/>
      <c r="Z284" s="29"/>
      <c r="AA284" s="8"/>
      <c r="AB284" s="32"/>
      <c r="AC284" s="32"/>
      <c r="AD284" s="32"/>
      <c r="AE284" s="32"/>
      <c r="AF284" s="14"/>
      <c r="AG284" s="33"/>
      <c r="AH284" s="33"/>
      <c r="AI284" s="33"/>
      <c r="AJ284" s="14"/>
      <c r="AK284" s="29"/>
      <c r="AL284" s="29"/>
      <c r="AM284" s="29"/>
    </row>
    <row r="285" spans="1:39" x14ac:dyDescent="0.25">
      <c r="A285" s="26"/>
      <c r="B285" s="27"/>
      <c r="C285" s="28"/>
      <c r="D285" s="8" t="s">
        <v>2</v>
      </c>
      <c r="E285" s="29"/>
      <c r="F285" s="30"/>
      <c r="G285" s="30"/>
      <c r="H285" s="29"/>
      <c r="I285" s="29"/>
      <c r="J285" s="29"/>
      <c r="K285" s="29"/>
      <c r="L285" s="29"/>
      <c r="M285" s="29"/>
      <c r="N285" s="29"/>
      <c r="O285" s="30"/>
      <c r="P285" s="10"/>
      <c r="Q285" s="31"/>
      <c r="R285" s="28"/>
      <c r="S285" s="8"/>
      <c r="T285" s="29"/>
      <c r="U285" s="29"/>
      <c r="V285" s="8"/>
      <c r="W285" s="8"/>
      <c r="X285" s="29"/>
      <c r="Y285" s="8"/>
      <c r="Z285" s="29"/>
      <c r="AA285" s="8"/>
      <c r="AB285" s="32"/>
      <c r="AC285" s="32"/>
      <c r="AD285" s="32"/>
      <c r="AE285" s="32"/>
      <c r="AF285" s="14"/>
      <c r="AG285" s="33"/>
      <c r="AH285" s="33"/>
      <c r="AI285" s="33"/>
      <c r="AJ285" s="14"/>
      <c r="AK285" s="29"/>
      <c r="AL285" s="29"/>
      <c r="AM285" s="29"/>
    </row>
    <row r="286" spans="1:39" x14ac:dyDescent="0.25">
      <c r="A286" s="26"/>
      <c r="B286" s="27"/>
      <c r="C286" s="28"/>
      <c r="D286" s="8" t="s">
        <v>2</v>
      </c>
      <c r="E286" s="29"/>
      <c r="F286" s="30"/>
      <c r="G286" s="30"/>
      <c r="H286" s="29"/>
      <c r="I286" s="29"/>
      <c r="J286" s="29"/>
      <c r="K286" s="29"/>
      <c r="L286" s="29"/>
      <c r="M286" s="29"/>
      <c r="N286" s="29"/>
      <c r="O286" s="30"/>
      <c r="P286" s="10"/>
      <c r="Q286" s="31"/>
      <c r="R286" s="28"/>
      <c r="S286" s="8"/>
      <c r="T286" s="29"/>
      <c r="U286" s="29"/>
      <c r="V286" s="8"/>
      <c r="W286" s="8"/>
      <c r="X286" s="29"/>
      <c r="Y286" s="8"/>
      <c r="Z286" s="29"/>
      <c r="AA286" s="8"/>
      <c r="AB286" s="32"/>
      <c r="AC286" s="32"/>
      <c r="AD286" s="32"/>
      <c r="AE286" s="32"/>
      <c r="AF286" s="14"/>
      <c r="AG286" s="33"/>
      <c r="AH286" s="33"/>
      <c r="AI286" s="33"/>
      <c r="AJ286" s="14"/>
      <c r="AK286" s="29"/>
      <c r="AL286" s="29"/>
      <c r="AM286" s="29"/>
    </row>
    <row r="287" spans="1:39" x14ac:dyDescent="0.25">
      <c r="A287" s="26"/>
      <c r="B287" s="27"/>
      <c r="C287" s="28"/>
      <c r="D287" s="8" t="s">
        <v>2</v>
      </c>
      <c r="E287" s="29"/>
      <c r="F287" s="30"/>
      <c r="G287" s="30"/>
      <c r="H287" s="29"/>
      <c r="I287" s="29"/>
      <c r="J287" s="29"/>
      <c r="K287" s="29"/>
      <c r="L287" s="29"/>
      <c r="M287" s="29"/>
      <c r="N287" s="29"/>
      <c r="O287" s="30"/>
      <c r="P287" s="10"/>
      <c r="Q287" s="31"/>
      <c r="R287" s="28"/>
      <c r="S287" s="8"/>
      <c r="T287" s="29"/>
      <c r="U287" s="29"/>
      <c r="V287" s="8"/>
      <c r="W287" s="8"/>
      <c r="X287" s="29"/>
      <c r="Y287" s="8"/>
      <c r="Z287" s="29"/>
      <c r="AA287" s="8"/>
      <c r="AB287" s="32"/>
      <c r="AC287" s="32"/>
      <c r="AD287" s="32"/>
      <c r="AE287" s="32"/>
      <c r="AF287" s="14"/>
      <c r="AG287" s="33"/>
      <c r="AH287" s="33"/>
      <c r="AI287" s="33"/>
      <c r="AJ287" s="14"/>
      <c r="AK287" s="29"/>
      <c r="AL287" s="29"/>
      <c r="AM287" s="29"/>
    </row>
    <row r="288" spans="1:39" x14ac:dyDescent="0.25">
      <c r="A288" s="26"/>
      <c r="B288" s="27"/>
      <c r="C288" s="28"/>
      <c r="D288" s="8" t="s">
        <v>2</v>
      </c>
      <c r="E288" s="29"/>
      <c r="F288" s="30"/>
      <c r="G288" s="30"/>
      <c r="H288" s="29"/>
      <c r="I288" s="29"/>
      <c r="J288" s="29"/>
      <c r="K288" s="29"/>
      <c r="L288" s="29"/>
      <c r="M288" s="29"/>
      <c r="N288" s="29"/>
      <c r="O288" s="30"/>
      <c r="P288" s="10"/>
      <c r="Q288" s="31"/>
      <c r="R288" s="28"/>
      <c r="S288" s="8"/>
      <c r="T288" s="29"/>
      <c r="U288" s="29"/>
      <c r="V288" s="8"/>
      <c r="W288" s="8"/>
      <c r="X288" s="29"/>
      <c r="Y288" s="8"/>
      <c r="Z288" s="29"/>
      <c r="AA288" s="8"/>
      <c r="AB288" s="32"/>
      <c r="AC288" s="32"/>
      <c r="AD288" s="32"/>
      <c r="AE288" s="32"/>
      <c r="AF288" s="14"/>
      <c r="AG288" s="33"/>
      <c r="AH288" s="33"/>
      <c r="AI288" s="33"/>
      <c r="AJ288" s="14"/>
      <c r="AK288" s="29"/>
      <c r="AL288" s="29"/>
      <c r="AM288" s="29"/>
    </row>
    <row r="289" spans="1:39" x14ac:dyDescent="0.25">
      <c r="A289" s="26"/>
      <c r="B289" s="27"/>
      <c r="C289" s="28"/>
      <c r="D289" s="8" t="s">
        <v>2</v>
      </c>
      <c r="E289" s="29"/>
      <c r="F289" s="30"/>
      <c r="G289" s="30"/>
      <c r="H289" s="29"/>
      <c r="I289" s="29"/>
      <c r="J289" s="29"/>
      <c r="K289" s="29"/>
      <c r="L289" s="29"/>
      <c r="M289" s="29"/>
      <c r="N289" s="29"/>
      <c r="O289" s="30"/>
      <c r="P289" s="10"/>
      <c r="Q289" s="31"/>
      <c r="R289" s="28"/>
      <c r="S289" s="8"/>
      <c r="T289" s="29"/>
      <c r="U289" s="29"/>
      <c r="V289" s="8"/>
      <c r="W289" s="8"/>
      <c r="X289" s="29"/>
      <c r="Y289" s="8"/>
      <c r="Z289" s="29"/>
      <c r="AA289" s="8"/>
      <c r="AB289" s="32"/>
      <c r="AC289" s="32"/>
      <c r="AD289" s="32"/>
      <c r="AE289" s="32"/>
      <c r="AF289" s="14"/>
      <c r="AG289" s="33"/>
      <c r="AH289" s="33"/>
      <c r="AI289" s="33"/>
      <c r="AJ289" s="14"/>
      <c r="AK289" s="29"/>
      <c r="AL289" s="29"/>
      <c r="AM289" s="29"/>
    </row>
    <row r="290" spans="1:39" x14ac:dyDescent="0.25">
      <c r="A290" s="26"/>
      <c r="B290" s="27"/>
      <c r="C290" s="28"/>
      <c r="D290" s="8" t="s">
        <v>2</v>
      </c>
      <c r="E290" s="29"/>
      <c r="F290" s="30"/>
      <c r="G290" s="30"/>
      <c r="H290" s="29"/>
      <c r="I290" s="29"/>
      <c r="J290" s="29"/>
      <c r="K290" s="29"/>
      <c r="L290" s="29"/>
      <c r="M290" s="29"/>
      <c r="N290" s="29"/>
      <c r="O290" s="30"/>
      <c r="P290" s="10"/>
      <c r="Q290" s="31"/>
      <c r="R290" s="28"/>
      <c r="S290" s="8"/>
      <c r="T290" s="29"/>
      <c r="U290" s="29"/>
      <c r="V290" s="8"/>
      <c r="W290" s="8"/>
      <c r="X290" s="29"/>
      <c r="Y290" s="8"/>
      <c r="Z290" s="29"/>
      <c r="AA290" s="8"/>
      <c r="AB290" s="32"/>
      <c r="AC290" s="32"/>
      <c r="AD290" s="32"/>
      <c r="AE290" s="32"/>
      <c r="AF290" s="14"/>
      <c r="AG290" s="33"/>
      <c r="AH290" s="33"/>
      <c r="AI290" s="33"/>
      <c r="AJ290" s="14"/>
      <c r="AK290" s="29"/>
      <c r="AL290" s="29"/>
      <c r="AM290" s="29"/>
    </row>
    <row r="291" spans="1:39" x14ac:dyDescent="0.25">
      <c r="A291" s="26"/>
      <c r="B291" s="27"/>
      <c r="C291" s="28"/>
      <c r="D291" s="8" t="s">
        <v>2</v>
      </c>
      <c r="E291" s="29"/>
      <c r="F291" s="30"/>
      <c r="G291" s="30"/>
      <c r="H291" s="29"/>
      <c r="I291" s="29"/>
      <c r="J291" s="29"/>
      <c r="K291" s="29"/>
      <c r="L291" s="29"/>
      <c r="M291" s="29"/>
      <c r="N291" s="29"/>
      <c r="O291" s="30"/>
      <c r="P291" s="10"/>
      <c r="Q291" s="31"/>
      <c r="R291" s="28"/>
      <c r="S291" s="8"/>
      <c r="T291" s="29"/>
      <c r="U291" s="29"/>
      <c r="V291" s="8"/>
      <c r="W291" s="8"/>
      <c r="X291" s="29"/>
      <c r="Y291" s="8"/>
      <c r="Z291" s="29"/>
      <c r="AA291" s="8"/>
      <c r="AB291" s="32"/>
      <c r="AC291" s="32"/>
      <c r="AD291" s="32"/>
      <c r="AE291" s="32"/>
      <c r="AF291" s="14"/>
      <c r="AG291" s="33"/>
      <c r="AH291" s="33"/>
      <c r="AI291" s="33"/>
      <c r="AJ291" s="14"/>
      <c r="AK291" s="29"/>
      <c r="AL291" s="29"/>
      <c r="AM291" s="29"/>
    </row>
    <row r="292" spans="1:39" x14ac:dyDescent="0.25">
      <c r="A292" s="26"/>
      <c r="B292" s="27"/>
      <c r="C292" s="28"/>
      <c r="D292" s="8" t="s">
        <v>2</v>
      </c>
      <c r="E292" s="29"/>
      <c r="F292" s="30"/>
      <c r="G292" s="30"/>
      <c r="H292" s="29"/>
      <c r="I292" s="29"/>
      <c r="J292" s="29"/>
      <c r="K292" s="29"/>
      <c r="L292" s="29"/>
      <c r="M292" s="29"/>
      <c r="N292" s="29"/>
      <c r="O292" s="30"/>
      <c r="P292" s="10"/>
      <c r="Q292" s="31"/>
      <c r="R292" s="28"/>
      <c r="S292" s="8"/>
      <c r="T292" s="29"/>
      <c r="U292" s="29"/>
      <c r="V292" s="8"/>
      <c r="W292" s="8"/>
      <c r="X292" s="29"/>
      <c r="Y292" s="8"/>
      <c r="Z292" s="29"/>
      <c r="AA292" s="8"/>
      <c r="AB292" s="32"/>
      <c r="AC292" s="32"/>
      <c r="AD292" s="32"/>
      <c r="AE292" s="32"/>
      <c r="AF292" s="14"/>
      <c r="AG292" s="33"/>
      <c r="AH292" s="33"/>
      <c r="AI292" s="33"/>
      <c r="AJ292" s="14"/>
      <c r="AK292" s="29"/>
      <c r="AL292" s="29"/>
      <c r="AM292" s="29"/>
    </row>
    <row r="293" spans="1:39" x14ac:dyDescent="0.25">
      <c r="A293" s="26"/>
      <c r="B293" s="27"/>
      <c r="C293" s="28"/>
      <c r="D293" s="8" t="s">
        <v>2</v>
      </c>
      <c r="E293" s="29"/>
      <c r="F293" s="30"/>
      <c r="G293" s="30"/>
      <c r="H293" s="29"/>
      <c r="I293" s="29"/>
      <c r="J293" s="29"/>
      <c r="K293" s="29"/>
      <c r="L293" s="29"/>
      <c r="M293" s="29"/>
      <c r="N293" s="29"/>
      <c r="O293" s="30"/>
      <c r="P293" s="10"/>
      <c r="Q293" s="31"/>
      <c r="R293" s="28"/>
      <c r="S293" s="8"/>
      <c r="T293" s="29"/>
      <c r="U293" s="29"/>
      <c r="V293" s="8"/>
      <c r="W293" s="8"/>
      <c r="X293" s="29"/>
      <c r="Y293" s="8"/>
      <c r="Z293" s="29"/>
      <c r="AA293" s="8"/>
      <c r="AB293" s="32"/>
      <c r="AC293" s="32"/>
      <c r="AD293" s="32"/>
      <c r="AE293" s="32"/>
      <c r="AF293" s="14"/>
      <c r="AG293" s="33"/>
      <c r="AH293" s="33"/>
      <c r="AI293" s="33"/>
      <c r="AJ293" s="14"/>
      <c r="AK293" s="29"/>
      <c r="AL293" s="29"/>
      <c r="AM293" s="29"/>
    </row>
    <row r="294" spans="1:39" x14ac:dyDescent="0.25">
      <c r="A294" s="26"/>
      <c r="B294" s="27"/>
      <c r="C294" s="28"/>
      <c r="D294" s="8" t="s">
        <v>2</v>
      </c>
      <c r="E294" s="29"/>
      <c r="F294" s="30"/>
      <c r="G294" s="30"/>
      <c r="H294" s="29"/>
      <c r="I294" s="29"/>
      <c r="J294" s="29"/>
      <c r="K294" s="29"/>
      <c r="L294" s="29"/>
      <c r="M294" s="29"/>
      <c r="N294" s="29"/>
      <c r="O294" s="30"/>
      <c r="P294" s="10"/>
      <c r="Q294" s="31"/>
      <c r="R294" s="28"/>
      <c r="S294" s="8"/>
      <c r="T294" s="29"/>
      <c r="U294" s="29"/>
      <c r="V294" s="8"/>
      <c r="W294" s="8"/>
      <c r="X294" s="29"/>
      <c r="Y294" s="8"/>
      <c r="Z294" s="29"/>
      <c r="AA294" s="8"/>
      <c r="AB294" s="32"/>
      <c r="AC294" s="32"/>
      <c r="AD294" s="32"/>
      <c r="AE294" s="32"/>
      <c r="AF294" s="14"/>
      <c r="AG294" s="33"/>
      <c r="AH294" s="33"/>
      <c r="AI294" s="33"/>
      <c r="AJ294" s="14"/>
      <c r="AK294" s="29"/>
      <c r="AL294" s="29"/>
      <c r="AM294" s="29"/>
    </row>
    <row r="295" spans="1:39" x14ac:dyDescent="0.25">
      <c r="A295" s="26"/>
      <c r="B295" s="27"/>
      <c r="C295" s="28"/>
      <c r="D295" s="8" t="s">
        <v>2</v>
      </c>
      <c r="E295" s="29"/>
      <c r="F295" s="30"/>
      <c r="G295" s="30"/>
      <c r="H295" s="29"/>
      <c r="I295" s="29"/>
      <c r="J295" s="29"/>
      <c r="K295" s="29"/>
      <c r="L295" s="29"/>
      <c r="M295" s="29"/>
      <c r="N295" s="29"/>
      <c r="O295" s="30"/>
      <c r="P295" s="10"/>
      <c r="Q295" s="31"/>
      <c r="R295" s="28"/>
      <c r="S295" s="8"/>
      <c r="T295" s="29"/>
      <c r="U295" s="29"/>
      <c r="V295" s="8"/>
      <c r="W295" s="8"/>
      <c r="X295" s="29"/>
      <c r="Y295" s="8"/>
      <c r="Z295" s="29"/>
      <c r="AA295" s="8"/>
      <c r="AB295" s="32"/>
      <c r="AC295" s="32"/>
      <c r="AD295" s="32"/>
      <c r="AE295" s="32"/>
      <c r="AF295" s="14"/>
      <c r="AG295" s="33"/>
      <c r="AH295" s="33"/>
      <c r="AI295" s="33"/>
      <c r="AJ295" s="14"/>
      <c r="AK295" s="29"/>
      <c r="AL295" s="29"/>
      <c r="AM295" s="29"/>
    </row>
    <row r="296" spans="1:39" x14ac:dyDescent="0.25">
      <c r="A296" s="26"/>
      <c r="B296" s="27"/>
      <c r="C296" s="28"/>
      <c r="D296" s="8" t="s">
        <v>2</v>
      </c>
      <c r="E296" s="29"/>
      <c r="F296" s="30"/>
      <c r="G296" s="30"/>
      <c r="H296" s="29"/>
      <c r="I296" s="29"/>
      <c r="J296" s="29"/>
      <c r="K296" s="29"/>
      <c r="L296" s="29"/>
      <c r="M296" s="29"/>
      <c r="N296" s="29"/>
      <c r="O296" s="30"/>
      <c r="P296" s="10"/>
      <c r="Q296" s="31"/>
      <c r="R296" s="28"/>
      <c r="S296" s="8"/>
      <c r="T296" s="29"/>
      <c r="U296" s="29"/>
      <c r="V296" s="8"/>
      <c r="W296" s="8"/>
      <c r="X296" s="29"/>
      <c r="Y296" s="8"/>
      <c r="Z296" s="29"/>
      <c r="AA296" s="8"/>
      <c r="AB296" s="32"/>
      <c r="AC296" s="32"/>
      <c r="AD296" s="32"/>
      <c r="AE296" s="32"/>
      <c r="AF296" s="14"/>
      <c r="AG296" s="33"/>
      <c r="AH296" s="33"/>
      <c r="AI296" s="33"/>
      <c r="AJ296" s="14"/>
      <c r="AK296" s="29"/>
      <c r="AL296" s="29"/>
      <c r="AM296" s="29"/>
    </row>
    <row r="297" spans="1:39" x14ac:dyDescent="0.25">
      <c r="A297" s="26"/>
      <c r="B297" s="27"/>
      <c r="C297" s="28"/>
      <c r="D297" s="8" t="s">
        <v>2</v>
      </c>
      <c r="E297" s="29"/>
      <c r="F297" s="30"/>
      <c r="G297" s="30"/>
      <c r="H297" s="29"/>
      <c r="I297" s="29"/>
      <c r="J297" s="29"/>
      <c r="K297" s="29"/>
      <c r="L297" s="29"/>
      <c r="M297" s="29"/>
      <c r="N297" s="29"/>
      <c r="O297" s="30"/>
      <c r="P297" s="10"/>
      <c r="Q297" s="31"/>
      <c r="R297" s="28"/>
      <c r="S297" s="8"/>
      <c r="T297" s="29"/>
      <c r="U297" s="29"/>
      <c r="V297" s="8"/>
      <c r="W297" s="8"/>
      <c r="X297" s="29"/>
      <c r="Y297" s="8"/>
      <c r="Z297" s="29"/>
      <c r="AA297" s="8"/>
      <c r="AB297" s="32"/>
      <c r="AC297" s="32"/>
      <c r="AD297" s="32"/>
      <c r="AE297" s="32"/>
      <c r="AF297" s="14"/>
      <c r="AG297" s="33"/>
      <c r="AH297" s="33"/>
      <c r="AI297" s="33"/>
      <c r="AJ297" s="14"/>
      <c r="AK297" s="29"/>
      <c r="AL297" s="29"/>
      <c r="AM297" s="29"/>
    </row>
    <row r="298" spans="1:39" x14ac:dyDescent="0.25">
      <c r="A298" s="26"/>
      <c r="B298" s="27"/>
      <c r="C298" s="28"/>
      <c r="D298" s="8" t="s">
        <v>2</v>
      </c>
      <c r="E298" s="29"/>
      <c r="F298" s="30"/>
      <c r="G298" s="30"/>
      <c r="H298" s="29"/>
      <c r="I298" s="29"/>
      <c r="J298" s="29"/>
      <c r="K298" s="29"/>
      <c r="L298" s="29"/>
      <c r="M298" s="29"/>
      <c r="N298" s="29"/>
      <c r="O298" s="30"/>
      <c r="P298" s="10"/>
      <c r="Q298" s="31"/>
      <c r="R298" s="28"/>
      <c r="S298" s="8"/>
      <c r="T298" s="29"/>
      <c r="U298" s="29"/>
      <c r="V298" s="8"/>
      <c r="W298" s="8"/>
      <c r="X298" s="29"/>
      <c r="Y298" s="8"/>
      <c r="Z298" s="29"/>
      <c r="AA298" s="8"/>
      <c r="AB298" s="32"/>
      <c r="AC298" s="32"/>
      <c r="AD298" s="32"/>
      <c r="AE298" s="32"/>
      <c r="AF298" s="14"/>
      <c r="AG298" s="33"/>
      <c r="AH298" s="33"/>
      <c r="AI298" s="33"/>
      <c r="AJ298" s="14"/>
      <c r="AK298" s="29"/>
      <c r="AL298" s="29"/>
      <c r="AM298" s="29"/>
    </row>
    <row r="299" spans="1:39" x14ac:dyDescent="0.25">
      <c r="A299" s="26"/>
      <c r="B299" s="27"/>
      <c r="C299" s="28"/>
      <c r="D299" s="8" t="s">
        <v>2</v>
      </c>
      <c r="E299" s="29"/>
      <c r="F299" s="30"/>
      <c r="G299" s="30"/>
      <c r="H299" s="29"/>
      <c r="I299" s="29"/>
      <c r="J299" s="29"/>
      <c r="K299" s="29"/>
      <c r="L299" s="29"/>
      <c r="M299" s="29"/>
      <c r="N299" s="29"/>
      <c r="O299" s="30"/>
      <c r="P299" s="10"/>
      <c r="Q299" s="31"/>
      <c r="R299" s="28"/>
      <c r="S299" s="8"/>
      <c r="T299" s="29"/>
      <c r="U299" s="29"/>
      <c r="V299" s="8"/>
      <c r="W299" s="8"/>
      <c r="X299" s="29"/>
      <c r="Y299" s="8"/>
      <c r="Z299" s="29"/>
      <c r="AA299" s="8"/>
      <c r="AB299" s="32"/>
      <c r="AC299" s="32"/>
      <c r="AD299" s="32"/>
      <c r="AE299" s="32"/>
      <c r="AF299" s="14"/>
      <c r="AG299" s="33"/>
      <c r="AH299" s="33"/>
      <c r="AI299" s="33"/>
      <c r="AJ299" s="14"/>
      <c r="AK299" s="29"/>
      <c r="AL299" s="29"/>
      <c r="AM299" s="29"/>
    </row>
    <row r="300" spans="1:39" x14ac:dyDescent="0.25">
      <c r="A300" s="26"/>
      <c r="B300" s="27"/>
      <c r="C300" s="28"/>
      <c r="D300" s="8" t="s">
        <v>2</v>
      </c>
      <c r="E300" s="29"/>
      <c r="F300" s="30"/>
      <c r="G300" s="30"/>
      <c r="H300" s="29"/>
      <c r="I300" s="29"/>
      <c r="J300" s="29"/>
      <c r="K300" s="29"/>
      <c r="L300" s="29"/>
      <c r="M300" s="29"/>
      <c r="N300" s="29"/>
      <c r="O300" s="30"/>
      <c r="P300" s="10"/>
      <c r="Q300" s="31"/>
      <c r="R300" s="28"/>
      <c r="S300" s="8"/>
      <c r="T300" s="29"/>
      <c r="U300" s="29"/>
      <c r="V300" s="8"/>
      <c r="W300" s="8"/>
      <c r="X300" s="29"/>
      <c r="Y300" s="8"/>
      <c r="Z300" s="29"/>
      <c r="AA300" s="8"/>
      <c r="AB300" s="32"/>
      <c r="AC300" s="32"/>
      <c r="AD300" s="32"/>
      <c r="AE300" s="32"/>
      <c r="AF300" s="14"/>
      <c r="AG300" s="33"/>
      <c r="AH300" s="33"/>
      <c r="AI300" s="33"/>
      <c r="AJ300" s="14"/>
      <c r="AK300" s="29"/>
      <c r="AL300" s="29"/>
      <c r="AM300" s="29"/>
    </row>
    <row r="301" spans="1:39" x14ac:dyDescent="0.25">
      <c r="A301" s="26"/>
      <c r="B301" s="27"/>
      <c r="C301" s="28"/>
      <c r="D301" s="8" t="s">
        <v>2</v>
      </c>
      <c r="E301" s="29"/>
      <c r="F301" s="30"/>
      <c r="G301" s="30"/>
      <c r="H301" s="29"/>
      <c r="I301" s="29"/>
      <c r="J301" s="29"/>
      <c r="K301" s="29"/>
      <c r="L301" s="29"/>
      <c r="M301" s="29"/>
      <c r="N301" s="29"/>
      <c r="O301" s="30"/>
      <c r="P301" s="10"/>
      <c r="Q301" s="31"/>
      <c r="R301" s="28"/>
      <c r="S301" s="8"/>
      <c r="T301" s="29"/>
      <c r="U301" s="29"/>
      <c r="V301" s="8"/>
      <c r="W301" s="8"/>
      <c r="X301" s="29"/>
      <c r="Y301" s="8"/>
      <c r="Z301" s="29"/>
      <c r="AA301" s="8"/>
      <c r="AB301" s="32"/>
      <c r="AC301" s="32"/>
      <c r="AD301" s="32"/>
      <c r="AE301" s="32"/>
      <c r="AF301" s="14"/>
      <c r="AG301" s="33"/>
      <c r="AH301" s="33"/>
      <c r="AI301" s="33"/>
      <c r="AJ301" s="14"/>
      <c r="AK301" s="29"/>
      <c r="AL301" s="29"/>
      <c r="AM301" s="29"/>
    </row>
    <row r="302" spans="1:39" x14ac:dyDescent="0.25">
      <c r="A302" s="26"/>
      <c r="B302" s="27"/>
      <c r="C302" s="28"/>
      <c r="D302" s="8" t="s">
        <v>2</v>
      </c>
      <c r="E302" s="29"/>
      <c r="F302" s="30"/>
      <c r="G302" s="30"/>
      <c r="H302" s="29"/>
      <c r="I302" s="29"/>
      <c r="J302" s="29"/>
      <c r="K302" s="29"/>
      <c r="L302" s="29"/>
      <c r="M302" s="29"/>
      <c r="N302" s="29"/>
      <c r="O302" s="30"/>
      <c r="P302" s="10"/>
      <c r="Q302" s="31"/>
      <c r="R302" s="28"/>
      <c r="S302" s="8"/>
      <c r="T302" s="29"/>
      <c r="U302" s="29"/>
      <c r="V302" s="8"/>
      <c r="W302" s="8"/>
      <c r="X302" s="29"/>
      <c r="Y302" s="8"/>
      <c r="Z302" s="29"/>
      <c r="AA302" s="8"/>
      <c r="AB302" s="32"/>
      <c r="AC302" s="32"/>
      <c r="AD302" s="32"/>
      <c r="AE302" s="32"/>
      <c r="AF302" s="14"/>
      <c r="AG302" s="33"/>
      <c r="AH302" s="33"/>
      <c r="AI302" s="33"/>
      <c r="AJ302" s="14"/>
      <c r="AK302" s="29"/>
      <c r="AL302" s="29"/>
      <c r="AM302" s="29"/>
    </row>
    <row r="303" spans="1:39" x14ac:dyDescent="0.25">
      <c r="A303" s="26"/>
      <c r="B303" s="27"/>
      <c r="C303" s="28"/>
      <c r="D303" s="8" t="s">
        <v>2</v>
      </c>
      <c r="E303" s="29"/>
      <c r="F303" s="30"/>
      <c r="G303" s="30"/>
      <c r="H303" s="29"/>
      <c r="I303" s="29"/>
      <c r="J303" s="29"/>
      <c r="K303" s="29"/>
      <c r="L303" s="29"/>
      <c r="M303" s="29"/>
      <c r="N303" s="29"/>
      <c r="O303" s="30"/>
      <c r="P303" s="10"/>
      <c r="Q303" s="31"/>
      <c r="R303" s="28"/>
      <c r="S303" s="8"/>
      <c r="T303" s="29"/>
      <c r="U303" s="29"/>
      <c r="V303" s="8"/>
      <c r="W303" s="8"/>
      <c r="X303" s="29"/>
      <c r="Y303" s="8"/>
      <c r="Z303" s="29"/>
      <c r="AA303" s="8"/>
      <c r="AB303" s="32"/>
      <c r="AC303" s="32"/>
      <c r="AD303" s="32"/>
      <c r="AE303" s="32"/>
      <c r="AF303" s="14"/>
      <c r="AG303" s="33"/>
      <c r="AH303" s="33"/>
      <c r="AI303" s="33"/>
      <c r="AJ303" s="14"/>
      <c r="AK303" s="29"/>
      <c r="AL303" s="29"/>
      <c r="AM303" s="29"/>
    </row>
    <row r="304" spans="1:39" x14ac:dyDescent="0.25">
      <c r="A304" s="26"/>
      <c r="B304" s="27"/>
      <c r="C304" s="28"/>
      <c r="D304" s="8" t="s">
        <v>2</v>
      </c>
      <c r="E304" s="29"/>
      <c r="F304" s="30"/>
      <c r="G304" s="30"/>
      <c r="H304" s="29"/>
      <c r="I304" s="29"/>
      <c r="J304" s="29"/>
      <c r="K304" s="29"/>
      <c r="L304" s="29"/>
      <c r="M304" s="29"/>
      <c r="N304" s="29"/>
      <c r="O304" s="30"/>
      <c r="P304" s="10"/>
      <c r="Q304" s="31"/>
      <c r="R304" s="28"/>
      <c r="S304" s="8"/>
      <c r="T304" s="29"/>
      <c r="U304" s="29"/>
      <c r="V304" s="8"/>
      <c r="W304" s="8"/>
      <c r="X304" s="29"/>
      <c r="Y304" s="8"/>
      <c r="Z304" s="29"/>
      <c r="AA304" s="8"/>
      <c r="AB304" s="32"/>
      <c r="AC304" s="32"/>
      <c r="AD304" s="32"/>
      <c r="AE304" s="32"/>
      <c r="AF304" s="14"/>
      <c r="AG304" s="33"/>
      <c r="AH304" s="33"/>
      <c r="AI304" s="33"/>
      <c r="AJ304" s="14"/>
      <c r="AK304" s="29"/>
      <c r="AL304" s="29"/>
      <c r="AM304" s="29"/>
    </row>
    <row r="305" spans="1:39" x14ac:dyDescent="0.25">
      <c r="A305" s="26"/>
      <c r="B305" s="27"/>
      <c r="C305" s="28"/>
      <c r="D305" s="8" t="s">
        <v>2</v>
      </c>
      <c r="E305" s="29"/>
      <c r="F305" s="30"/>
      <c r="G305" s="30"/>
      <c r="H305" s="29"/>
      <c r="I305" s="29"/>
      <c r="J305" s="29"/>
      <c r="K305" s="29"/>
      <c r="L305" s="29"/>
      <c r="M305" s="29"/>
      <c r="N305" s="29"/>
      <c r="O305" s="30"/>
      <c r="P305" s="10"/>
      <c r="Q305" s="31"/>
      <c r="R305" s="28"/>
      <c r="S305" s="8"/>
      <c r="T305" s="29"/>
      <c r="U305" s="29"/>
      <c r="V305" s="8"/>
      <c r="W305" s="8"/>
      <c r="X305" s="29"/>
      <c r="Y305" s="8"/>
      <c r="Z305" s="29"/>
      <c r="AA305" s="8"/>
      <c r="AB305" s="32"/>
      <c r="AC305" s="32"/>
      <c r="AD305" s="32"/>
      <c r="AE305" s="32"/>
      <c r="AF305" s="14"/>
      <c r="AG305" s="33"/>
      <c r="AH305" s="33"/>
      <c r="AI305" s="33"/>
      <c r="AJ305" s="14"/>
      <c r="AK305" s="29"/>
      <c r="AL305" s="29"/>
      <c r="AM305" s="29"/>
    </row>
    <row r="306" spans="1:39" x14ac:dyDescent="0.25">
      <c r="B306" s="14"/>
      <c r="C306" s="9"/>
      <c r="D306" s="8" t="s">
        <v>2</v>
      </c>
      <c r="E306" s="8"/>
      <c r="F306" s="10"/>
      <c r="G306" s="10"/>
      <c r="H306" s="8"/>
      <c r="I306" s="8"/>
      <c r="J306" s="8"/>
      <c r="K306" s="8"/>
      <c r="L306" s="8"/>
      <c r="M306" s="8"/>
      <c r="N306" s="8"/>
      <c r="O306" s="10"/>
      <c r="P306" s="10"/>
      <c r="Q306" s="11"/>
      <c r="R306" s="9"/>
      <c r="S306" s="8"/>
      <c r="T306" s="8"/>
      <c r="U306" s="8"/>
      <c r="V306" s="8"/>
      <c r="W306" s="8"/>
      <c r="X306" s="8"/>
      <c r="Y306" s="8"/>
      <c r="Z306" s="8"/>
      <c r="AA306" s="8"/>
      <c r="AB306" s="12"/>
      <c r="AC306" s="12"/>
      <c r="AD306" s="12"/>
      <c r="AE306" s="12"/>
      <c r="AF306" s="14"/>
      <c r="AG306" s="17"/>
      <c r="AH306" s="17"/>
      <c r="AI306" s="17"/>
      <c r="AJ306" s="14"/>
      <c r="AK306" s="8"/>
      <c r="AL306" s="8"/>
      <c r="AM306" s="8"/>
    </row>
    <row r="307" spans="1:39" x14ac:dyDescent="0.25">
      <c r="B307" s="14"/>
      <c r="C307" s="9"/>
      <c r="D307" s="8" t="s">
        <v>2</v>
      </c>
      <c r="E307" s="8"/>
      <c r="F307" s="10"/>
      <c r="G307" s="10"/>
      <c r="H307" s="8"/>
      <c r="I307" s="8"/>
      <c r="J307" s="8"/>
      <c r="K307" s="8"/>
      <c r="L307" s="8"/>
      <c r="M307" s="8"/>
      <c r="N307" s="8"/>
      <c r="O307" s="10"/>
      <c r="P307" s="10"/>
      <c r="Q307" s="11"/>
      <c r="R307" s="9"/>
      <c r="S307" s="8"/>
      <c r="T307" s="8"/>
      <c r="U307" s="8"/>
      <c r="V307" s="8"/>
      <c r="W307" s="8"/>
      <c r="X307" s="8"/>
      <c r="Y307" s="8"/>
      <c r="Z307" s="8"/>
      <c r="AA307" s="8"/>
      <c r="AB307" s="12"/>
      <c r="AC307" s="12"/>
      <c r="AD307" s="12"/>
      <c r="AE307" s="12"/>
      <c r="AF307" s="14"/>
      <c r="AG307" s="17"/>
      <c r="AH307" s="17"/>
      <c r="AI307" s="17"/>
      <c r="AJ307" s="14"/>
      <c r="AK307" s="8"/>
      <c r="AL307" s="8"/>
      <c r="AM307" s="8"/>
    </row>
    <row r="308" spans="1:39" x14ac:dyDescent="0.25">
      <c r="B308" s="8"/>
      <c r="C308" s="8"/>
      <c r="D308" s="8" t="s">
        <v>2</v>
      </c>
      <c r="E308" s="8"/>
      <c r="F308" s="10"/>
      <c r="G308" s="10"/>
      <c r="H308" s="8"/>
      <c r="I308" s="8"/>
      <c r="J308" s="8"/>
      <c r="K308" s="8"/>
      <c r="L308" s="8"/>
      <c r="M308" s="8"/>
      <c r="N308" s="8"/>
      <c r="O308" s="8"/>
      <c r="P308" s="8"/>
      <c r="Q308" s="11"/>
      <c r="R308" s="9"/>
      <c r="S308" s="8"/>
      <c r="T308" s="8"/>
      <c r="U308" s="8"/>
      <c r="V308" s="8"/>
      <c r="W308" s="8"/>
      <c r="X308" s="8"/>
      <c r="Y308" s="8"/>
      <c r="Z308" s="8"/>
      <c r="AA308" s="8"/>
      <c r="AB308" s="13"/>
      <c r="AC308" s="13"/>
      <c r="AD308" s="13"/>
      <c r="AE308" s="13"/>
      <c r="AF308" s="14"/>
      <c r="AG308" s="17"/>
      <c r="AH308" s="17"/>
      <c r="AI308" s="17"/>
      <c r="AJ308" s="14"/>
      <c r="AK308" s="8"/>
      <c r="AL308" s="8"/>
      <c r="AM308" s="8"/>
    </row>
    <row r="309" spans="1:39" x14ac:dyDescent="0.25">
      <c r="B309" s="8"/>
      <c r="C309" s="8"/>
      <c r="D309" s="8" t="s">
        <v>2</v>
      </c>
      <c r="E309" s="8"/>
      <c r="F309" s="10"/>
      <c r="G309" s="10"/>
      <c r="H309" s="8"/>
      <c r="I309" s="8"/>
      <c r="J309" s="8"/>
      <c r="K309" s="8"/>
      <c r="L309" s="8"/>
      <c r="M309" s="8"/>
      <c r="N309" s="8"/>
      <c r="O309" s="8"/>
      <c r="P309" s="8"/>
      <c r="Q309" s="11"/>
      <c r="R309" s="9"/>
      <c r="S309" s="8"/>
      <c r="T309" s="8"/>
      <c r="U309" s="8"/>
      <c r="V309" s="8"/>
      <c r="W309" s="8"/>
      <c r="X309" s="8"/>
      <c r="Y309" s="8"/>
      <c r="Z309" s="8"/>
      <c r="AA309" s="8"/>
      <c r="AB309" s="13"/>
      <c r="AC309" s="13"/>
      <c r="AD309" s="13"/>
      <c r="AE309" s="13"/>
      <c r="AF309" s="14"/>
      <c r="AG309" s="17"/>
      <c r="AH309" s="17"/>
      <c r="AI309" s="17"/>
      <c r="AJ309" s="14"/>
      <c r="AK309" s="8"/>
      <c r="AL309" s="8"/>
      <c r="AM309" s="8"/>
    </row>
  </sheetData>
  <customSheetViews>
    <customSheetView guid="{250915DF-0B97-45D7-B29D-7EED4C89C1C1}" scale="85" topLeftCell="A31">
      <pane xSplit="2" ySplit="17" topLeftCell="C48" activePane="bottomRight" state="frozen"/>
      <selection pane="bottomRight" activeCell="E59" sqref="E59"/>
      <pageMargins left="0.7" right="0.7" top="0.75" bottom="0.75" header="0.3" footer="0.3"/>
      <pageSetup orientation="portrait" horizontalDpi="300" verticalDpi="0" r:id="rId1"/>
    </customSheetView>
    <customSheetView guid="{A2C66332-A809-458E-971B-FDB6D62C74C3}" scale="85" filter="1" showAutoFilter="1" hiddenColumns="1">
      <selection activeCell="I9" sqref="I9"/>
      <pageMargins left="0.7" right="0.7" top="0.75" bottom="0.75" header="0.3" footer="0.3"/>
      <pageSetup orientation="portrait" horizontalDpi="300" verticalDpi="0" r:id="rId2"/>
      <autoFilter ref="B62:AM242">
        <filterColumn colId="17">
          <filters>
            <filter val="dac.luu-cong"/>
          </filters>
        </filterColumn>
      </autoFilter>
    </customSheetView>
    <customSheetView guid="{7ECC2B8E-6A82-42F5-8AB0-4A51C54EA5EC}" scale="70" filter="1" showAutoFilter="1" topLeftCell="R46">
      <selection activeCell="Y191" sqref="Y191"/>
      <pageMargins left="0.7" right="0.7" top="0.75" bottom="0.75" header="0.3" footer="0.3"/>
      <pageSetup orientation="portrait" horizontalDpi="300" verticalDpi="0" r:id="rId3"/>
      <autoFilter ref="B62:AM185">
        <filterColumn colId="17">
          <filters>
            <filter val="hau.nguyen-tai"/>
          </filters>
        </filterColumn>
      </autoFilter>
    </customSheetView>
    <customSheetView guid="{3B3E6719-EACB-4D2C-89C1-05FFAB6020FD}" scale="85" topLeftCell="A105">
      <selection activeCell="A149" sqref="A149"/>
      <pageMargins left="0.7" right="0.7" top="0.75" bottom="0.75" header="0.3" footer="0.3"/>
      <pageSetup orientation="portrait" horizontalDpi="300" verticalDpi="0" r:id="rId4"/>
    </customSheetView>
    <customSheetView guid="{336B6883-2145-4B58-921E-CEC7185A847E}" scale="70">
      <selection activeCell="H37" sqref="H37"/>
      <pageMargins left="0.7" right="0.7" top="0.75" bottom="0.75" header="0.3" footer="0.3"/>
      <pageSetup orientation="portrait" horizontalDpi="300" verticalDpi="0" r:id="rId5"/>
    </customSheetView>
    <customSheetView guid="{D33AC7AF-C8AB-4CE9-94C7-9237011A5FC3}" scale="85" showAutoFilter="1" topLeftCell="M99">
      <selection activeCell="AA135" sqref="AA135"/>
      <pageMargins left="0.7" right="0.7" top="0.75" bottom="0.75" header="0.3" footer="0.3"/>
      <pageSetup orientation="portrait" horizontalDpi="300" verticalDpi="0" r:id="rId6"/>
      <autoFilter ref="B62:AM165"/>
    </customSheetView>
  </customSheetViews>
  <conditionalFormatting sqref="AF48 AF52:AF101 AF103:AF113">
    <cfRule type="cellIs" dxfId="47" priority="51" operator="equal">
      <formula>"OK"</formula>
    </cfRule>
    <cfRule type="cellIs" dxfId="46" priority="52" operator="equal">
      <formula>"NG"</formula>
    </cfRule>
  </conditionalFormatting>
  <conditionalFormatting sqref="H4:H13">
    <cfRule type="cellIs" dxfId="45" priority="47" operator="equal">
      <formula>1</formula>
    </cfRule>
    <cfRule type="cellIs" dxfId="44" priority="48" operator="lessThan">
      <formula>1</formula>
    </cfRule>
  </conditionalFormatting>
  <conditionalFormatting sqref="H19:H28">
    <cfRule type="cellIs" dxfId="43" priority="41" operator="equal">
      <formula>1</formula>
    </cfRule>
    <cfRule type="cellIs" dxfId="42" priority="42" operator="lessThan">
      <formula>1</formula>
    </cfRule>
  </conditionalFormatting>
  <conditionalFormatting sqref="D14">
    <cfRule type="expression" dxfId="41" priority="40">
      <formula>$D$14=SUM($D$4:$D$13)</formula>
    </cfRule>
  </conditionalFormatting>
  <conditionalFormatting sqref="E14">
    <cfRule type="expression" dxfId="40" priority="39">
      <formula>$E$14=SUM($E$4:$E$13)</formula>
    </cfRule>
  </conditionalFormatting>
  <conditionalFormatting sqref="F14">
    <cfRule type="expression" dxfId="39" priority="38">
      <formula>$F$14=SUM($F$4:$F$13)</formula>
    </cfRule>
  </conditionalFormatting>
  <conditionalFormatting sqref="H29">
    <cfRule type="cellIs" dxfId="38" priority="31" operator="equal">
      <formula>1</formula>
    </cfRule>
    <cfRule type="cellIs" dxfId="37" priority="32" operator="lessThan">
      <formula>1</formula>
    </cfRule>
  </conditionalFormatting>
  <conditionalFormatting sqref="D29">
    <cfRule type="expression" dxfId="36" priority="30">
      <formula>$D$29=SUM($D$19:$D$28)</formula>
    </cfRule>
  </conditionalFormatting>
  <conditionalFormatting sqref="E29">
    <cfRule type="expression" dxfId="35" priority="29">
      <formula>$E$29=SUM($E$19:$E$28)</formula>
    </cfRule>
  </conditionalFormatting>
  <conditionalFormatting sqref="F29">
    <cfRule type="expression" dxfId="34" priority="35">
      <formula>$F$29=SUM($F$19:$F$28)</formula>
    </cfRule>
  </conditionalFormatting>
  <conditionalFormatting sqref="H34">
    <cfRule type="cellIs" dxfId="33" priority="21" operator="equal">
      <formula>1</formula>
    </cfRule>
    <cfRule type="cellIs" dxfId="32" priority="22" operator="lessThan">
      <formula>1</formula>
    </cfRule>
  </conditionalFormatting>
  <conditionalFormatting sqref="H35:H43">
    <cfRule type="cellIs" dxfId="31" priority="19" operator="equal">
      <formula>1</formula>
    </cfRule>
    <cfRule type="cellIs" dxfId="30" priority="20" operator="lessThan">
      <formula>1</formula>
    </cfRule>
  </conditionalFormatting>
  <conditionalFormatting sqref="H44">
    <cfRule type="cellIs" dxfId="29" priority="17" operator="equal">
      <formula>1</formula>
    </cfRule>
    <cfRule type="cellIs" dxfId="28" priority="18" operator="lessThan">
      <formula>1</formula>
    </cfRule>
  </conditionalFormatting>
  <conditionalFormatting sqref="AF49">
    <cfRule type="cellIs" dxfId="27" priority="12" operator="equal">
      <formula>"OK"</formula>
    </cfRule>
    <cfRule type="cellIs" dxfId="26" priority="13" operator="equal">
      <formula>"NG"</formula>
    </cfRule>
  </conditionalFormatting>
  <conditionalFormatting sqref="AF50">
    <cfRule type="cellIs" dxfId="25" priority="9" operator="equal">
      <formula>"OK"</formula>
    </cfRule>
    <cfRule type="cellIs" dxfId="24" priority="10" operator="equal">
      <formula>"NG"</formula>
    </cfRule>
  </conditionalFormatting>
  <conditionalFormatting sqref="AF51">
    <cfRule type="cellIs" dxfId="23" priority="6" operator="equal">
      <formula>"OK"</formula>
    </cfRule>
    <cfRule type="cellIs" dxfId="22" priority="7" operator="equal">
      <formula>"NG"</formula>
    </cfRule>
  </conditionalFormatting>
  <conditionalFormatting sqref="AF102">
    <cfRule type="cellIs" dxfId="21" priority="3" operator="equal">
      <formula>"OK"</formula>
    </cfRule>
    <cfRule type="cellIs" dxfId="20" priority="4" operator="equal">
      <formula>"NG"</formula>
    </cfRule>
  </conditionalFormatting>
  <conditionalFormatting sqref="AF114:AF309">
    <cfRule type="cellIs" dxfId="19" priority="1" operator="equal">
      <formula>"OK"</formula>
    </cfRule>
    <cfRule type="cellIs" dxfId="18" priority="2" operator="equal">
      <formula>"NG"</formula>
    </cfRule>
  </conditionalFormatting>
  <dataValidations disablePrompts="1" count="2">
    <dataValidation type="list" allowBlank="1" showInputMessage="1" showErrorMessage="1" sqref="K48:K143">
      <formula1>"""Auto"",""Manual"""</formula1>
    </dataValidation>
    <dataValidation type="list" allowBlank="1" showInputMessage="1" showErrorMessage="1" sqref="AF48:AF309">
      <formula1>"OK,NG"</formula1>
    </dataValidation>
  </dataValidations>
  <pageMargins left="0.7" right="0.7" top="0.75" bottom="0.75" header="0.3" footer="0.3"/>
  <pageSetup orientation="portrait" horizontalDpi="300" verticalDpi="0" r:id="rId7"/>
  <legacyDrawing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9" operator="greaterThanOrEqual" id="{EF07378C-0EBA-428F-A0B2-F4CD356377F4}"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0" operator="lessThan" id="{B38BDB15-061E-4133-A7BA-7AA44A02A10B}"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G4:G13</xm:sqref>
        </x14:conditionalFormatting>
        <x14:conditionalFormatting xmlns:xm="http://schemas.microsoft.com/office/excel/2006/main">
          <x14:cfRule type="cellIs" priority="43" operator="greaterThanOrEqual" id="{32FAAC68-9CBE-4694-89D9-1941F183634E}"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4" operator="lessThan" id="{FB4CB170-EF47-4D63-ACD8-494EA43F0F3E}"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G19:G28</xm:sqref>
        </x14:conditionalFormatting>
        <x14:conditionalFormatting xmlns:xm="http://schemas.microsoft.com/office/excel/2006/main">
          <x14:cfRule type="cellIs" priority="36" operator="greaterThanOrEqual" id="{8BA02261-D5AC-4D7D-8097-C6083852185B}"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37" operator="lessThan" id="{D8F3BF24-40AD-4FB2-8BA7-426FDDABDE61}"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G14</xm:sqref>
        </x14:conditionalFormatting>
        <x14:conditionalFormatting xmlns:xm="http://schemas.microsoft.com/office/excel/2006/main">
          <x14:cfRule type="cellIs" priority="33" operator="greaterThanOrEqual" id="{9D314E8F-3D85-4B49-9B85-68C1DBD552D5}"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34" operator="lessThan" id="{08D23F66-4767-479F-8125-067518E86666}"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G29</xm:sqref>
        </x14:conditionalFormatting>
        <x14:conditionalFormatting xmlns:xm="http://schemas.microsoft.com/office/excel/2006/main">
          <x14:cfRule type="cellIs" priority="27" operator="greaterThanOrEqual" id="{3F707884-64A9-4CBB-802E-A388093CBABB}"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8" operator="lessThan" id="{33F37F2A-FB5C-4576-A292-6BB40A25DA62}"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G44</xm:sqref>
        </x14:conditionalFormatting>
        <x14:conditionalFormatting xmlns:xm="http://schemas.microsoft.com/office/excel/2006/main">
          <x14:cfRule type="cellIs" priority="25" operator="greaterThanOrEqual" id="{E02FB0D9-1DE1-428B-9774-C38D67662F0E}"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6" operator="lessThan" id="{AD89B918-D906-432B-B83C-4A60D15541E6}"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G34</xm:sqref>
        </x14:conditionalFormatting>
        <x14:conditionalFormatting xmlns:xm="http://schemas.microsoft.com/office/excel/2006/main">
          <x14:cfRule type="cellIs" priority="23" operator="greaterThanOrEqual" id="{3F8A5248-9852-4C84-9674-EE3B2C175B2C}"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4" operator="lessThan" id="{9CD216EC-B780-4F0D-98CC-C4CDDEE40D52}"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G35:G43</xm:sqref>
        </x14:conditionalFormatting>
        <x14:conditionalFormatting xmlns:xm="http://schemas.microsoft.com/office/excel/2006/main">
          <x14:cfRule type="expression" priority="14" id="{D6B90FDC-77C9-41DC-8B3C-F976FF600DD4}">
            <xm:f>OR(AJ48=#REF!,AJ48=#REF!)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AJ48 AJ52:AJ309</xm:sqref>
        </x14:conditionalFormatting>
        <x14:conditionalFormatting xmlns:xm="http://schemas.microsoft.com/office/excel/2006/main">
          <x14:cfRule type="expression" priority="11" id="{EABBBB38-C09D-4054-9E13-DFCFF60105F3}">
            <xm:f>OR(AJ49=#REF!,AJ49=#REF!)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AJ49</xm:sqref>
        </x14:conditionalFormatting>
        <x14:conditionalFormatting xmlns:xm="http://schemas.microsoft.com/office/excel/2006/main">
          <x14:cfRule type="expression" priority="8" id="{79D863E4-922D-4708-96E7-5EC4EAC8B114}">
            <xm:f>OR(AJ50=#REF!,AJ50=#REF!)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AJ50</xm:sqref>
        </x14:conditionalFormatting>
        <x14:conditionalFormatting xmlns:xm="http://schemas.microsoft.com/office/excel/2006/main">
          <x14:cfRule type="expression" priority="5" id="{6B284CC1-92CC-496C-B7C9-222442DB75B9}">
            <xm:f>OR(AJ51=#REF!,AJ51=#REF!)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AJ51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>
          <x14:formula1>
            <xm:f>#REF!</xm:f>
          </x14:formula1>
          <xm:sqref>D48:D309</xm:sqref>
        </x14:dataValidation>
        <x14:dataValidation type="list" allowBlank="1" showInputMessage="1" showErrorMessage="1">
          <x14:formula1>
            <xm:f>#REF!</xm:f>
          </x14:formula1>
          <xm:sqref>S48:S309</xm:sqref>
        </x14:dataValidation>
        <x14:dataValidation type="list" allowBlank="1" showInputMessage="1" showErrorMessage="1">
          <x14:formula1>
            <xm:f>#REF!</xm:f>
          </x14:formula1>
          <xm:sqref>AA48:AA122 AA124:AA309</xm:sqref>
        </x14:dataValidation>
        <x14:dataValidation type="list" allowBlank="1" showInputMessage="1" showErrorMessage="1">
          <x14:formula1>
            <xm:f>#REF!</xm:f>
          </x14:formula1>
          <xm:sqref>AJ48:AJ309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COEM_Data_20200414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EXTERNAL Nguyen Trung Hieu (Ban Vien, RBVH/EPS45)</dc:creator>
  <cp:lastModifiedBy>EXTERNAL Nguyen Trung Hieu (Ban Vien, RBVH/EPS45)</cp:lastModifiedBy>
  <dcterms:created xsi:type="dcterms:W3CDTF">2006-09-16T00:00:00Z</dcterms:created>
  <dcterms:modified xsi:type="dcterms:W3CDTF">2020-04-16T12:30:18Z</dcterms:modified>
</cp:coreProperties>
</file>